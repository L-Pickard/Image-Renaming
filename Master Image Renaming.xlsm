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o.pickard\Downloads\"/>
    </mc:Choice>
  </mc:AlternateContent>
  <xr:revisionPtr revIDLastSave="0" documentId="13_ncr:1_{BC360BF8-D9A0-4487-9A95-1E1A5A4FF4B5}" xr6:coauthVersionLast="47" xr6:coauthVersionMax="47" xr10:uidLastSave="{00000000-0000-0000-0000-000000000000}"/>
  <bookViews>
    <workbookView showVerticalScroll="0" xWindow="-120" yWindow="-120" windowWidth="29040" windowHeight="15990" xr2:uid="{EF63F581-BD07-41CE-868A-F488D8031140}"/>
  </bookViews>
  <sheets>
    <sheet name="Controls" sheetId="7" r:id="rId1"/>
    <sheet name="Line List" sheetId="8" r:id="rId2"/>
    <sheet name="Image Data" sheetId="9" r:id="rId3"/>
    <sheet name="Item Data" sheetId="12" r:id="rId4"/>
    <sheet name="Image Syle Not in Line List" sheetId="13" r:id="rId5"/>
    <sheet name="Images Not in Line List" sheetId="15" r:id="rId6"/>
    <sheet name="Line List Not in Images" sheetId="14" r:id="rId7"/>
    <sheet name="Renaming Data" sheetId="11" r:id="rId8"/>
    <sheet name="Execution Log" sheetId="17" r:id="rId9"/>
  </sheets>
  <functionGroups builtInGroupCount="19"/>
  <definedNames>
    <definedName name="_xleta.CODE" hidden="1" xlm="1">#NAME?</definedName>
    <definedName name="_xleta.IF" hidden="1" xlm="1">#NAME?</definedName>
    <definedName name="_xleta.IMAGE" hidden="1" xlm="1">#NAME?</definedName>
    <definedName name="_xleta.NOT" hidden="1" xlm="1">#NAME?</definedName>
    <definedName name="_xleta.NOW" hidden="1" xlm="1">#NAME?</definedName>
    <definedName name="_xlpm.array1" hidden="1" xlm="1">#NAME?</definedName>
    <definedName name="_xlpm.array1Cols" hidden="1" xlm="1">#NAME?</definedName>
    <definedName name="_xlpm.array1Rows" hidden="1" xlm="1">#NAME?</definedName>
    <definedName name="_xlpm.array2" hidden="1" xlm="1">#NAME?</definedName>
    <definedName name="_xlpm.array2Cols" hidden="1" xlm="1">#NAME?</definedName>
    <definedName name="_xlpm.array2Rows" hidden="1" xlm="1">#NAME?</definedName>
    <definedName name="_xlpm.Code" hidden="1" xlm="1">#NAME?</definedName>
    <definedName name="_xlpm.CodeM" hidden="1" xlm="1">#NAME?</definedName>
    <definedName name="_xlpm.CodeOS" hidden="1" xlm="1">#NAME?</definedName>
    <definedName name="_xlpm.colIndex" hidden="1" xlm="1">#NAME?</definedName>
    <definedName name="_xlpm.colLen" hidden="1" xlm="1">#NAME?</definedName>
    <definedName name="_xlpm.Customer" hidden="1" xlm="1">#NAME?</definedName>
    <definedName name="_xlpm.Customers" hidden="1" xlm="1">#NAME?</definedName>
    <definedName name="_xlpm.D2C" hidden="1" xlm="1">#NAME?</definedName>
    <definedName name="_xlpm.D2CList" hidden="1" xlm="1">#NAME?</definedName>
    <definedName name="_xlpm.DescM" hidden="1" xlm="1">#NAME?</definedName>
    <definedName name="_xlpm.DescOS" hidden="1" xlm="1">#NAME?</definedName>
    <definedName name="_xlpm.Filt" hidden="1" xlm="1">#NAME?</definedName>
    <definedName name="_xlpm.Item_Key" hidden="1" xlm="1">#NAME?</definedName>
    <definedName name="_xlpm.LK_Size" hidden="1" xlm="1">#NAME?</definedName>
    <definedName name="_xlpm.newArray" hidden="1" xlm="1">#NAME?</definedName>
    <definedName name="_xlpm.resultArray" hidden="1" xlm="1">#NAME?</definedName>
    <definedName name="_xlpm.rowIndex" hidden="1" xlm="1">#NAME?</definedName>
    <definedName name="_xlpm.rowIndex1" hidden="1" xlm="1">#NAME?</definedName>
    <definedName name="_xlpm.rowIndex2" hidden="1" xlm="1">#NAME?</definedName>
    <definedName name="_xlpm.rowLen" hidden="1" xlm="1">#NAME?</definedName>
    <definedName name="_xlpm.S" hidden="1" xlm="1">#NAME?</definedName>
    <definedName name="_xlpm.Shot" hidden="1" xlm="1">#NAME?</definedName>
    <definedName name="_xlpm.Si" hidden="1" xlm="1">#NAME?</definedName>
    <definedName name="_xlpm.Siz" hidden="1" xlm="1">#NAME?</definedName>
    <definedName name="_xlpm.Size" hidden="1" xlm="1">#NAME?</definedName>
    <definedName name="_xlpm.Size_" hidden="1" xlm="1">#NAME?</definedName>
    <definedName name="_xlpm.Size_1" hidden="1" xlm="1">#NAME?</definedName>
    <definedName name="_xlpm.Size_2" hidden="1" xlm="1">#NAME?</definedName>
    <definedName name="_xlpm.Size_3" hidden="1" xlm="1">#NAME?</definedName>
    <definedName name="_xlpm.Size_4" hidden="1" xlm="1">#NAME?</definedName>
    <definedName name="_xlpm.Size_5" hidden="1" xlm="1">#NAME?</definedName>
    <definedName name="_xlpm.Size_6" hidden="1" xlm="1">#NAME?</definedName>
    <definedName name="_xlpm.Size_7" hidden="1" xlm="1">#NAME?</definedName>
    <definedName name="_xlpm.SizeR" hidden="1" xlm="1">#NAME?</definedName>
    <definedName name="_xlpm.SizeRe" hidden="1" xlm="1">#NAME?</definedName>
    <definedName name="_xlpm.SizeRef" hidden="1" xlm="1">#NAME?</definedName>
    <definedName name="_xlpm.Sizes" hidden="1" xlm="1">#NAME?</definedName>
    <definedName name="_xlpm.StyleCount" hidden="1" xlm="1">#NAME?</definedName>
    <definedName name="APPENDCOLS">_xlfn.LAMBDA(_xlpm.array1,_xlpm.array2,     _xlfn.LET(          _xlpm.array1Rows, ROWS(_xlpm.array1),         _xlpm.array1Cols, COLUMNS(_xlpm.array1),         _xlpm.array2Rows, ROWS(_xlpm.array2),         _xlpm.array2Cols, COLUMNS(_xlpm.array2),         _xlpm.rowLen, MAX(_xlpm.array1Rows, _xlpm.array2Rows),         _xlpm.colLen, _xlpm.array1Cols + _xlpm.array2Cols,         _xlpm.newArray, _xlfn.SEQUENCE(_xlpm.rowLen, _xlpm.colLen),         _xlpm.colIndex, MOD(_xlpm.newArray - 1, _xlpm.colLen) + 1,         _xlpm.rowIndex, 1 + ((_xlpm.newArray - _xlpm.colIndex) / _xlpm.colLen),           _xlpm.resultArray, IF(             _xlpm.colIndex &gt; _xlpm.array1Cols,             INDEX(_xlpm.array2, _xlpm.rowIndex, _xlpm.colIndex - _xlpm.array1Cols),             INDEX(_xlpm.array1, _xlpm.rowIndex, _xlpm.colIndex)         ),           _xlpm.resultArray     ) )</definedName>
    <definedName name="APPENDROWS">_xlfn.LAMBDA(_xlpm.array1,_xlpm.array2,     _xlfn.LET(         _xlpm.array1Rows, ROWS(_xlpm.array1),         _xlpm.colIndex, _xlfn.SEQUENCE(, MAX(COLUMNS(_xlpm.array1), COLUMNS(_xlpm.array2))),         _xlpm.rowIndex1, _xlfn.SEQUENCE(_xlpm.array1Rows + ROWS(_xlpm.array2)),         _xlpm.rowIndex2, _xlpm.rowIndex1 - _xlpm.array1Rows,         IF(             _xlpm.rowIndex2 &gt;= 1,             INDEX(_xlpm.array2, _xlpm.rowIndex2, _xlpm.colIndex),             INDEX(_xlpm.array1, _xlpm.rowIndex1, _xlpm.colIndex)         )     ) )</definedName>
    <definedName name="Customers_Check">Controls!$Q$8</definedName>
    <definedName name="D2C_Check">Controls!$Q$9</definedName>
    <definedName name="End_Timestamp">'Execution Log'!$F$8</definedName>
    <definedName name="ExternalData_1" localSheetId="1" hidden="1">'Line List'!$D$5:$T$6</definedName>
    <definedName name="ExternalData_1" localSheetId="7" hidden="1">'Renaming Data'!$D$5:$AE$6</definedName>
    <definedName name="ExternalData_2" localSheetId="3" hidden="1">'Item Data'!$D$5:$Q$6</definedName>
    <definedName name="ExternalData_4" localSheetId="2" hidden="1">'Image Data'!$D$5:$G$6</definedName>
    <definedName name="File_Line_List">'Execution Log'!$F$22</definedName>
    <definedName name="Folder_Image">'Execution Log'!$F$16</definedName>
    <definedName name="Folder_Output">'Execution Log'!$F$19</definedName>
    <definedName name="Image_Folder">Controls!$F$6</definedName>
    <definedName name="Img_Path">#REF!</definedName>
    <definedName name="Join_Kind">Controls!$S$7</definedName>
    <definedName name="Line_File">#REF!</definedName>
    <definedName name="Line_Folder">#REF!</definedName>
    <definedName name="Line_List_File">Controls!$F$14</definedName>
    <definedName name="Output_Folder">Controls!$F$10</definedName>
    <definedName name="Output_Path">#REF!</definedName>
    <definedName name="Rename_Selection">'Renaming Data'!$AF$2</definedName>
    <definedName name="Size_1_Check">Controls!$Q$10</definedName>
    <definedName name="Size_2_Check">Controls!$Q$11</definedName>
    <definedName name="Size_3_Check">Controls!$Q$12</definedName>
    <definedName name="Size_4_Check">Controls!$Q$13</definedName>
    <definedName name="Size_5_Check">Controls!$Q$14</definedName>
    <definedName name="Size_6_Check">Controls!$Q$15</definedName>
    <definedName name="Size_7_Check">Controls!$Q$16</definedName>
    <definedName name="Start_Timestamp">'Execution Log'!$F$6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4" i="11" l="1" a="1"/>
  <c r="AA4" i="11" s="1"/>
  <c r="Z4" i="11" a="1"/>
  <c r="Z4" i="11" s="1"/>
  <c r="Y4" i="11" a="1"/>
  <c r="Y4" i="11" s="1"/>
  <c r="X4" i="11" a="1"/>
  <c r="X4" i="11" s="1"/>
  <c r="W4" i="11" a="1"/>
  <c r="W4" i="11" s="1"/>
  <c r="V4" i="11" a="1"/>
  <c r="V4" i="11" s="1"/>
  <c r="U4" i="11" a="1"/>
  <c r="U4" i="11" s="1"/>
  <c r="D5" i="14" a="1"/>
  <c r="D5" i="14" s="1"/>
  <c r="D5" i="15" a="1"/>
  <c r="D5" i="15" s="1"/>
  <c r="D5" i="13" a="1"/>
  <c r="D5" i="13" s="1"/>
  <c r="U6" i="11" a="1"/>
  <c r="U6" i="11" s="1"/>
  <c r="V6" i="11" a="1"/>
  <c r="V6" i="11" s="1"/>
  <c r="W6" i="11" a="1"/>
  <c r="W6" i="11" s="1"/>
  <c r="X6" i="11" a="1"/>
  <c r="X6" i="11" s="1"/>
  <c r="Y6" i="11" a="1"/>
  <c r="Y6" i="11" s="1"/>
  <c r="Z6" i="11" a="1"/>
  <c r="Z6" i="11" s="1"/>
  <c r="AA6" i="11" a="1"/>
  <c r="AA6" i="11" s="1"/>
  <c r="AB6" i="11" a="1"/>
  <c r="AB6" i="11" s="1"/>
  <c r="A19" i="17"/>
  <c r="A17" i="17"/>
  <c r="A15" i="17"/>
  <c r="A13" i="17"/>
  <c r="A11" i="17"/>
  <c r="A9" i="17"/>
  <c r="A7" i="17"/>
  <c r="A5" i="17"/>
  <c r="A19" i="11"/>
  <c r="A17" i="11"/>
  <c r="A15" i="11"/>
  <c r="A13" i="11"/>
  <c r="A11" i="11"/>
  <c r="A9" i="11"/>
  <c r="A7" i="11"/>
  <c r="A5" i="11"/>
  <c r="A19" i="14"/>
  <c r="A17" i="14"/>
  <c r="A15" i="14"/>
  <c r="A13" i="14"/>
  <c r="A11" i="14"/>
  <c r="A9" i="14"/>
  <c r="A7" i="14"/>
  <c r="A5" i="14"/>
  <c r="A19" i="15"/>
  <c r="A17" i="15"/>
  <c r="A15" i="15"/>
  <c r="A13" i="15"/>
  <c r="A11" i="15"/>
  <c r="A9" i="15"/>
  <c r="A7" i="15"/>
  <c r="A5" i="15"/>
  <c r="A19" i="13"/>
  <c r="A17" i="13"/>
  <c r="A15" i="13"/>
  <c r="A13" i="13"/>
  <c r="A11" i="13"/>
  <c r="A9" i="13"/>
  <c r="A7" i="13"/>
  <c r="A5" i="13"/>
  <c r="A19" i="12"/>
  <c r="A17" i="12"/>
  <c r="A15" i="12"/>
  <c r="A13" i="12"/>
  <c r="A11" i="12"/>
  <c r="A9" i="12"/>
  <c r="A7" i="12"/>
  <c r="A5" i="12"/>
  <c r="A19" i="9"/>
  <c r="A17" i="9"/>
  <c r="A15" i="9"/>
  <c r="A13" i="9"/>
  <c r="A11" i="9"/>
  <c r="A9" i="9"/>
  <c r="A7" i="9"/>
  <c r="A5" i="9"/>
  <c r="A19" i="8"/>
  <c r="A17" i="8"/>
  <c r="A15" i="8"/>
  <c r="A13" i="8"/>
  <c r="A11" i="8"/>
  <c r="A9" i="8"/>
  <c r="A7" i="8"/>
  <c r="A5" i="8"/>
  <c r="A11" i="7"/>
  <c r="A9" i="7"/>
  <c r="F14" i="17"/>
  <c r="F12" i="17"/>
  <c r="F10" i="17"/>
  <c r="Y15" i="7" l="1" a="1"/>
  <c r="Y15" i="7" s="1"/>
  <c r="A19" i="7"/>
  <c r="A13" i="7"/>
  <c r="A17" i="7"/>
  <c r="A15" i="7"/>
  <c r="A7" i="7"/>
  <c r="A5" i="7"/>
  <c r="AB14" i="7" a="1"/>
  <c r="AB14" i="7" s="1"/>
  <c r="AB13" i="7" a="1"/>
  <c r="AB13" i="7" s="1"/>
  <c r="Y14" i="7"/>
  <c r="AB10" i="7"/>
  <c r="AB9" i="7"/>
  <c r="AB8" i="7"/>
  <c r="AB7" i="7"/>
  <c r="Y9" i="7"/>
  <c r="Y10" i="7" s="1"/>
  <c r="Y8" i="7"/>
  <c r="Y7" i="7"/>
  <c r="AF6" i="11" l="1" a="1"/>
  <c r="AF6" i="11" s="1"/>
  <c r="Y16" i="7"/>
  <c r="Y13" i="7" a="1"/>
  <c r="Y13" i="7" s="1"/>
  <c r="P10" i="7" a="1"/>
  <c r="P10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6297C74-FE06-4216-8C5E-7A2F91E89FB3}" keepAlive="1" name="Query - Image Data" description="Connection to the 'Image Data' query in the workbook." type="5" refreshedVersion="8" saveData="1">
    <dbPr connection="Provider=Microsoft.Mashup.OleDb.1;Data Source=$Workbook$;Location=&quot;Image Data&quot;;Extended Properties=&quot;&quot;" command="SELECT * FROM [Image Data]"/>
  </connection>
  <connection id="2" xr16:uid="{C51E584E-6F1C-4DAA-93FB-80AE844873DA}" keepAlive="1" name="Query - Item Data(1)" description="Connection to the 'Item Data' query in the workbook." type="5" refreshedVersion="8" saveData="1">
    <dbPr connection="Provider=Microsoft.Mashup.OleDb.1;Data Source=$Workbook$;Location=&quot;Item Data&quot;;Extended Properties=&quot;&quot;" command="SELECT * FROM [Item Data]"/>
  </connection>
  <connection id="3" xr16:uid="{48F35E6D-B50C-4567-907C-CA479BE5390C}" keepAlive="1" name="Query - Line Data(1)" description="Connection to the 'Line Data' query in the workbook." type="5" refreshedVersion="0" saveData="1">
    <dbPr connection="Provider=Microsoft.Mashup.OleDb.1;Data Source=$Workbook$;Location=&quot;Line Data&quot;;Extended Properties=&quot;&quot;" command="SELECT * FROM [Line Data]"/>
  </connection>
  <connection id="4" xr16:uid="{ABBFF6FE-3052-41FF-A61E-DD34E191C0B8}" keepAlive="1" name="Query - Line List" description="Connection to the 'Line List' query in the workbook." type="5" refreshedVersion="8" saveData="1">
    <dbPr connection="Provider=Microsoft.Mashup.OleDb.1;Data Source=$Workbook$;Location=&quot;Line List&quot;;Extended Properties=&quot;&quot;" command="SELECT * FROM [Line List]"/>
  </connection>
  <connection id="5" xr16:uid="{444225AF-7B6B-41AB-9E69-A5E3694BC7D7}" keepAlive="1" name="Query - Renaming Data(1)" description="Connection to the 'Renaming Data' query in the workbook." type="5" refreshedVersion="8" saveData="1">
    <dbPr connection="Provider=Microsoft.Mashup.OleDb.1;Data Source=$Workbook$;Location=&quot;Renaming Data&quot;;Extended Properties=&quot;&quot;" command="SELECT * FROM [Renaming Data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<sst xmlns="http://schemas.openxmlformats.org/spreadsheetml/2006/main" count="8048" uniqueCount="1416">
  <si>
    <t>Select Size:</t>
  </si>
  <si>
    <t>Customers</t>
  </si>
  <si>
    <t>D2C</t>
  </si>
  <si>
    <t>Season</t>
  </si>
  <si>
    <t>Item Status</t>
  </si>
  <si>
    <t>Brand</t>
  </si>
  <si>
    <t>Gender</t>
  </si>
  <si>
    <t>Style Code</t>
  </si>
  <si>
    <t>Theme</t>
  </si>
  <si>
    <t>Description</t>
  </si>
  <si>
    <t>Description 2</t>
  </si>
  <si>
    <t>Colour</t>
  </si>
  <si>
    <t>Size 1</t>
  </si>
  <si>
    <t>Size 2</t>
  </si>
  <si>
    <t>Size 3</t>
  </si>
  <si>
    <t>Size 5</t>
  </si>
  <si>
    <t>Size 6</t>
  </si>
  <si>
    <t>Size 1 Code</t>
  </si>
  <si>
    <t>Size 2 Code</t>
  </si>
  <si>
    <t>Size 3 Code</t>
  </si>
  <si>
    <t>Size 4 Code</t>
  </si>
  <si>
    <t>Size 5 Code</t>
  </si>
  <si>
    <t>Size 6 Code</t>
  </si>
  <si>
    <t>D2C Code</t>
  </si>
  <si>
    <t>New Name</t>
  </si>
  <si>
    <t>New</t>
  </si>
  <si>
    <t>Vendor Reference</t>
  </si>
  <si>
    <t>Colours</t>
  </si>
  <si>
    <t>Size 1 Unit</t>
  </si>
  <si>
    <t>1</t>
  </si>
  <si>
    <t>Output Folder Path</t>
  </si>
  <si>
    <t>Line List File</t>
  </si>
  <si>
    <t>Image Folder</t>
  </si>
  <si>
    <t>Size 4</t>
  </si>
  <si>
    <t>Select Sizes:</t>
  </si>
  <si>
    <t>Query Join Type:</t>
  </si>
  <si>
    <t>Item Key</t>
  </si>
  <si>
    <t>Size 7</t>
  </si>
  <si>
    <t>C/O NC</t>
  </si>
  <si>
    <t>C/O</t>
  </si>
  <si>
    <t>Size (KB)</t>
  </si>
  <si>
    <t>Name</t>
  </si>
  <si>
    <t>Shot</t>
  </si>
  <si>
    <t>Image Data</t>
  </si>
  <si>
    <t>KB Size</t>
  </si>
  <si>
    <t>MB Size</t>
  </si>
  <si>
    <t>Line List</t>
  </si>
  <si>
    <t>Styles</t>
  </si>
  <si>
    <t>Image</t>
  </si>
  <si>
    <t>Size 7 Code</t>
  </si>
  <si>
    <t>Item No</t>
  </si>
  <si>
    <t>Brand Code</t>
  </si>
  <si>
    <t>UOM</t>
  </si>
  <si>
    <t>Item Info</t>
  </si>
  <si>
    <t>Category</t>
  </si>
  <si>
    <t>Group</t>
  </si>
  <si>
    <t>D2C Master SKU</t>
  </si>
  <si>
    <t>Images</t>
  </si>
  <si>
    <t>Folders</t>
  </si>
  <si>
    <t>List != Img</t>
  </si>
  <si>
    <t>Img != List</t>
  </si>
  <si>
    <t>Images vs List</t>
  </si>
  <si>
    <t>Output Img Data</t>
  </si>
  <si>
    <t>Stats</t>
  </si>
  <si>
    <t>Controls</t>
  </si>
  <si>
    <t>Instructions</t>
  </si>
  <si>
    <t>Date</t>
  </si>
  <si>
    <t>Time</t>
  </si>
  <si>
    <t>Action</t>
  </si>
  <si>
    <t>Input File</t>
  </si>
  <si>
    <t>Output File</t>
  </si>
  <si>
    <t>Message</t>
  </si>
  <si>
    <t>Last Execution</t>
  </si>
  <si>
    <t>Output Folder</t>
  </si>
  <si>
    <t>Start Timestamp</t>
  </si>
  <si>
    <t>End Timestamp</t>
  </si>
  <si>
    <t>Duration</t>
  </si>
  <si>
    <t>Status</t>
  </si>
  <si>
    <t>Success</t>
  </si>
  <si>
    <t>Sub Directory</t>
  </si>
  <si>
    <t>Copied &amp; renamed file.</t>
  </si>
  <si>
    <t>Santa Cruz_Mens_Watson Plus Sunglasses_Black_1.jpg</t>
  </si>
  <si>
    <t>Santa Cruz_Mens_Hudson Tote_Black_1.jpg</t>
  </si>
  <si>
    <t>Santa Cruz_Mens_Dillon Shorts_Black_1.jpg</t>
  </si>
  <si>
    <t>Santa Cruz_Mens_Dillon Shorts_Black_2.jpg</t>
  </si>
  <si>
    <t>Santa Cruz_Mens_Dillon Shorts_Black_3.jpg</t>
  </si>
  <si>
    <t>Santa Cruz_Mens_Dillon Shorts_Black_4.jpg</t>
  </si>
  <si>
    <t>Santa Cruz_Mens_Dillon Shorts_Black_5.jpg</t>
  </si>
  <si>
    <t>Santa Cruz_Mens_Flight Pants_Black_1.jpg</t>
  </si>
  <si>
    <t>Santa Cruz_Womens_Pop Dot Socks (3 Pack)_Assorted_1.jpg</t>
  </si>
  <si>
    <t>Santa Cruz_Womens_Pop Dot Socks (3 Pack)_Assorted_2.jpg</t>
  </si>
  <si>
    <t>Santa Cruz_Womens_Pop Dot Socks (3 Pack)_Assorted_3.jpg</t>
  </si>
  <si>
    <t>SCA-SUN-0273_1.jpg</t>
  </si>
  <si>
    <t>SCA-BAG-0224_1.jpg</t>
  </si>
  <si>
    <t>B2C-SCASHR-0219_1.jpg</t>
  </si>
  <si>
    <t>B2C-SCASHR-0219_2.jpg</t>
  </si>
  <si>
    <t>B2C-SCASHR-0219_3.jpg</t>
  </si>
  <si>
    <t>B2C-SCASHR-0219_4.jpg</t>
  </si>
  <si>
    <t>B2C-SCASHR-0219_5.jpg</t>
  </si>
  <si>
    <t>B2C-SCAPNT-1097_1.jpg</t>
  </si>
  <si>
    <t>SCA-SHR-5280_1.jpg</t>
  </si>
  <si>
    <t>SCA-SHR-5280_2.jpg</t>
  </si>
  <si>
    <t>SCA-SHR-5280_3.jpg</t>
  </si>
  <si>
    <t>SCA-SHR-5280_4.jpg</t>
  </si>
  <si>
    <t>SCA-SHR-5280_5.jpg</t>
  </si>
  <si>
    <t>SCA-PNT-1316_1.jpg</t>
  </si>
  <si>
    <t>SCA-SHR-5281_1.jpg</t>
  </si>
  <si>
    <t>SCA-SHR-5281_2.jpg</t>
  </si>
  <si>
    <t>SCA-SHR-5281_3.jpg</t>
  </si>
  <si>
    <t>SCA-SHR-5281_4.jpg</t>
  </si>
  <si>
    <t>SCA-SHR-5281_5.jpg</t>
  </si>
  <si>
    <t>SCA-PNT-1317_1.jpg</t>
  </si>
  <si>
    <t>SCA-SHR-5282_1.jpg</t>
  </si>
  <si>
    <t>SCA-SHR-5282_2.jpg</t>
  </si>
  <si>
    <t>SCA-SHR-5282_3.jpg</t>
  </si>
  <si>
    <t>SCA-SHR-5282_4.jpg</t>
  </si>
  <si>
    <t>SCA-SHR-5282_5.jpg</t>
  </si>
  <si>
    <t>SCA-PNT-1318_1.jpg</t>
  </si>
  <si>
    <t>SCA-SHR-5283_1.jpg</t>
  </si>
  <si>
    <t>SCA-SHR-5283_2.jpg</t>
  </si>
  <si>
    <t>SCA-SHR-5283_3.jpg</t>
  </si>
  <si>
    <t>SCA-SHR-5283_4.jpg</t>
  </si>
  <si>
    <t>SCA-SHR-5283_5.jpg</t>
  </si>
  <si>
    <t>SCA-PNT-1319_1.jpg</t>
  </si>
  <si>
    <t>SCA-SHR-5284_1.jpg</t>
  </si>
  <si>
    <t>SCA-SHR-5284_2.jpg</t>
  </si>
  <si>
    <t>SCA-SHR-5284_3.jpg</t>
  </si>
  <si>
    <t>SCA-SHR-5284_4.jpg</t>
  </si>
  <si>
    <t>SCA-SHR-5284_5.jpg</t>
  </si>
  <si>
    <t>SCA-PNT-1320_1.jpg</t>
  </si>
  <si>
    <t>Create Customers &amp; subfolder in the output folder.</t>
  </si>
  <si>
    <t>Create D2C &amp; subfolder in the output folder.</t>
  </si>
  <si>
    <t>Info</t>
  </si>
  <si>
    <t>Output Files</t>
  </si>
  <si>
    <t>Errors</t>
  </si>
  <si>
    <t>C:\Users\FTP Uploader\Documents\MASTER IMAGES\2025\Santa Cruz SU25 Imagery</t>
  </si>
  <si>
    <t>C:\Users\FTP Uploader\Documents\MASTER IMAGES\2025\Santa Cruz SU25 Imagery\Output</t>
  </si>
  <si>
    <t>C:\Users\FTP Uploader\Desktop\Copy of New SCA_SU25 Linelist with canceled removed.xlsx</t>
  </si>
  <si>
    <t>SB2221951_Black_1.jpg</t>
  </si>
  <si>
    <t>SB2221951_Black_2.jpg</t>
  </si>
  <si>
    <t>SB2221951_Black_3.jpg</t>
  </si>
  <si>
    <t>SB2221951_Black_4.jpg</t>
  </si>
  <si>
    <t>SB223-FO11_Black_1.jpg</t>
  </si>
  <si>
    <t>SB223-FO11_Black_2.jpg</t>
  </si>
  <si>
    <t>SB223-FO11_Black_3.jpg</t>
  </si>
  <si>
    <t>SB223-FO11_Black_4.jpg</t>
  </si>
  <si>
    <t>SCM-A3168_Biscuit_1.jpg</t>
  </si>
  <si>
    <t>SCM-A3168_Biscuit_2.jpg</t>
  </si>
  <si>
    <t>SCM-A3168_Biscuit_3.jpg</t>
  </si>
  <si>
    <t>SCM-A3168_Black_1.jpg</t>
  </si>
  <si>
    <t>SCM-A3168_Black_2.jpg</t>
  </si>
  <si>
    <t>SCM-A3168_Black_3.jpg</t>
  </si>
  <si>
    <t>SCM-A3169_Black_1.jpg</t>
  </si>
  <si>
    <t>SCM-A3169_Black_2.jpg</t>
  </si>
  <si>
    <t>SCM-A3170_Biscuit_1.jpg</t>
  </si>
  <si>
    <t>SCM-A3170_Biscuit_2.jpg</t>
  </si>
  <si>
    <t>SCM-A3170_Biscuit_3.jpg</t>
  </si>
  <si>
    <t>SCM-H3391_Black_1.jpg</t>
  </si>
  <si>
    <t>SCM-H3391_Black_2.jpg</t>
  </si>
  <si>
    <t>SCM-H3391_Black_3.jpg</t>
  </si>
  <si>
    <t>SCM-H3391_Black_4.jpg</t>
  </si>
  <si>
    <t>SCM-H3391_Black_5.jpg</t>
  </si>
  <si>
    <t>SCM-H3391_Black_6.jpg</t>
  </si>
  <si>
    <t>SCM-A3170_Black_1.jpg</t>
  </si>
  <si>
    <t>SCM-A3170_Black_2.jpg</t>
  </si>
  <si>
    <t>SCM-A3170_Black_3.jpg</t>
  </si>
  <si>
    <t>SCM-B3393_Black_1.jpg</t>
  </si>
  <si>
    <t>SCM-B3393_Black_2.jpg</t>
  </si>
  <si>
    <t>SCM-B3393_Black_3.jpg</t>
  </si>
  <si>
    <t>SCM-B3393_Black_4.jpg</t>
  </si>
  <si>
    <t>SCM-B3393_Black_5.jpg</t>
  </si>
  <si>
    <t>SCM-B3393_Black_6.jpg</t>
  </si>
  <si>
    <t>SCM-A3395_Multi_1.jpg</t>
  </si>
  <si>
    <t>SCM-A3395_Multi_2.jpg</t>
  </si>
  <si>
    <t>SCM-A3398_Black_1.jpg</t>
  </si>
  <si>
    <t>SCM-A3398_Black_2.jpg</t>
  </si>
  <si>
    <t>SCM-A3399_Multi_1.jpg</t>
  </si>
  <si>
    <t>SCM-A3354_Black_1.jpg</t>
  </si>
  <si>
    <t>SCM-A3354_Black_2.jpg</t>
  </si>
  <si>
    <t>SCM-A3358_Black_1.jpg</t>
  </si>
  <si>
    <t>SCM-A3358_Black_2.jpg</t>
  </si>
  <si>
    <t>SCM-L3406_Black_1.jpg</t>
  </si>
  <si>
    <t>SCM-A3414_Black_1.jpg</t>
  </si>
  <si>
    <t>SCM-A3414_Black_2.jpg</t>
  </si>
  <si>
    <t>SCM-L3406_White_1.jpg</t>
  </si>
  <si>
    <t>SCM-L3406_White_2.jpg</t>
  </si>
  <si>
    <t>SCM-L3406_White_3.jpg</t>
  </si>
  <si>
    <t>SCM-L3406_White_4.jpg</t>
  </si>
  <si>
    <t>SCM-L3406_White_5.jpg</t>
  </si>
  <si>
    <t>SCM-L3406_White_6.jpg</t>
  </si>
  <si>
    <t>SCM-H3408_Black_1.jpg</t>
  </si>
  <si>
    <t>SCM-H3408_Black_2.jpg</t>
  </si>
  <si>
    <t>SCM-A3415_Black_1.jpg</t>
  </si>
  <si>
    <t>SCM-H3409_Black_1.jpg</t>
  </si>
  <si>
    <t>SCM-H3409_Black_2.jpg</t>
  </si>
  <si>
    <t>SCM-A3416_White_1.jpg</t>
  </si>
  <si>
    <t>SCM-P1807_Black_1.jpg</t>
  </si>
  <si>
    <t>SCM-P1807_Black_2.jpg</t>
  </si>
  <si>
    <t>SCM-P3127_Black_1.jpg</t>
  </si>
  <si>
    <t>SCM-P3127_Black_2.jpg</t>
  </si>
  <si>
    <t>SCM-P3127_Black_3.jpg</t>
  </si>
  <si>
    <t>SCM-P3127_Black_4.jpg</t>
  </si>
  <si>
    <t>SCM-P3127_Black_5.jpg</t>
  </si>
  <si>
    <t>SCM-P3250_Iguana_1.jpg</t>
  </si>
  <si>
    <t>SCM-P3250_Iguana_2.jpg</t>
  </si>
  <si>
    <t>SCM-P3251_Tan_1.jpg</t>
  </si>
  <si>
    <t>SCM-P3251_Tan_2.jpg</t>
  </si>
  <si>
    <t>SCM-P3251_Tan_3.jpg</t>
  </si>
  <si>
    <t>SCM-P3251_Tan_4.jpg</t>
  </si>
  <si>
    <t>SCM-P3251_Tan_5.jpg</t>
  </si>
  <si>
    <t>SCM-P3251_Tan_6.jpg</t>
  </si>
  <si>
    <t>SCM-P3290_Black_1.jpg</t>
  </si>
  <si>
    <t>SCM-P3290_Black_2.jpg</t>
  </si>
  <si>
    <t>SCM-P3290_Black_3.jpg</t>
  </si>
  <si>
    <t>SCM-P3290_Black_4.jpg</t>
  </si>
  <si>
    <t>SCM-P3290_Black_5.jpg</t>
  </si>
  <si>
    <t>SCM-P3290_Black_6.jpg</t>
  </si>
  <si>
    <t>SCM-P3290_Chalk_1.jpg</t>
  </si>
  <si>
    <t>SCM-P3290_Chalk_2.jpg</t>
  </si>
  <si>
    <t>SCM-P3290_Chalk_3.jpg</t>
  </si>
  <si>
    <t>SCM-P3290_Chalk_4.jpg</t>
  </si>
  <si>
    <t>SCM-P3290_Chalk_5.jpg</t>
  </si>
  <si>
    <t>SCM-P3290_Chalk_6.jpg</t>
  </si>
  <si>
    <t>SCM-P3411_Grey_1.jpg</t>
  </si>
  <si>
    <t>SCM-P3411_Grey_2.jpg</t>
  </si>
  <si>
    <t>SCM-P3411_Grey_3.jpg</t>
  </si>
  <si>
    <t>SCM-P3411_Grey_4.jpg</t>
  </si>
  <si>
    <t>SCM-P3411_Grey_5.jpg</t>
  </si>
  <si>
    <t>SCM-P3411_Grey_6.jpg</t>
  </si>
  <si>
    <t>SCM-S3410_UFO_1.jpg</t>
  </si>
  <si>
    <t>SCM-S3410_UFO_2.jpg</t>
  </si>
  <si>
    <t>SCM-S3410_UFO_3.jpg</t>
  </si>
  <si>
    <t>SCM-S3410_UFO_4.jpg</t>
  </si>
  <si>
    <t>SCM-S3410_UFO_5.jpg</t>
  </si>
  <si>
    <t>SCM-S3410_UFO_6.jpg</t>
  </si>
  <si>
    <t>SCM-T3383_Black_1.jpg</t>
  </si>
  <si>
    <t>SCM-T3383_Black_2.jpg</t>
  </si>
  <si>
    <t>SCM-T3383_Lime_1.jpg</t>
  </si>
  <si>
    <t>SCM-T3383_Lime_2.jpg</t>
  </si>
  <si>
    <t>SCM-T3383_White_1.jpg</t>
  </si>
  <si>
    <t>SCM-T3383_White_2.jpg</t>
  </si>
  <si>
    <t>SCM-T3383_White_3.jpg</t>
  </si>
  <si>
    <t>SCM-T3383_White_4.jpg</t>
  </si>
  <si>
    <t>SCM-T3383_White_5.jpg</t>
  </si>
  <si>
    <t>SCM-T3383_White_6.jpg</t>
  </si>
  <si>
    <t>SCM-T3384_Black_1.jpg</t>
  </si>
  <si>
    <t>SCM-T3385_Black_1.jpg</t>
  </si>
  <si>
    <t>SCM-T3385_Black_2.jpg</t>
  </si>
  <si>
    <t>SCM-T3386_Black_1.jpg</t>
  </si>
  <si>
    <t>SCM-T3386_Black_2.jpg</t>
  </si>
  <si>
    <t>SCM-T3386_White_1.jpg</t>
  </si>
  <si>
    <t>SCM-T3386_White_2.jpg</t>
  </si>
  <si>
    <t>SCM-T3386_White_3.jpg</t>
  </si>
  <si>
    <t>SCM-T3386_White_4.jpg</t>
  </si>
  <si>
    <t>SCM-T3386_White_5.jpg</t>
  </si>
  <si>
    <t>SCM-T3386_White_6.jpg</t>
  </si>
  <si>
    <t>SCM-T3387_Black_1.jpg</t>
  </si>
  <si>
    <t>SCM-T3387_Black_2.jpg</t>
  </si>
  <si>
    <t>SCM-T3387_White_1.jpg</t>
  </si>
  <si>
    <t>SCM-T3387_White_2.jpg</t>
  </si>
  <si>
    <t>SCM-T3387_White_3.jpg</t>
  </si>
  <si>
    <t>SCM-T3387_White_4.jpg</t>
  </si>
  <si>
    <t>SCM-T3387_White_5.jpg</t>
  </si>
  <si>
    <t>SCM-T3387_White_6.jpg</t>
  </si>
  <si>
    <t>SCM-T3402_Black_1.jpg</t>
  </si>
  <si>
    <t>SCM-T3402_Black_2.jpg</t>
  </si>
  <si>
    <t>SCM-T3402_White_1.jpg</t>
  </si>
  <si>
    <t>SCM-T3402_White_2.jpg</t>
  </si>
  <si>
    <t>SCM-T3404_Black_1.jpg</t>
  </si>
  <si>
    <t>SCM-T3404_Black_2.jpg</t>
  </si>
  <si>
    <t>SCM-T3404_White_1.jpg</t>
  </si>
  <si>
    <t>SCM-T3404_White_2.jpg</t>
  </si>
  <si>
    <t>SCM-T3404_White_3.jpg</t>
  </si>
  <si>
    <t>SCM-T3404_White_4.jpg</t>
  </si>
  <si>
    <t>SCM-T3404_White_5.jpg</t>
  </si>
  <si>
    <t>SCM-T3404_White_6.jpg</t>
  </si>
  <si>
    <t>SCM-T3405_Black_1.jpg</t>
  </si>
  <si>
    <t>SCM-V3389_Black_1.jpg</t>
  </si>
  <si>
    <t>SCM-V3389_Black_2.jpg</t>
  </si>
  <si>
    <t>SCM123-FO01_Black_1.jpg</t>
  </si>
  <si>
    <t>SCM123-FO01_Black_2.jpg</t>
  </si>
  <si>
    <t>SCM123-FO01_Black_3.jpg</t>
  </si>
  <si>
    <t>SCW-A1194_Assorted_1.jpg</t>
  </si>
  <si>
    <t>SCW-A1194_Assorted_2.jpg</t>
  </si>
  <si>
    <t>SCW-A1194_Assorted_3.jpg</t>
  </si>
  <si>
    <t>SCW-H1919_Black_1.jpg</t>
  </si>
  <si>
    <t>SCW-H1919_Black_2.jpg</t>
  </si>
  <si>
    <t>SCW-P1042_Beige_1.jpg</t>
  </si>
  <si>
    <t>SCW-P1042_Beige_2.jpg</t>
  </si>
  <si>
    <t>SCW-P1042_Black_1.jpg</t>
  </si>
  <si>
    <t>SCW-P1042_Black_2.jpg</t>
  </si>
  <si>
    <t>SCW-P1319_Lavender_1.jpg</t>
  </si>
  <si>
    <t>SCW-P1319_Lavender_2.jpg</t>
  </si>
  <si>
    <t>SCW-T1907_Lavender_1.jpg</t>
  </si>
  <si>
    <t>SCW-T1907_Lavender_2.jpg</t>
  </si>
  <si>
    <t>SCW-T1907_Oat_1.jpg</t>
  </si>
  <si>
    <t>SCW-T1907_Oat_2.jpg</t>
  </si>
  <si>
    <t>SCW-T1907_Oat_3.jpg</t>
  </si>
  <si>
    <t>SCW-T1907_Oat_4.jpg</t>
  </si>
  <si>
    <t>SCW-T1907_Oat_5.jpg</t>
  </si>
  <si>
    <t>SCW-T1908_White_1.jpg</t>
  </si>
  <si>
    <t>SCW-T1908_White_2.jpg</t>
  </si>
  <si>
    <t>SCW-T1908_White_3.jpg</t>
  </si>
  <si>
    <t>SCW-T1908_White_4.jpg</t>
  </si>
  <si>
    <t>SCW-T1908_White_5.jpg</t>
  </si>
  <si>
    <t>SCW-T1908_White_6.jpg</t>
  </si>
  <si>
    <t>SCW-T1909_Black_1.jpg</t>
  </si>
  <si>
    <t>SCW-T1909_Black_2.jpg</t>
  </si>
  <si>
    <t>SCW-T1909_Black_3.jpg</t>
  </si>
  <si>
    <t>SCW-T1909_Black_4.jpg</t>
  </si>
  <si>
    <t>SCW-T1909_Black_5.jpg</t>
  </si>
  <si>
    <t>SCW-T1909_Oat_1.jpg</t>
  </si>
  <si>
    <t>SCW-T1910_Lavender_1.jpg</t>
  </si>
  <si>
    <t>SCW-T1911_Sangria_1.jpg</t>
  </si>
  <si>
    <t>SCW-T1911_Sangria_2.jpg</t>
  </si>
  <si>
    <t>SCW-T1911_White_1.jpg</t>
  </si>
  <si>
    <t>SCW-T1911_White_2.jpg</t>
  </si>
  <si>
    <t>SCW-T1911_White_3.jpg</t>
  </si>
  <si>
    <t>SCW-T1911_White_4.jpg</t>
  </si>
  <si>
    <t>SCW-T1911_White_5.jpg</t>
  </si>
  <si>
    <t>SCW-T1911_White_6.jpg</t>
  </si>
  <si>
    <t>SM2221911_Black_1.jpg</t>
  </si>
  <si>
    <t>2 &amp; O/S &amp; UK 8-11 (EU 42-45) &amp; 6 &amp; UK 4-7</t>
  </si>
  <si>
    <t>3 &amp; XS &amp; 28 &amp; 7 &amp; 6</t>
  </si>
  <si>
    <t>4 &amp; S &amp; 30 &amp; 8</t>
  </si>
  <si>
    <t>5 &amp; M &amp; 32 &amp; 9 &amp; 10</t>
  </si>
  <si>
    <t>6 &amp; L &amp; 34 &amp; 10 &amp; 12</t>
  </si>
  <si>
    <t>XL &amp; 36 &amp; 11 &amp; 14</t>
  </si>
  <si>
    <t>XXL &amp; 12 &amp; 16</t>
  </si>
  <si>
    <t>Set renaming data worksheet To rename Customers images.</t>
  </si>
  <si>
    <t>Calculate renaming images worksheet ready For copy files operations.</t>
  </si>
  <si>
    <t>Santa Cruz_Youth_Youth Screaming Hand Thong_Black_1.jpg</t>
  </si>
  <si>
    <t>Santa Cruz_Youth_Youth Screaming Hand Thong_Black_2.jpg</t>
  </si>
  <si>
    <t>Santa Cruz_Youth_Youth Screaming Hand Thong_Black_3.jpg</t>
  </si>
  <si>
    <t>Santa Cruz_Youth_Youth Screaming Hand Thong_Black_4.jpg</t>
  </si>
  <si>
    <t>Santa Cruz_Youth_Youth Classic Dot Slides_Black_1.jpg</t>
  </si>
  <si>
    <t>Santa Cruz_Youth_Youth Classic Dot Slides_Black_2.jpg</t>
  </si>
  <si>
    <t>Santa Cruz_Youth_Youth Classic Dot Slides_Black_3.jpg</t>
  </si>
  <si>
    <t>Santa Cruz_Youth_Youth Classic Dot Slides_Black_4.jpg</t>
  </si>
  <si>
    <t>Santa Cruz_Mens_Classic Dot Emb Backpack_Biscuit_1.jpg</t>
  </si>
  <si>
    <t>Santa Cruz_Mens_Classic Dot Emb Backpack_Biscuit_2.jpg</t>
  </si>
  <si>
    <t>Santa Cruz_Mens_Classic Dot Emb Backpack_Biscuit_3.jpg</t>
  </si>
  <si>
    <t>Santa Cruz_Mens_Classic Dot Emb Backpack_Black_1.jpg</t>
  </si>
  <si>
    <t>Santa Cruz_Mens_Classic Dot Emb Backpack_Black_2.jpg</t>
  </si>
  <si>
    <t>Santa Cruz_Mens_Classic Dot Emb Backpack_Black_3.jpg</t>
  </si>
  <si>
    <t>Santa Cruz_Mens_Classic Label Sidebag_Black_1.jpg</t>
  </si>
  <si>
    <t>Santa Cruz_Mens_Classic Label Sidebag_Black_2.jpg</t>
  </si>
  <si>
    <t>Santa Cruz_Mens_Classic Dot Emb Skatepack_Biscuit_1.jpg</t>
  </si>
  <si>
    <t>Santa Cruz_Mens_Classic Dot Emb Skatepack_Biscuit_2.jpg</t>
  </si>
  <si>
    <t>Santa Cruz_Mens_Classic Dot Emb Skatepack_Biscuit_3.jpg</t>
  </si>
  <si>
    <t>Santa Cruz_Mens_Screaming Rose Flash Hood_Black_1.jpg</t>
  </si>
  <si>
    <t>Santa Cruz_Mens_Screaming Rose Flash Hood_Black_2.jpg</t>
  </si>
  <si>
    <t>Santa Cruz_Mens_Screaming Rose Flash Hood_Black_3.jpg</t>
  </si>
  <si>
    <t>Santa Cruz_Mens_Screaming Rose Flash Hood_Black_4.jpg</t>
  </si>
  <si>
    <t>Santa Cruz_Mens_Screaming Rose Flash Hood_Black_5.jpg</t>
  </si>
  <si>
    <t>Santa Cruz_Mens_Screaming Rose Flash Hood_Black_6.jpg</t>
  </si>
  <si>
    <t>Santa Cruz_Mens_Classic Dot Emb Skatepack_Black_1.jpg</t>
  </si>
  <si>
    <t>Santa Cruz_Mens_Classic Dot Emb Skatepack_Black_2.jpg</t>
  </si>
  <si>
    <t>Santa Cruz_Mens_Classic Dot Emb Skatepack_Black_3.jpg</t>
  </si>
  <si>
    <t>Santa Cruz_Mens_Cabana Swimshorts_Black_1.jpg</t>
  </si>
  <si>
    <t>Santa Cruz_Mens_Cabana Swimshorts_Black_2.jpg</t>
  </si>
  <si>
    <t>Santa Cruz_Mens_Cabana Swimshorts_Black_3.jpg</t>
  </si>
  <si>
    <t>Santa Cruz_Mens_Cabana Swimshorts_Black_4.jpg</t>
  </si>
  <si>
    <t>Santa Cruz_Mens_Cabana Swimshorts_Black_5.jpg</t>
  </si>
  <si>
    <t>Santa Cruz_Mens_Cabana Swimshorts_Black_6.jpg</t>
  </si>
  <si>
    <t>Santa Cruz_Mens_Grabke Clock Dot Pin Badge_Multi_1.jpg</t>
  </si>
  <si>
    <t>Santa Cruz_Mens_Grabke Clock Dot Pin Badge_Multi_2.jpg</t>
  </si>
  <si>
    <t>Santa Cruz_Mens_Other Dot Rose Meshback_Black_1.jpg</t>
  </si>
  <si>
    <t>Santa Cruz_Mens_Other Dot Rose Meshback_Black_2.jpg</t>
  </si>
  <si>
    <t>Santa Cruz_Mens_Flash Roses Sock_Multi_1.jpg</t>
  </si>
  <si>
    <t>Santa Cruz_Mens_Watson Plus Sunglasses_Black_2.jpg</t>
  </si>
  <si>
    <t>Santa Cruz_Mens_Hudson Tote_Black_2.jpg</t>
  </si>
  <si>
    <t>Santa Cruz_Mens_Winkowski Dope Planet 2 Dot Front LS T-Shirt_Black_1.jpg</t>
  </si>
  <si>
    <t>Santa Cruz_Mens_Winkowski UFO Dot Snapback_Black_1.jpg</t>
  </si>
  <si>
    <t>Santa Cruz_Mens_Winkowski UFO Dot Snapback_Black_2.jpg</t>
  </si>
  <si>
    <t>Santa Cruz_Mens_Winkowski Dope Planet 2 Dot Front LS T-Shirt_White_1.jpg</t>
  </si>
  <si>
    <t>Santa Cruz_Mens_Winkowski Dope Planet 2 Dot Front LS T-Shirt_White_2.jpg</t>
  </si>
  <si>
    <t>Santa Cruz_Mens_Winkowski Dope Planet 2 Dot Front LS T-Shirt_White_3.jpg</t>
  </si>
  <si>
    <t>Santa Cruz_Mens_Winkowski Dope Planet 2 Dot Front LS T-Shirt_White_4.jpg</t>
  </si>
  <si>
    <t>Santa Cruz_Mens_Winkowski Dope Planet 2 Dot Front LS T-Shirt_White_5.jpg</t>
  </si>
  <si>
    <t>Santa Cruz_Mens_Winkowski Dope Planet 2 Dot Front LS T-Shirt_White_6.jpg</t>
  </si>
  <si>
    <t>Santa Cruz_Mens_Knibbs Invasion Hand Hood_Black_1.jpg</t>
  </si>
  <si>
    <t>Santa Cruz_Mens_Knibbs Invasion Hand Hood_Black_2.jpg</t>
  </si>
  <si>
    <t>Santa Cruz_Mens_Winkowski UFO Strip Sock_Black_1.jpg</t>
  </si>
  <si>
    <t>Santa Cruz_Mens_Winkowski Dope Planet 2 Centre Hood_Black_1.jpg</t>
  </si>
  <si>
    <t>Santa Cruz_Mens_Winkowski Dope Planet 2 Centre Hood_Black_2.jpg</t>
  </si>
  <si>
    <t>Santa Cruz_Mens_Knibbs Alien Stacked Strip Sock_White_1.jpg</t>
  </si>
  <si>
    <t>Santa Cruz_Mens_Tab Pants_Black_1.jpg</t>
  </si>
  <si>
    <t>Santa Cruz_Mens_Tab Pants_Black_2.jpg</t>
  </si>
  <si>
    <t>Santa Cruz_Mens_Flight Pants_Black_2.jpg</t>
  </si>
  <si>
    <t>Santa Cruz_Mens_Flight Pants_Black_3.jpg</t>
  </si>
  <si>
    <t>Santa Cruz_Mens_Flight Pants_Black_4.jpg</t>
  </si>
  <si>
    <t>Santa Cruz_Mens_Flight Pants_Black_5.jpg</t>
  </si>
  <si>
    <t>Santa Cruz_Mens_Carpenter Big Pants_Iguana_1.jpg</t>
  </si>
  <si>
    <t>Santa Cruz_Mens_Carpenter Big Pants_Iguana_2.jpg</t>
  </si>
  <si>
    <t>Santa Cruz_Mens_Carpenter Big Shorts_Tan_1.jpg</t>
  </si>
  <si>
    <t>Santa Cruz_Mens_Carpenter Big Shorts_Tan_2.jpg</t>
  </si>
  <si>
    <t>Santa Cruz_Mens_Carpenter Big Shorts_Tan_3.jpg</t>
  </si>
  <si>
    <t>Santa Cruz_Mens_Carpenter Big Shorts_Tan_4.jpg</t>
  </si>
  <si>
    <t>Santa Cruz_Mens_Carpenter Big Shorts_Tan_5.jpg</t>
  </si>
  <si>
    <t>Santa Cruz_Mens_Carpenter Big Shorts_Tan_6.jpg</t>
  </si>
  <si>
    <t>Santa Cruz_Mens_Dillon Shorts_Black_6.jpg</t>
  </si>
  <si>
    <t>Santa Cruz_Mens_Dillon Shorts_Chalk_1.jpg</t>
  </si>
  <si>
    <t>Santa Cruz_Mens_Dillon Shorts_Chalk_2.jpg</t>
  </si>
  <si>
    <t>Santa Cruz_Mens_Dillon Shorts_Chalk_3.jpg</t>
  </si>
  <si>
    <t>Santa Cruz_Mens_Dillon Shorts_Chalk_4.jpg</t>
  </si>
  <si>
    <t>Santa Cruz_Mens_Dillon Shorts_Chalk_5.jpg</t>
  </si>
  <si>
    <t>Santa Cruz_Mens_Dillon Shorts_Chalk_6.jpg</t>
  </si>
  <si>
    <t>Santa Cruz_Mens_Winkowski UFO Big Shorts_Grey_1.jpg</t>
  </si>
  <si>
    <t>Santa Cruz_Mens_Winkowski UFO Big Shorts_Grey_2.jpg</t>
  </si>
  <si>
    <t>Santa Cruz_Mens_Winkowski UFO Big Shorts_Grey_3.jpg</t>
  </si>
  <si>
    <t>Santa Cruz_Mens_Winkowski UFO Big Shorts_Grey_4.jpg</t>
  </si>
  <si>
    <t>Santa Cruz_Mens_Winkowski UFO Big Shorts_Grey_5.jpg</t>
  </si>
  <si>
    <t>Santa Cruz_Mens_Winkowski UFO Big Shorts_Grey_6.jpg</t>
  </si>
  <si>
    <t>Santa Cruz_Mens_Winkowski UFO Shirt_UFO_1.jpg</t>
  </si>
  <si>
    <t>Santa Cruz_Mens_Winkowski UFO Shirt_UFO_2.jpg</t>
  </si>
  <si>
    <t>Santa Cruz_Mens_Winkowski UFO Shirt_UFO_3.jpg</t>
  </si>
  <si>
    <t>Santa Cruz_Mens_Winkowski UFO Shirt_UFO_4.jpg</t>
  </si>
  <si>
    <t>Santa Cruz_Mens_Winkowski UFO Shirt_UFO_5.jpg</t>
  </si>
  <si>
    <t>Santa Cruz_Mens_Winkowski UFO Shirt_UFO_6.jpg</t>
  </si>
  <si>
    <t>Santa Cruz_Mens_Grabke All Around Stack T-Shirt_Black_1.jpg</t>
  </si>
  <si>
    <t>Santa Cruz_Mens_Grabke All Around Stack T-Shirt_Black_2.jpg</t>
  </si>
  <si>
    <t>Santa Cruz_Mens_Grabke All Around Stack T-Shirt_Lime_1.jpg</t>
  </si>
  <si>
    <t>Santa Cruz_Mens_Grabke All Around Stack T-Shirt_Lime_2.jpg</t>
  </si>
  <si>
    <t>Santa Cruz_Mens_Grabke All Around Stack T-Shirt_White_1.jpg</t>
  </si>
  <si>
    <t>Santa Cruz_Mens_Grabke All Around Stack T-Shirt_White_2.jpg</t>
  </si>
  <si>
    <t>Santa Cruz_Mens_Grabke All Around Stack T-Shirt_White_3.jpg</t>
  </si>
  <si>
    <t>Santa Cruz_Mens_Grabke All Around Stack T-Shirt_White_4.jpg</t>
  </si>
  <si>
    <t>Santa Cruz_Mens_Grabke All Around Stack T-Shirt_White_5.jpg</t>
  </si>
  <si>
    <t>Santa Cruz_Mens_Grabke All Around Stack T-Shirt_White_6.jpg</t>
  </si>
  <si>
    <t>Santa Cruz_Mens_Grabke Clock Dot Front T-Shirt_Black_1.jpg</t>
  </si>
  <si>
    <t>Santa Cruz_Mens_Screaming Hibiscus Front T-Shirt_Black_1.jpg</t>
  </si>
  <si>
    <t>Santa Cruz_Mens_Screaming Hibiscus Front T-Shirt_Black_2.jpg</t>
  </si>
  <si>
    <t>Santa Cruz_Mens_Roskopp Screaming Target T-Shirt_Black_1.jpg</t>
  </si>
  <si>
    <t>Santa Cruz_Mens_Roskopp Screaming Target T-Shirt_Black_2.jpg</t>
  </si>
  <si>
    <t>Santa Cruz_Mens_Roskopp Screaming Target T-Shirt_White_1.jpg</t>
  </si>
  <si>
    <t>Santa Cruz_Mens_Roskopp Screaming Target T-Shirt_White_2.jpg</t>
  </si>
  <si>
    <t>Santa Cruz_Mens_Roskopp Screaming Target T-Shirt_White_3.jpg</t>
  </si>
  <si>
    <t>Santa Cruz_Mens_Roskopp Screaming Target T-Shirt_White_4.jpg</t>
  </si>
  <si>
    <t>Santa Cruz_Mens_Roskopp Screaming Target T-Shirt_White_5.jpg</t>
  </si>
  <si>
    <t>Santa Cruz_Mens_Roskopp Screaming Target T-Shirt_White_6.jpg</t>
  </si>
  <si>
    <t>Santa Cruz_Mens_Screaming Rose Flash T-Shirt_Black_1.jpg</t>
  </si>
  <si>
    <t>Santa Cruz_Mens_Screaming Rose Flash T-Shirt_Black_2.jpg</t>
  </si>
  <si>
    <t>Santa Cruz_Mens_Screaming Rose Flash T-Shirt_White_1.jpg</t>
  </si>
  <si>
    <t>Santa Cruz_Mens_Screaming Rose Flash T-Shirt_White_2.jpg</t>
  </si>
  <si>
    <t>Santa Cruz_Mens_Screaming Rose Flash T-Shirt_White_3.jpg</t>
  </si>
  <si>
    <t>Santa Cruz_Mens_Screaming Rose Flash T-Shirt_White_4.jpg</t>
  </si>
  <si>
    <t>Santa Cruz_Mens_Screaming Rose Flash T-Shirt_White_5.jpg</t>
  </si>
  <si>
    <t>Santa Cruz_Mens_Screaming Rose Flash T-Shirt_White_6.jpg</t>
  </si>
  <si>
    <t>Santa Cruz_Mens_Winkowski UFO Dot T-Shirt_Black_1.jpg</t>
  </si>
  <si>
    <t>Santa Cruz_Mens_Winkowski UFO Dot T-Shirt_Black_2.jpg</t>
  </si>
  <si>
    <t>Santa Cruz_Mens_Winkowski UFO Dot T-Shirt_White_1.jpg</t>
  </si>
  <si>
    <t>Santa Cruz_Mens_Winkowski UFO Dot T-Shirt_White_2.jpg</t>
  </si>
  <si>
    <t>Santa Cruz_Mens_Knibbs Invasion Hand Strip T-Shirt_Black_1.jpg</t>
  </si>
  <si>
    <t>Santa Cruz_Mens_Knibbs Invasion Hand Strip T-Shirt_Black_2.jpg</t>
  </si>
  <si>
    <t>Santa Cruz_Mens_Knibbs Invasion Hand Strip T-Shirt_White_1.jpg</t>
  </si>
  <si>
    <t>Santa Cruz_Mens_Knibbs Invasion Hand Strip T-Shirt_White_2.jpg</t>
  </si>
  <si>
    <t>Santa Cruz_Mens_Knibbs Invasion Hand Strip T-Shirt_White_3.jpg</t>
  </si>
  <si>
    <t>Santa Cruz_Mens_Knibbs Invasion Hand Strip T-Shirt_White_4.jpg</t>
  </si>
  <si>
    <t>Santa Cruz_Mens_Knibbs Invasion Hand Strip T-Shirt_White_5.jpg</t>
  </si>
  <si>
    <t>Santa Cruz_Mens_Knibbs Invasion Hand Strip T-Shirt_White_6.jpg</t>
  </si>
  <si>
    <t>Santa Cruz_Mens_Roskopp Iris Front T-Shirt_Black_1.jpg</t>
  </si>
  <si>
    <t>Santa Cruz_Mens_Partial Dot Vest_Black_1.jpg</t>
  </si>
  <si>
    <t>Santa Cruz_Mens_Partial Dot Vest_Black_2.jpg</t>
  </si>
  <si>
    <t>Santa Cruz_Mens_Classic Dot Thong_Black_1.jpg</t>
  </si>
  <si>
    <t>Santa Cruz_Mens_Classic Dot Thong_Black_2.jpg</t>
  </si>
  <si>
    <t>Santa Cruz_Mens_Classic Dot Thong_Black_3.jpg</t>
  </si>
  <si>
    <t>Santa Cruz_Womens_Starry Campfire Zip Hood_Black_1.jpg</t>
  </si>
  <si>
    <t>Santa Cruz_Womens_Starry Campfire Zip Hood_Black_2.jpg</t>
  </si>
  <si>
    <t>Santa Cruz_Womens_Nolan Chino_Beige_1.jpg</t>
  </si>
  <si>
    <t>Santa Cruz_Womens_Nolan Chino_Beige_2.jpg</t>
  </si>
  <si>
    <t>Santa Cruz_Womens_Nolan Chino_Black_1.jpg</t>
  </si>
  <si>
    <t>Santa Cruz_Womens_Nolan Chino_Black_2.jpg</t>
  </si>
  <si>
    <t>Santa Cruz_Womens_Nolan Carpenter Pant_Lavender_1.jpg</t>
  </si>
  <si>
    <t>Santa Cruz_Womens_Nolan Carpenter Pant_Lavender_2.jpg</t>
  </si>
  <si>
    <t>Santa Cruz_Womens_Camp Retreat Front T-Shirt_Lavender_1.jpg</t>
  </si>
  <si>
    <t>Santa Cruz_Womens_Camp Retreat Front T-Shirt_Lavender_2.jpg</t>
  </si>
  <si>
    <t>Santa Cruz_Womens_Camp Retreat Front T-Shirt_Oat_1.jpg</t>
  </si>
  <si>
    <t>Santa Cruz_Womens_Camp Retreat Front T-Shirt_Oat_2.jpg</t>
  </si>
  <si>
    <t>Santa Cruz_Womens_Camp Retreat Front T-Shirt_Oat_3.jpg</t>
  </si>
  <si>
    <t>Santa Cruz_Womens_Camp Retreat Front T-Shirt_Oat_4.jpg</t>
  </si>
  <si>
    <t>Santa Cruz_Womens_Camp Retreat Front T-Shirt_Oat_5.jpg</t>
  </si>
  <si>
    <t>Santa Cruz_Womens_Offshore Dot T-Shirt_White_1.jpg</t>
  </si>
  <si>
    <t>Santa Cruz_Womens_Offshore Dot T-Shirt_White_2.jpg</t>
  </si>
  <si>
    <t>Santa Cruz_Womens_Offshore Dot T-Shirt_White_3.jpg</t>
  </si>
  <si>
    <t>Santa Cruz_Womens_Offshore Dot T-Shirt_White_4.jpg</t>
  </si>
  <si>
    <t>Santa Cruz_Womens_Offshore Dot T-Shirt_White_5.jpg</t>
  </si>
  <si>
    <t>Santa Cruz_Womens_Offshore Dot T-Shirt_White_6.jpg</t>
  </si>
  <si>
    <t>Santa Cruz_Womens_Woodland Mini Strip Front T-Shirt_Black_1.jpg</t>
  </si>
  <si>
    <t>Santa Cruz_Womens_Woodland Mini Strip Front T-Shirt_Black_2.jpg</t>
  </si>
  <si>
    <t>Santa Cruz_Womens_Woodland Mini Strip Front T-Shirt_Black_3.jpg</t>
  </si>
  <si>
    <t>Santa Cruz_Womens_Woodland Mini Strip Front T-Shirt_Black_4.jpg</t>
  </si>
  <si>
    <t>Santa Cruz_Womens_Woodland Mini Strip Front T-Shirt_Black_5.jpg</t>
  </si>
  <si>
    <t>Santa Cruz_Womens_Woodland Mini Strip Front T-Shirt_Oat_1.jpg</t>
  </si>
  <si>
    <t>Santa Cruz_Womens_Moon Dot Reflection Front T-Shirt_Lavender_1.jpg</t>
  </si>
  <si>
    <t>Santa Cruz_Womens_Flutter Flash T-Shirt_Sangria_1.jpg</t>
  </si>
  <si>
    <t>Santa Cruz_Womens_Flutter Flash T-Shirt_Sangria_2.jpg</t>
  </si>
  <si>
    <t>Santa Cruz_Womens_Flutter Flash T-Shirt_White_1.jpg</t>
  </si>
  <si>
    <t>Santa Cruz_Womens_Flutter Flash T-Shirt_White_2.jpg</t>
  </si>
  <si>
    <t>Santa Cruz_Womens_Flutter Flash T-Shirt_White_3.jpg</t>
  </si>
  <si>
    <t>Santa Cruz_Womens_Flutter Flash T-Shirt_White_4.jpg</t>
  </si>
  <si>
    <t>Santa Cruz_Womens_Flutter Flash T-Shirt_White_5.jpg</t>
  </si>
  <si>
    <t>Santa Cruz_Womens_Flutter Flash T-Shirt_White_6.jpg</t>
  </si>
  <si>
    <t>Santa Cruz_Mens_Opus Dot Slides_Black_1.jpg</t>
  </si>
  <si>
    <t>Set renaming data worksheet To rename D2C images.</t>
  </si>
  <si>
    <t>B2C-SCAYSO-0001_1.jpg</t>
  </si>
  <si>
    <t>B2C-SCAYSO-0001_2.jpg</t>
  </si>
  <si>
    <t>B2C-SCAYSO-0001_3.jpg</t>
  </si>
  <si>
    <t>B2C-SCAYSO-0001_4.jpg</t>
  </si>
  <si>
    <t>B2C-SCAYSO-0002_1.jpg</t>
  </si>
  <si>
    <t>B2C-SCAYSO-0002_2.jpg</t>
  </si>
  <si>
    <t>B2C-SCAYSO-0002_3.jpg</t>
  </si>
  <si>
    <t>B2C-SCAYSO-0002_4.jpg</t>
  </si>
  <si>
    <t>SCA-BAG-0219_1.jpg</t>
  </si>
  <si>
    <t>SCA-BAG-0219_2.jpg</t>
  </si>
  <si>
    <t>SCA-BAG-0219_3.jpg</t>
  </si>
  <si>
    <t>SCA-BAG-0217_1.jpg</t>
  </si>
  <si>
    <t>SCA-BAG-0217_2.jpg</t>
  </si>
  <si>
    <t>SCA-BAG-0217_3.jpg</t>
  </si>
  <si>
    <t>SCA-BAG-0215_1.jpg</t>
  </si>
  <si>
    <t>SCA-BAG-0215_2.jpg</t>
  </si>
  <si>
    <t>SCA-BAG-0221_1.jpg</t>
  </si>
  <si>
    <t>SCA-BAG-0221_2.jpg</t>
  </si>
  <si>
    <t>SCA-BAG-0221_3.jpg</t>
  </si>
  <si>
    <t>Skipped copying file due To skip flag.</t>
  </si>
  <si>
    <t>SCA-BAG-0220_1.jpg</t>
  </si>
  <si>
    <t>SCA-BAG-0220_2.jpg</t>
  </si>
  <si>
    <t>SCA-BAG-0220_3.jpg</t>
  </si>
  <si>
    <t>SCA-SUN-0273_2.jpg</t>
  </si>
  <si>
    <t>SCA-BAG-0224_2.jpg</t>
  </si>
  <si>
    <t>B2C-SCAPNT-1097_2.jpg</t>
  </si>
  <si>
    <t>B2C-SCAPNT-1097_3.jpg</t>
  </si>
  <si>
    <t>B2C-SCAPNT-1097_4.jpg</t>
  </si>
  <si>
    <t>B2C-SCAPNT-1097_5.jpg</t>
  </si>
  <si>
    <t>B2C-SCASHR-0219_6.jpg</t>
  </si>
  <si>
    <t>B2C-SCASHO-0001_1.jpg</t>
  </si>
  <si>
    <t>B2C-SCASHO-0001_2.jpg</t>
  </si>
  <si>
    <t>B2C-SCASHO-0001_3.jpg</t>
  </si>
  <si>
    <t>B2C-SCASHO-0002_1.jpg</t>
  </si>
  <si>
    <t>Set renaming data worksheet To rename 2 &amp; O/S &amp; UK 8-11 (EU 42-45) &amp; 6 &amp; UK 4-7 images.</t>
  </si>
  <si>
    <t>Create 2 &amp; O~S &amp; UK 8-11 (EU 42-45) &amp; 6 &amp; UK 4-7 &amp; subfolder in the output folder.</t>
  </si>
  <si>
    <t>_1.jpg</t>
  </si>
  <si>
    <t>_2.jpg</t>
  </si>
  <si>
    <t>_3.jpg</t>
  </si>
  <si>
    <t>_4.jpg</t>
  </si>
  <si>
    <t>SCA-ACC-0265_1.jpg</t>
  </si>
  <si>
    <t>SCA-ACC-0265_2.jpg</t>
  </si>
  <si>
    <t>SCA-CAP-0543_1.jpg</t>
  </si>
  <si>
    <t>SCA-CAP-0543_2.jpg</t>
  </si>
  <si>
    <t>SCA-CAP-0544_1.jpg</t>
  </si>
  <si>
    <t>SCA-CAP-0544_2.jpg</t>
  </si>
  <si>
    <t>SCA-SHO-0001_1.jpg</t>
  </si>
  <si>
    <t>SCA-SHO-0001_2.jpg</t>
  </si>
  <si>
    <t>SCA-SHO-0001_3.jpg</t>
  </si>
  <si>
    <t>SCA-SHO-0008_1.jpg</t>
  </si>
  <si>
    <t>Set renaming data worksheet To rename 3 &amp; XS &amp; 28 &amp; 7 &amp; 6 images.</t>
  </si>
  <si>
    <t>Create 3 &amp; XS &amp; 28 &amp; 7 &amp; 6 &amp; subfolder in the output folder.</t>
  </si>
  <si>
    <t>SCA-YSO-0002_1.jpg</t>
  </si>
  <si>
    <t>SCA-YSO-0002_2.jpg</t>
  </si>
  <si>
    <t>SCA-YSO-0002_3.jpg</t>
  </si>
  <si>
    <t>SCA-YSO-0002_4.jpg</t>
  </si>
  <si>
    <t>SCA-YSO-0007_1.jpg</t>
  </si>
  <si>
    <t>SCA-YSO-0007_2.jpg</t>
  </si>
  <si>
    <t>SCA-YSO-0007_3.jpg</t>
  </si>
  <si>
    <t>SCA-YSO-0007_4.jpg</t>
  </si>
  <si>
    <t>SCA-HDY-2045_1.jpg</t>
  </si>
  <si>
    <t>SCA-HDY-2045_2.jpg</t>
  </si>
  <si>
    <t>SCA-HDY-2045_3.jpg</t>
  </si>
  <si>
    <t>SCA-HDY-2045_4.jpg</t>
  </si>
  <si>
    <t>SCA-HDY-2045_5.jpg</t>
  </si>
  <si>
    <t>SCA-HDY-2045_6.jpg</t>
  </si>
  <si>
    <t>SCA-SHR-5472_1.jpg</t>
  </si>
  <si>
    <t>SCA-SHR-5472_2.jpg</t>
  </si>
  <si>
    <t>SCA-SHR-5472_3.jpg</t>
  </si>
  <si>
    <t>SCA-SHR-5472_4.jpg</t>
  </si>
  <si>
    <t>SCA-SHR-5472_5.jpg</t>
  </si>
  <si>
    <t>SCA-SHR-5472_6.jpg</t>
  </si>
  <si>
    <t>SCA-LTE-9772_1.jpg</t>
  </si>
  <si>
    <t>SCA-LTE-9778_1.jpg</t>
  </si>
  <si>
    <t>SCA-LTE-9778_2.jpg</t>
  </si>
  <si>
    <t>SCA-LTE-9778_3.jpg</t>
  </si>
  <si>
    <t>SCA-LTE-9778_4.jpg</t>
  </si>
  <si>
    <t>SCA-LTE-9778_5.jpg</t>
  </si>
  <si>
    <t>SCA-LTE-9778_6.jpg</t>
  </si>
  <si>
    <t>SCA-HDY-2057_1.jpg</t>
  </si>
  <si>
    <t>SCA-HDY-2057_2.jpg</t>
  </si>
  <si>
    <t>SCA-HDY-2069_1.jpg</t>
  </si>
  <si>
    <t>SCA-HDY-2069_2.jpg</t>
  </si>
  <si>
    <t>SCA-PNT-0349_1.jpg</t>
  </si>
  <si>
    <t>SCA-PNT-0349_2.jpg</t>
  </si>
  <si>
    <t>SCA-PNT-1316_2.jpg</t>
  </si>
  <si>
    <t>SCA-PNT-1316_3.jpg</t>
  </si>
  <si>
    <t>SCA-PNT-1316_4.jpg</t>
  </si>
  <si>
    <t>SCA-PNT-1316_5.jpg</t>
  </si>
  <si>
    <t>SCA-PNT-1460_1.jpg</t>
  </si>
  <si>
    <t>SCA-PNT-1460_2.jpg</t>
  </si>
  <si>
    <t>SCA-SHR-5447_1.jpg</t>
  </si>
  <si>
    <t>SCA-SHR-5447_2.jpg</t>
  </si>
  <si>
    <t>SCA-SHR-5447_3.jpg</t>
  </si>
  <si>
    <t>SCA-SHR-5447_4.jpg</t>
  </si>
  <si>
    <t>SCA-SHR-5447_5.jpg</t>
  </si>
  <si>
    <t>SCA-SHR-5447_6.jpg</t>
  </si>
  <si>
    <t>SCA-SHR-5280_6.jpg</t>
  </si>
  <si>
    <t>SCA-SHR-5452_1.jpg</t>
  </si>
  <si>
    <t>SCA-SHR-5452_2.jpg</t>
  </si>
  <si>
    <t>SCA-SHR-5452_3.jpg</t>
  </si>
  <si>
    <t>SCA-SHR-5452_4.jpg</t>
  </si>
  <si>
    <t>SCA-SHR-5452_5.jpg</t>
  </si>
  <si>
    <t>SCA-SHR-5452_6.jpg</t>
  </si>
  <si>
    <t>SCA-SHR-5457_1.jpg</t>
  </si>
  <si>
    <t>SCA-SHR-5457_2.jpg</t>
  </si>
  <si>
    <t>SCA-SHR-5457_3.jpg</t>
  </si>
  <si>
    <t>SCA-SHR-5457_4.jpg</t>
  </si>
  <si>
    <t>SCA-SHR-5457_5.jpg</t>
  </si>
  <si>
    <t>SCA-SHR-5457_6.jpg</t>
  </si>
  <si>
    <t>SCA-SHT-0872_1.jpg</t>
  </si>
  <si>
    <t>SCA-SHT-0872_2.jpg</t>
  </si>
  <si>
    <t>SCA-SHT-0872_3.jpg</t>
  </si>
  <si>
    <t>SCA-SHT-0872_4.jpg</t>
  </si>
  <si>
    <t>SCA-SHT-0872_5.jpg</t>
  </si>
  <si>
    <t>SCA-SHT-0872_6.jpg</t>
  </si>
  <si>
    <t>SCA-TEE-12466_1.jpg</t>
  </si>
  <si>
    <t>SCA-TEE-12466_2.jpg</t>
  </si>
  <si>
    <t>SCA-TEE-12460_1.jpg</t>
  </si>
  <si>
    <t>SCA-TEE-12460_2.jpg</t>
  </si>
  <si>
    <t>SCA-TEE-12472_1.jpg</t>
  </si>
  <si>
    <t>SCA-TEE-12472_2.jpg</t>
  </si>
  <si>
    <t>SCA-TEE-12472_3.jpg</t>
  </si>
  <si>
    <t>SCA-TEE-12472_4.jpg</t>
  </si>
  <si>
    <t>SCA-TEE-12472_5.jpg</t>
  </si>
  <si>
    <t>SCA-TEE-12472_6.jpg</t>
  </si>
  <si>
    <t>SCA-TEE-12490_1.jpg</t>
  </si>
  <si>
    <t>SCA-TEE-12502_1.jpg</t>
  </si>
  <si>
    <t>SCA-TEE-12502_2.jpg</t>
  </si>
  <si>
    <t>SCA-TEE-12508_1.jpg</t>
  </si>
  <si>
    <t>SCA-TEE-12508_2.jpg</t>
  </si>
  <si>
    <t>SCA-TEE-12514_1.jpg</t>
  </si>
  <si>
    <t>SCA-TEE-12514_2.jpg</t>
  </si>
  <si>
    <t>SCA-TEE-12514_3.jpg</t>
  </si>
  <si>
    <t>SCA-TEE-12514_4.jpg</t>
  </si>
  <si>
    <t>SCA-TEE-12514_5.jpg</t>
  </si>
  <si>
    <t>SCA-TEE-12514_6.jpg</t>
  </si>
  <si>
    <t>SCA-TEE-12520_1.jpg</t>
  </si>
  <si>
    <t>SCA-TEE-12520_2.jpg</t>
  </si>
  <si>
    <t>SCA-TEE-12526_1.jpg</t>
  </si>
  <si>
    <t>SCA-TEE-12526_2.jpg</t>
  </si>
  <si>
    <t>SCA-TEE-12526_3.jpg</t>
  </si>
  <si>
    <t>SCA-TEE-12526_4.jpg</t>
  </si>
  <si>
    <t>SCA-TEE-12526_5.jpg</t>
  </si>
  <si>
    <t>SCA-TEE-12526_6.jpg</t>
  </si>
  <si>
    <t>SCA-TEE-12556_1.jpg</t>
  </si>
  <si>
    <t>SCA-TEE-12556_2.jpg</t>
  </si>
  <si>
    <t>SCA-TEE-12550_1.jpg</t>
  </si>
  <si>
    <t>SCA-TEE-12550_2.jpg</t>
  </si>
  <si>
    <t>SCA-TEE-12586_1.jpg</t>
  </si>
  <si>
    <t>SCA-TEE-12586_2.jpg</t>
  </si>
  <si>
    <t>SCA-TEE-12592_1.jpg</t>
  </si>
  <si>
    <t>SCA-TEE-12592_2.jpg</t>
  </si>
  <si>
    <t>SCA-TEE-12592_3.jpg</t>
  </si>
  <si>
    <t>SCA-TEE-12592_4.jpg</t>
  </si>
  <si>
    <t>SCA-TEE-12592_5.jpg</t>
  </si>
  <si>
    <t>SCA-TEE-12592_6.jpg</t>
  </si>
  <si>
    <t>SCA-TEE-12598_1.jpg</t>
  </si>
  <si>
    <t>SCA-VST-0816_1.jpg</t>
  </si>
  <si>
    <t>SCA-VST-0816_2.jpg</t>
  </si>
  <si>
    <t>SCA-SHO-0002_1.jpg</t>
  </si>
  <si>
    <t>SCA-SHO-0002_2.jpg</t>
  </si>
  <si>
    <t>SCA-SHO-0002_3.jpg</t>
  </si>
  <si>
    <t>SCA-WZH-0198_1.jpg</t>
  </si>
  <si>
    <t>SCA-WZH-0198_2.jpg</t>
  </si>
  <si>
    <t>SCA-WPT-0110_1.jpg</t>
  </si>
  <si>
    <t>SCA-WPT-0110_2.jpg</t>
  </si>
  <si>
    <t>SCA-WPT-0115_1.jpg</t>
  </si>
  <si>
    <t>SCA-WPT-0115_2.jpg</t>
  </si>
  <si>
    <t>SCA-WPT-1186_1.jpg</t>
  </si>
  <si>
    <t>SCA-WPT-1186_2.jpg</t>
  </si>
  <si>
    <t>SCA-WTE-2980_1.jpg</t>
  </si>
  <si>
    <t>SCA-WTE-2980_2.jpg</t>
  </si>
  <si>
    <t>SCA-WTE-2986_1.jpg</t>
  </si>
  <si>
    <t>SCA-WTE-2986_2.jpg</t>
  </si>
  <si>
    <t>SCA-WTE-2986_3.jpg</t>
  </si>
  <si>
    <t>SCA-WTE-2986_4.jpg</t>
  </si>
  <si>
    <t>SCA-WTE-2986_5.jpg</t>
  </si>
  <si>
    <t>SCA-WTE-2998_1.jpg</t>
  </si>
  <si>
    <t>SCA-WTE-2998_2.jpg</t>
  </si>
  <si>
    <t>SCA-WTE-2998_3.jpg</t>
  </si>
  <si>
    <t>SCA-WTE-2998_4.jpg</t>
  </si>
  <si>
    <t>SCA-WTE-2998_5.jpg</t>
  </si>
  <si>
    <t>SCA-WTE-2998_6.jpg</t>
  </si>
  <si>
    <t>SCA-WTE-3010_1.jpg</t>
  </si>
  <si>
    <t>SCA-WTE-3010_2.jpg</t>
  </si>
  <si>
    <t>SCA-WTE-3010_3.jpg</t>
  </si>
  <si>
    <t>SCA-WTE-3010_4.jpg</t>
  </si>
  <si>
    <t>SCA-WTE-3010_5.jpg</t>
  </si>
  <si>
    <t>SCA-WTE-3004_1.jpg</t>
  </si>
  <si>
    <t>SCA-WTE-3022_1.jpg</t>
  </si>
  <si>
    <t>SCA-WTE-3028_1.jpg</t>
  </si>
  <si>
    <t>SCA-WTE-3028_2.jpg</t>
  </si>
  <si>
    <t>SCA-WTE-3034_1.jpg</t>
  </si>
  <si>
    <t>SCA-WTE-3034_2.jpg</t>
  </si>
  <si>
    <t>SCA-WTE-3034_3.jpg</t>
  </si>
  <si>
    <t>SCA-WTE-3034_4.jpg</t>
  </si>
  <si>
    <t>SCA-WTE-3034_5.jpg</t>
  </si>
  <si>
    <t>SCA-WTE-3034_6.jpg</t>
  </si>
  <si>
    <t>SCA-SHO-0009_1.jpg</t>
  </si>
  <si>
    <t>Set renaming data worksheet To rename 4 &amp; S &amp; 30 &amp; 8 images.</t>
  </si>
  <si>
    <t>Create 4 &amp; S &amp; 30 &amp; 8 &amp; subfolder in the output folder.</t>
  </si>
  <si>
    <t>SCA-YSO-0003_1.jpg</t>
  </si>
  <si>
    <t>SCA-YSO-0003_2.jpg</t>
  </si>
  <si>
    <t>SCA-YSO-0003_3.jpg</t>
  </si>
  <si>
    <t>SCA-YSO-0003_4.jpg</t>
  </si>
  <si>
    <t>SCA-YSO-0008_1.jpg</t>
  </si>
  <si>
    <t>SCA-YSO-0008_2.jpg</t>
  </si>
  <si>
    <t>SCA-YSO-0008_3.jpg</t>
  </si>
  <si>
    <t>SCA-YSO-0008_4.jpg</t>
  </si>
  <si>
    <t>SCA-HDY-2046_1.jpg</t>
  </si>
  <si>
    <t>SCA-HDY-2046_2.jpg</t>
  </si>
  <si>
    <t>SCA-HDY-2046_3.jpg</t>
  </si>
  <si>
    <t>SCA-HDY-2046_4.jpg</t>
  </si>
  <si>
    <t>SCA-HDY-2046_5.jpg</t>
  </si>
  <si>
    <t>SCA-HDY-2046_6.jpg</t>
  </si>
  <si>
    <t>SCA-SHR-5473_1.jpg</t>
  </si>
  <si>
    <t>SCA-SHR-5473_2.jpg</t>
  </si>
  <si>
    <t>SCA-SHR-5473_3.jpg</t>
  </si>
  <si>
    <t>SCA-SHR-5473_4.jpg</t>
  </si>
  <si>
    <t>SCA-SHR-5473_5.jpg</t>
  </si>
  <si>
    <t>SCA-SHR-5473_6.jpg</t>
  </si>
  <si>
    <t>SCA-LTE-9773_1.jpg</t>
  </si>
  <si>
    <t>SCA-LTE-9779_1.jpg</t>
  </si>
  <si>
    <t>SCA-LTE-9779_2.jpg</t>
  </si>
  <si>
    <t>SCA-LTE-9779_3.jpg</t>
  </si>
  <si>
    <t>SCA-LTE-9779_4.jpg</t>
  </si>
  <si>
    <t>SCA-LTE-9779_5.jpg</t>
  </si>
  <si>
    <t>SCA-LTE-9779_6.jpg</t>
  </si>
  <si>
    <t>SCA-HDY-2058_1.jpg</t>
  </si>
  <si>
    <t>SCA-HDY-2058_2.jpg</t>
  </si>
  <si>
    <t>SCA-HDY-2070_1.jpg</t>
  </si>
  <si>
    <t>SCA-HDY-2070_2.jpg</t>
  </si>
  <si>
    <t>SCA-PNT-0310_1.jpg</t>
  </si>
  <si>
    <t>SCA-PNT-0310_2.jpg</t>
  </si>
  <si>
    <t>SCA-PNT-1317_2.jpg</t>
  </si>
  <si>
    <t>SCA-PNT-1317_3.jpg</t>
  </si>
  <si>
    <t>SCA-PNT-1317_4.jpg</t>
  </si>
  <si>
    <t>SCA-PNT-1317_5.jpg</t>
  </si>
  <si>
    <t>SCA-PNT-1461_1.jpg</t>
  </si>
  <si>
    <t>SCA-PNT-1461_2.jpg</t>
  </si>
  <si>
    <t>SCA-SHR-5448_1.jpg</t>
  </si>
  <si>
    <t>SCA-SHR-5448_2.jpg</t>
  </si>
  <si>
    <t>SCA-SHR-5448_3.jpg</t>
  </si>
  <si>
    <t>SCA-SHR-5448_4.jpg</t>
  </si>
  <si>
    <t>SCA-SHR-5448_5.jpg</t>
  </si>
  <si>
    <t>SCA-SHR-5448_6.jpg</t>
  </si>
  <si>
    <t>SCA-SHR-5281_6.jpg</t>
  </si>
  <si>
    <t>SCA-SHR-5453_1.jpg</t>
  </si>
  <si>
    <t>SCA-SHR-5453_2.jpg</t>
  </si>
  <si>
    <t>SCA-SHR-5453_3.jpg</t>
  </si>
  <si>
    <t>SCA-SHR-5453_4.jpg</t>
  </si>
  <si>
    <t>SCA-SHR-5453_5.jpg</t>
  </si>
  <si>
    <t>SCA-SHR-5453_6.jpg</t>
  </si>
  <si>
    <t>SCA-SHR-5458_1.jpg</t>
  </si>
  <si>
    <t>SCA-SHR-5458_2.jpg</t>
  </si>
  <si>
    <t>SCA-SHR-5458_3.jpg</t>
  </si>
  <si>
    <t>SCA-SHR-5458_4.jpg</t>
  </si>
  <si>
    <t>SCA-SHR-5458_5.jpg</t>
  </si>
  <si>
    <t>SCA-SHR-5458_6.jpg</t>
  </si>
  <si>
    <t>SCA-SHT-0873_1.jpg</t>
  </si>
  <si>
    <t>SCA-SHT-0873_2.jpg</t>
  </si>
  <si>
    <t>SCA-SHT-0873_3.jpg</t>
  </si>
  <si>
    <t>SCA-SHT-0873_4.jpg</t>
  </si>
  <si>
    <t>SCA-SHT-0873_5.jpg</t>
  </si>
  <si>
    <t>SCA-SHT-0873_6.jpg</t>
  </si>
  <si>
    <t>SCA-TEE-12467_1.jpg</t>
  </si>
  <si>
    <t>SCA-TEE-12467_2.jpg</t>
  </si>
  <si>
    <t>SCA-TEE-12461_1.jpg</t>
  </si>
  <si>
    <t>SCA-TEE-12461_2.jpg</t>
  </si>
  <si>
    <t>SCA-TEE-12473_1.jpg</t>
  </si>
  <si>
    <t>SCA-TEE-12473_2.jpg</t>
  </si>
  <si>
    <t>SCA-TEE-12473_3.jpg</t>
  </si>
  <si>
    <t>SCA-TEE-12473_4.jpg</t>
  </si>
  <si>
    <t>SCA-TEE-12473_5.jpg</t>
  </si>
  <si>
    <t>SCA-TEE-12473_6.jpg</t>
  </si>
  <si>
    <t>SCA-TEE-12491_1.jpg</t>
  </si>
  <si>
    <t>SCA-TEE-12503_1.jpg</t>
  </si>
  <si>
    <t>SCA-TEE-12503_2.jpg</t>
  </si>
  <si>
    <t>SCA-TEE-12509_1.jpg</t>
  </si>
  <si>
    <t>SCA-TEE-12509_2.jpg</t>
  </si>
  <si>
    <t>SCA-TEE-12515_1.jpg</t>
  </si>
  <si>
    <t>SCA-TEE-12515_2.jpg</t>
  </si>
  <si>
    <t>SCA-TEE-12515_3.jpg</t>
  </si>
  <si>
    <t>SCA-TEE-12515_4.jpg</t>
  </si>
  <si>
    <t>SCA-TEE-12515_5.jpg</t>
  </si>
  <si>
    <t>SCA-TEE-12515_6.jpg</t>
  </si>
  <si>
    <t>SCA-TEE-12521_1.jpg</t>
  </si>
  <si>
    <t>SCA-TEE-12521_2.jpg</t>
  </si>
  <si>
    <t>SCA-TEE-12527_1.jpg</t>
  </si>
  <si>
    <t>SCA-TEE-12527_2.jpg</t>
  </si>
  <si>
    <t>SCA-TEE-12527_3.jpg</t>
  </si>
  <si>
    <t>SCA-TEE-12527_4.jpg</t>
  </si>
  <si>
    <t>SCA-TEE-12527_5.jpg</t>
  </si>
  <si>
    <t>SCA-TEE-12527_6.jpg</t>
  </si>
  <si>
    <t>SCA-TEE-12557_1.jpg</t>
  </si>
  <si>
    <t>SCA-TEE-12557_2.jpg</t>
  </si>
  <si>
    <t>SCA-TEE-12551_1.jpg</t>
  </si>
  <si>
    <t>SCA-TEE-12551_2.jpg</t>
  </si>
  <si>
    <t>SCA-TEE-12587_1.jpg</t>
  </si>
  <si>
    <t>SCA-TEE-12587_2.jpg</t>
  </si>
  <si>
    <t>SCA-TEE-12593_1.jpg</t>
  </si>
  <si>
    <t>SCA-TEE-12593_2.jpg</t>
  </si>
  <si>
    <t>SCA-TEE-12593_3.jpg</t>
  </si>
  <si>
    <t>SCA-TEE-12593_4.jpg</t>
  </si>
  <si>
    <t>SCA-TEE-12593_5.jpg</t>
  </si>
  <si>
    <t>SCA-TEE-12593_6.jpg</t>
  </si>
  <si>
    <t>SCA-TEE-12599_1.jpg</t>
  </si>
  <si>
    <t>SCA-VST-0817_1.jpg</t>
  </si>
  <si>
    <t>SCA-VST-0817_2.jpg</t>
  </si>
  <si>
    <t>SCA-SHO-0003_1.jpg</t>
  </si>
  <si>
    <t>SCA-SHO-0003_2.jpg</t>
  </si>
  <si>
    <t>SCA-SHO-0003_3.jpg</t>
  </si>
  <si>
    <t>SCA-WZH-0199_1.jpg</t>
  </si>
  <si>
    <t>SCA-WZH-0199_2.jpg</t>
  </si>
  <si>
    <t>SCA-WPT-0111_1.jpg</t>
  </si>
  <si>
    <t>SCA-WPT-0111_2.jpg</t>
  </si>
  <si>
    <t>SCA-WPT-0116_1.jpg</t>
  </si>
  <si>
    <t>SCA-WPT-0116_2.jpg</t>
  </si>
  <si>
    <t>SCA-WPT-1187_1.jpg</t>
  </si>
  <si>
    <t>SCA-WPT-1187_2.jpg</t>
  </si>
  <si>
    <t>SCA-WTE-2981_1.jpg</t>
  </si>
  <si>
    <t>SCA-WTE-2981_2.jpg</t>
  </si>
  <si>
    <t>SCA-WTE-2987_1.jpg</t>
  </si>
  <si>
    <t>SCA-WTE-2987_2.jpg</t>
  </si>
  <si>
    <t>SCA-WTE-2987_3.jpg</t>
  </si>
  <si>
    <t>SCA-WTE-2987_4.jpg</t>
  </si>
  <si>
    <t>SCA-WTE-2987_5.jpg</t>
  </si>
  <si>
    <t>SCA-WTE-2999_1.jpg</t>
  </si>
  <si>
    <t>SCA-WTE-2999_2.jpg</t>
  </si>
  <si>
    <t>SCA-WTE-2999_3.jpg</t>
  </si>
  <si>
    <t>SCA-WTE-2999_4.jpg</t>
  </si>
  <si>
    <t>SCA-WTE-2999_5.jpg</t>
  </si>
  <si>
    <t>SCA-WTE-2999_6.jpg</t>
  </si>
  <si>
    <t>SCA-WTE-3011_1.jpg</t>
  </si>
  <si>
    <t>SCA-WTE-3011_2.jpg</t>
  </si>
  <si>
    <t>SCA-WTE-3011_3.jpg</t>
  </si>
  <si>
    <t>SCA-WTE-3011_4.jpg</t>
  </si>
  <si>
    <t>SCA-WTE-3011_5.jpg</t>
  </si>
  <si>
    <t>SCA-WTE-3005_1.jpg</t>
  </si>
  <si>
    <t>SCA-WTE-3023_1.jpg</t>
  </si>
  <si>
    <t>SCA-WTE-3029_1.jpg</t>
  </si>
  <si>
    <t>SCA-WTE-3029_2.jpg</t>
  </si>
  <si>
    <t>SCA-WTE-3035_1.jpg</t>
  </si>
  <si>
    <t>SCA-WTE-3035_2.jpg</t>
  </si>
  <si>
    <t>SCA-WTE-3035_3.jpg</t>
  </si>
  <si>
    <t>SCA-WTE-3035_4.jpg</t>
  </si>
  <si>
    <t>SCA-WTE-3035_5.jpg</t>
  </si>
  <si>
    <t>SCA-WTE-3035_6.jpg</t>
  </si>
  <si>
    <t>SCA-SHO-0010_1.jpg</t>
  </si>
  <si>
    <t>Set renaming data worksheet To rename 5 &amp; M &amp; 32 &amp; 9 &amp; 10 images.</t>
  </si>
  <si>
    <t>Create 5 &amp; M &amp; 32 &amp; 9 &amp; 10 &amp; subfolder in the output folder.</t>
  </si>
  <si>
    <t>SCA-YSO-0004_1.jpg</t>
  </si>
  <si>
    <t>SCA-YSO-0004_2.jpg</t>
  </si>
  <si>
    <t>SCA-YSO-0004_3.jpg</t>
  </si>
  <si>
    <t>SCA-YSO-0004_4.jpg</t>
  </si>
  <si>
    <t>SCA-YSO-0009_1.jpg</t>
  </si>
  <si>
    <t>SCA-YSO-0009_2.jpg</t>
  </si>
  <si>
    <t>SCA-YSO-0009_3.jpg</t>
  </si>
  <si>
    <t>SCA-YSO-0009_4.jpg</t>
  </si>
  <si>
    <t>SCA-HDY-2047_1.jpg</t>
  </si>
  <si>
    <t>SCA-HDY-2047_2.jpg</t>
  </si>
  <si>
    <t>SCA-HDY-2047_3.jpg</t>
  </si>
  <si>
    <t>SCA-HDY-2047_4.jpg</t>
  </si>
  <si>
    <t>SCA-HDY-2047_5.jpg</t>
  </si>
  <si>
    <t>SCA-HDY-2047_6.jpg</t>
  </si>
  <si>
    <t>SCA-SHR-5474_1.jpg</t>
  </si>
  <si>
    <t>SCA-SHR-5474_2.jpg</t>
  </si>
  <si>
    <t>SCA-SHR-5474_3.jpg</t>
  </si>
  <si>
    <t>SCA-SHR-5474_4.jpg</t>
  </si>
  <si>
    <t>SCA-SHR-5474_5.jpg</t>
  </si>
  <si>
    <t>SCA-SHR-5474_6.jpg</t>
  </si>
  <si>
    <t>SCA-LTE-9774_1.jpg</t>
  </si>
  <si>
    <t>SCA-LTE-9780_1.jpg</t>
  </si>
  <si>
    <t>SCA-LTE-9780_2.jpg</t>
  </si>
  <si>
    <t>SCA-LTE-9780_3.jpg</t>
  </si>
  <si>
    <t>SCA-LTE-9780_4.jpg</t>
  </si>
  <si>
    <t>SCA-LTE-9780_5.jpg</t>
  </si>
  <si>
    <t>SCA-LTE-9780_6.jpg</t>
  </si>
  <si>
    <t>SCA-HDY-2059_1.jpg</t>
  </si>
  <si>
    <t>SCA-HDY-2059_2.jpg</t>
  </si>
  <si>
    <t>SCA-HDY-2071_1.jpg</t>
  </si>
  <si>
    <t>SCA-HDY-2071_2.jpg</t>
  </si>
  <si>
    <t>SCA-PNT-0311_1.jpg</t>
  </si>
  <si>
    <t>SCA-PNT-0311_2.jpg</t>
  </si>
  <si>
    <t>SCA-PNT-1318_2.jpg</t>
  </si>
  <si>
    <t>SCA-PNT-1318_3.jpg</t>
  </si>
  <si>
    <t>SCA-PNT-1318_4.jpg</t>
  </si>
  <si>
    <t>SCA-PNT-1318_5.jpg</t>
  </si>
  <si>
    <t>SCA-PNT-1462_1.jpg</t>
  </si>
  <si>
    <t>SCA-PNT-1462_2.jpg</t>
  </si>
  <si>
    <t>SCA-SHR-5449_1.jpg</t>
  </si>
  <si>
    <t>SCA-SHR-5449_2.jpg</t>
  </si>
  <si>
    <t>SCA-SHR-5449_3.jpg</t>
  </si>
  <si>
    <t>SCA-SHR-5449_4.jpg</t>
  </si>
  <si>
    <t>SCA-SHR-5449_5.jpg</t>
  </si>
  <si>
    <t>SCA-SHR-5449_6.jpg</t>
  </si>
  <si>
    <t>SCA-SHR-5282_6.jpg</t>
  </si>
  <si>
    <t>SCA-SHR-5454_1.jpg</t>
  </si>
  <si>
    <t>SCA-SHR-5454_2.jpg</t>
  </si>
  <si>
    <t>SCA-SHR-5454_3.jpg</t>
  </si>
  <si>
    <t>SCA-SHR-5454_4.jpg</t>
  </si>
  <si>
    <t>SCA-SHR-5454_5.jpg</t>
  </si>
  <si>
    <t>SCA-SHR-5454_6.jpg</t>
  </si>
  <si>
    <t>SCA-SHR-5459_1.jpg</t>
  </si>
  <si>
    <t>SCA-SHR-5459_2.jpg</t>
  </si>
  <si>
    <t>SCA-SHR-5459_3.jpg</t>
  </si>
  <si>
    <t>SCA-SHR-5459_4.jpg</t>
  </si>
  <si>
    <t>SCA-SHR-5459_5.jpg</t>
  </si>
  <si>
    <t>SCA-SHR-5459_6.jpg</t>
  </si>
  <si>
    <t>SCA-SHT-0874_1.jpg</t>
  </si>
  <si>
    <t>SCA-SHT-0874_2.jpg</t>
  </si>
  <si>
    <t>SCA-SHT-0874_3.jpg</t>
  </si>
  <si>
    <t>SCA-SHT-0874_4.jpg</t>
  </si>
  <si>
    <t>SCA-SHT-0874_5.jpg</t>
  </si>
  <si>
    <t>SCA-SHT-0874_6.jpg</t>
  </si>
  <si>
    <t>SCA-TEE-12468_1.jpg</t>
  </si>
  <si>
    <t>SCA-TEE-12468_2.jpg</t>
  </si>
  <si>
    <t>SCA-TEE-12462_1.jpg</t>
  </si>
  <si>
    <t>SCA-TEE-12462_2.jpg</t>
  </si>
  <si>
    <t>SCA-TEE-12474_1.jpg</t>
  </si>
  <si>
    <t>SCA-TEE-12474_2.jpg</t>
  </si>
  <si>
    <t>SCA-TEE-12474_3.jpg</t>
  </si>
  <si>
    <t>SCA-TEE-12474_4.jpg</t>
  </si>
  <si>
    <t>SCA-TEE-12474_5.jpg</t>
  </si>
  <si>
    <t>SCA-TEE-12474_6.jpg</t>
  </si>
  <si>
    <t>SCA-TEE-12492_1.jpg</t>
  </si>
  <si>
    <t>SCA-TEE-12504_1.jpg</t>
  </si>
  <si>
    <t>SCA-TEE-12504_2.jpg</t>
  </si>
  <si>
    <t>SCA-TEE-12510_1.jpg</t>
  </si>
  <si>
    <t>SCA-TEE-12510_2.jpg</t>
  </si>
  <si>
    <t>SCA-TEE-12516_1.jpg</t>
  </si>
  <si>
    <t>SCA-TEE-12516_2.jpg</t>
  </si>
  <si>
    <t>SCA-TEE-12516_3.jpg</t>
  </si>
  <si>
    <t>SCA-TEE-12516_4.jpg</t>
  </si>
  <si>
    <t>SCA-TEE-12516_5.jpg</t>
  </si>
  <si>
    <t>SCA-TEE-12516_6.jpg</t>
  </si>
  <si>
    <t>SCA-TEE-12522_1.jpg</t>
  </si>
  <si>
    <t>SCA-TEE-12522_2.jpg</t>
  </si>
  <si>
    <t>SCA-TEE-12528_1.jpg</t>
  </si>
  <si>
    <t>SCA-TEE-12528_2.jpg</t>
  </si>
  <si>
    <t>SCA-TEE-12528_3.jpg</t>
  </si>
  <si>
    <t>SCA-TEE-12528_4.jpg</t>
  </si>
  <si>
    <t>SCA-TEE-12528_5.jpg</t>
  </si>
  <si>
    <t>SCA-TEE-12528_6.jpg</t>
  </si>
  <si>
    <t>SCA-TEE-12558_1.jpg</t>
  </si>
  <si>
    <t>SCA-TEE-12558_2.jpg</t>
  </si>
  <si>
    <t>SCA-TEE-12552_1.jpg</t>
  </si>
  <si>
    <t>SCA-TEE-12552_2.jpg</t>
  </si>
  <si>
    <t>SCA-TEE-12588_1.jpg</t>
  </si>
  <si>
    <t>SCA-TEE-12588_2.jpg</t>
  </si>
  <si>
    <t>SCA-TEE-12594_1.jpg</t>
  </si>
  <si>
    <t>SCA-TEE-12594_2.jpg</t>
  </si>
  <si>
    <t>SCA-TEE-12594_3.jpg</t>
  </si>
  <si>
    <t>SCA-TEE-12594_4.jpg</t>
  </si>
  <si>
    <t>SCA-TEE-12594_5.jpg</t>
  </si>
  <si>
    <t>SCA-TEE-12594_6.jpg</t>
  </si>
  <si>
    <t>SCA-TEE-12600_1.jpg</t>
  </si>
  <si>
    <t>SCA-VST-0818_1.jpg</t>
  </si>
  <si>
    <t>SCA-VST-0818_2.jpg</t>
  </si>
  <si>
    <t>SCA-SHO-0004_1.jpg</t>
  </si>
  <si>
    <t>SCA-SHO-0004_2.jpg</t>
  </si>
  <si>
    <t>SCA-SHO-0004_3.jpg</t>
  </si>
  <si>
    <t>SCA-WZH-0200_1.jpg</t>
  </si>
  <si>
    <t>SCA-WZH-0200_2.jpg</t>
  </si>
  <si>
    <t>SCA-WPT-0112_1.jpg</t>
  </si>
  <si>
    <t>SCA-WPT-0112_2.jpg</t>
  </si>
  <si>
    <t>SCA-WPT-0117_1.jpg</t>
  </si>
  <si>
    <t>SCA-WPT-0117_2.jpg</t>
  </si>
  <si>
    <t>SCA-WPT-1188_1.jpg</t>
  </si>
  <si>
    <t>SCA-WPT-1188_2.jpg</t>
  </si>
  <si>
    <t>SCA-WTE-2982_1.jpg</t>
  </si>
  <si>
    <t>SCA-WTE-2982_2.jpg</t>
  </si>
  <si>
    <t>SCA-WTE-2988_1.jpg</t>
  </si>
  <si>
    <t>SCA-WTE-2988_2.jpg</t>
  </si>
  <si>
    <t>SCA-WTE-2988_3.jpg</t>
  </si>
  <si>
    <t>SCA-WTE-2988_4.jpg</t>
  </si>
  <si>
    <t>SCA-WTE-2988_5.jpg</t>
  </si>
  <si>
    <t>SCA-WTE-3000_1.jpg</t>
  </si>
  <si>
    <t>SCA-WTE-3000_2.jpg</t>
  </si>
  <si>
    <t>SCA-WTE-3000_3.jpg</t>
  </si>
  <si>
    <t>SCA-WTE-3000_4.jpg</t>
  </si>
  <si>
    <t>SCA-WTE-3000_5.jpg</t>
  </si>
  <si>
    <t>SCA-WTE-3000_6.jpg</t>
  </si>
  <si>
    <t>SCA-WTE-3012_1.jpg</t>
  </si>
  <si>
    <t>SCA-WTE-3012_2.jpg</t>
  </si>
  <si>
    <t>SCA-WTE-3012_3.jpg</t>
  </si>
  <si>
    <t>SCA-WTE-3012_4.jpg</t>
  </si>
  <si>
    <t>SCA-WTE-3012_5.jpg</t>
  </si>
  <si>
    <t>SCA-WTE-3006_1.jpg</t>
  </si>
  <si>
    <t>SCA-WTE-3024_1.jpg</t>
  </si>
  <si>
    <t>SCA-WTE-3030_1.jpg</t>
  </si>
  <si>
    <t>SCA-WTE-3030_2.jpg</t>
  </si>
  <si>
    <t>SCA-WTE-3036_1.jpg</t>
  </si>
  <si>
    <t>SCA-WTE-3036_2.jpg</t>
  </si>
  <si>
    <t>SCA-WTE-3036_3.jpg</t>
  </si>
  <si>
    <t>SCA-WTE-3036_4.jpg</t>
  </si>
  <si>
    <t>SCA-WTE-3036_5.jpg</t>
  </si>
  <si>
    <t>SCA-WTE-3036_6.jpg</t>
  </si>
  <si>
    <t>SCA-SHO-0011_1.jpg</t>
  </si>
  <si>
    <t>Set renaming data worksheet To rename 6 &amp; L &amp; 34 &amp; 10 &amp; 12 images.</t>
  </si>
  <si>
    <t>Create 6 &amp; L &amp; 34 &amp; 10 &amp; 12 &amp; subfolder in the output folder.</t>
  </si>
  <si>
    <t>SCA-YSO-0005_1.jpg</t>
  </si>
  <si>
    <t>SCA-YSO-0005_2.jpg</t>
  </si>
  <si>
    <t>SCA-YSO-0005_3.jpg</t>
  </si>
  <si>
    <t>SCA-YSO-0005_4.jpg</t>
  </si>
  <si>
    <t>SCA-YSO-0010_1.jpg</t>
  </si>
  <si>
    <t>SCA-YSO-0010_2.jpg</t>
  </si>
  <si>
    <t>SCA-YSO-0010_3.jpg</t>
  </si>
  <si>
    <t>SCA-YSO-0010_4.jpg</t>
  </si>
  <si>
    <t>SCA-HDY-2048_1.jpg</t>
  </si>
  <si>
    <t>SCA-HDY-2048_2.jpg</t>
  </si>
  <si>
    <t>SCA-HDY-2048_3.jpg</t>
  </si>
  <si>
    <t>SCA-HDY-2048_4.jpg</t>
  </si>
  <si>
    <t>SCA-HDY-2048_5.jpg</t>
  </si>
  <si>
    <t>SCA-HDY-2048_6.jpg</t>
  </si>
  <si>
    <t>SCA-SHR-5475_1.jpg</t>
  </si>
  <si>
    <t>SCA-SHR-5475_2.jpg</t>
  </si>
  <si>
    <t>SCA-SHR-5475_3.jpg</t>
  </si>
  <si>
    <t>SCA-SHR-5475_4.jpg</t>
  </si>
  <si>
    <t>SCA-SHR-5475_5.jpg</t>
  </si>
  <si>
    <t>SCA-SHR-5475_6.jpg</t>
  </si>
  <si>
    <t>SCA-LTE-9775_1.jpg</t>
  </si>
  <si>
    <t>SCA-LTE-9781_1.jpg</t>
  </si>
  <si>
    <t>SCA-LTE-9781_2.jpg</t>
  </si>
  <si>
    <t>SCA-LTE-9781_3.jpg</t>
  </si>
  <si>
    <t>SCA-LTE-9781_4.jpg</t>
  </si>
  <si>
    <t>SCA-LTE-9781_5.jpg</t>
  </si>
  <si>
    <t>SCA-LTE-9781_6.jpg</t>
  </si>
  <si>
    <t>SCA-HDY-2060_1.jpg</t>
  </si>
  <si>
    <t>SCA-HDY-2060_2.jpg</t>
  </si>
  <si>
    <t>SCA-HDY-2072_1.jpg</t>
  </si>
  <si>
    <t>SCA-HDY-2072_2.jpg</t>
  </si>
  <si>
    <t>SCA-PNT-0312_1.jpg</t>
  </si>
  <si>
    <t>SCA-PNT-0312_2.jpg</t>
  </si>
  <si>
    <t>SCA-PNT-1319_2.jpg</t>
  </si>
  <si>
    <t>SCA-PNT-1319_3.jpg</t>
  </si>
  <si>
    <t>SCA-PNT-1319_4.jpg</t>
  </si>
  <si>
    <t>SCA-PNT-1319_5.jpg</t>
  </si>
  <si>
    <t>SCA-PNT-1463_1.jpg</t>
  </si>
  <si>
    <t>SCA-PNT-1463_2.jpg</t>
  </si>
  <si>
    <t>SCA-SHR-5450_1.jpg</t>
  </si>
  <si>
    <t>SCA-SHR-5450_2.jpg</t>
  </si>
  <si>
    <t>SCA-SHR-5450_3.jpg</t>
  </si>
  <si>
    <t>SCA-SHR-5450_4.jpg</t>
  </si>
  <si>
    <t>SCA-SHR-5450_5.jpg</t>
  </si>
  <si>
    <t>SCA-SHR-5450_6.jpg</t>
  </si>
  <si>
    <t>SCA-SHR-5283_6.jpg</t>
  </si>
  <si>
    <t>SCA-SHR-5455_1.jpg</t>
  </si>
  <si>
    <t>SCA-SHR-5455_2.jpg</t>
  </si>
  <si>
    <t>SCA-SHR-5455_3.jpg</t>
  </si>
  <si>
    <t>SCA-SHR-5455_4.jpg</t>
  </si>
  <si>
    <t>SCA-SHR-5455_5.jpg</t>
  </si>
  <si>
    <t>SCA-SHR-5455_6.jpg</t>
  </si>
  <si>
    <t>SCA-SHR-5460_1.jpg</t>
  </si>
  <si>
    <t>SCA-SHR-5460_2.jpg</t>
  </si>
  <si>
    <t>SCA-SHR-5460_3.jpg</t>
  </si>
  <si>
    <t>SCA-SHR-5460_4.jpg</t>
  </si>
  <si>
    <t>SCA-SHR-5460_5.jpg</t>
  </si>
  <si>
    <t>SCA-SHR-5460_6.jpg</t>
  </si>
  <si>
    <t>SCA-SHT-0875_1.jpg</t>
  </si>
  <si>
    <t>SCA-SHT-0875_2.jpg</t>
  </si>
  <si>
    <t>SCA-SHT-0875_3.jpg</t>
  </si>
  <si>
    <t>SCA-SHT-0875_4.jpg</t>
  </si>
  <si>
    <t>SCA-SHT-0875_5.jpg</t>
  </si>
  <si>
    <t>SCA-SHT-0875_6.jpg</t>
  </si>
  <si>
    <t>SCA-TEE-12469_1.jpg</t>
  </si>
  <si>
    <t>SCA-TEE-12469_2.jpg</t>
  </si>
  <si>
    <t>SCA-TEE-12463_1.jpg</t>
  </si>
  <si>
    <t>SCA-TEE-12463_2.jpg</t>
  </si>
  <si>
    <t>SCA-TEE-1247_1.jpg</t>
  </si>
  <si>
    <t>SCA-TEE-1247_2.jpg</t>
  </si>
  <si>
    <t>SCA-TEE-1247_3.jpg</t>
  </si>
  <si>
    <t>SCA-TEE-1247_4.jpg</t>
  </si>
  <si>
    <t>SCA-TEE-1247_5.jpg</t>
  </si>
  <si>
    <t>SCA-TEE-1247_6.jpg</t>
  </si>
  <si>
    <t>SCA-TEE-12493_1.jpg</t>
  </si>
  <si>
    <t>SCA-TEE-12505_1.jpg</t>
  </si>
  <si>
    <t>SCA-TEE-12505_2.jpg</t>
  </si>
  <si>
    <t>SCA-TEE-12511_1.jpg</t>
  </si>
  <si>
    <t>SCA-TEE-12511_2.jpg</t>
  </si>
  <si>
    <t>SCA-TEE-12517_1.jpg</t>
  </si>
  <si>
    <t>SCA-TEE-12517_2.jpg</t>
  </si>
  <si>
    <t>SCA-TEE-12517_3.jpg</t>
  </si>
  <si>
    <t>SCA-TEE-12517_4.jpg</t>
  </si>
  <si>
    <t>SCA-TEE-12517_5.jpg</t>
  </si>
  <si>
    <t>SCA-TEE-12517_6.jpg</t>
  </si>
  <si>
    <t>SCA-TEE-12523_1.jpg</t>
  </si>
  <si>
    <t>SCA-TEE-12523_2.jpg</t>
  </si>
  <si>
    <t>SCA-TEE-12529_1.jpg</t>
  </si>
  <si>
    <t>SCA-TEE-12529_2.jpg</t>
  </si>
  <si>
    <t>SCA-TEE-12529_3.jpg</t>
  </si>
  <si>
    <t>SCA-TEE-12529_4.jpg</t>
  </si>
  <si>
    <t>SCA-TEE-12529_5.jpg</t>
  </si>
  <si>
    <t>SCA-TEE-12529_6.jpg</t>
  </si>
  <si>
    <t>SCA-TEE-12559_1.jpg</t>
  </si>
  <si>
    <t>SCA-TEE-12559_2.jpg</t>
  </si>
  <si>
    <t>SCA-TEE-12553_1.jpg</t>
  </si>
  <si>
    <t>SCA-TEE-12553_2.jpg</t>
  </si>
  <si>
    <t>SCA-TEE-12589_1.jpg</t>
  </si>
  <si>
    <t>SCA-TEE-12589_2.jpg</t>
  </si>
  <si>
    <t>SCA-TEE-1259_1.jpg</t>
  </si>
  <si>
    <t>SCA-TEE-1259_2.jpg</t>
  </si>
  <si>
    <t>SCA-TEE-1259_3.jpg</t>
  </si>
  <si>
    <t>SCA-TEE-1259_4.jpg</t>
  </si>
  <si>
    <t>SCA-TEE-1259_5.jpg</t>
  </si>
  <si>
    <t>SCA-TEE-1259_6.jpg</t>
  </si>
  <si>
    <t>SCA-TEE-12601_1.jpg</t>
  </si>
  <si>
    <t>SCA-VST-0819_1.jpg</t>
  </si>
  <si>
    <t>SCA-VST-0819_2.jpg</t>
  </si>
  <si>
    <t>SCA-SHO-0005_1.jpg</t>
  </si>
  <si>
    <t>SCA-SHO-0005_2.jpg</t>
  </si>
  <si>
    <t>SCA-SHO-0005_3.jpg</t>
  </si>
  <si>
    <t>SCA-WZH-0201_1.jpg</t>
  </si>
  <si>
    <t>SCA-WZH-0201_2.jpg</t>
  </si>
  <si>
    <t>SCA-WPT-0113_1.jpg</t>
  </si>
  <si>
    <t>SCA-WPT-0113_2.jpg</t>
  </si>
  <si>
    <t>SCA-WPT-0118_1.jpg</t>
  </si>
  <si>
    <t>SCA-WPT-0118_2.jpg</t>
  </si>
  <si>
    <t>SCA-WPT-1189_1.jpg</t>
  </si>
  <si>
    <t>SCA-WPT-1189_2.jpg</t>
  </si>
  <si>
    <t>SCA-WTE-2983_1.jpg</t>
  </si>
  <si>
    <t>SCA-WTE-2983_2.jpg</t>
  </si>
  <si>
    <t>SCA-WTE-2989_1.jpg</t>
  </si>
  <si>
    <t>SCA-WTE-2989_2.jpg</t>
  </si>
  <si>
    <t>SCA-WTE-2989_3.jpg</t>
  </si>
  <si>
    <t>SCA-WTE-2989_4.jpg</t>
  </si>
  <si>
    <t>SCA-WTE-2989_5.jpg</t>
  </si>
  <si>
    <t>SCA-WTE-3001_1.jpg</t>
  </si>
  <si>
    <t>SCA-WTE-3001_2.jpg</t>
  </si>
  <si>
    <t>SCA-WTE-3001_3.jpg</t>
  </si>
  <si>
    <t>SCA-WTE-3001_4.jpg</t>
  </si>
  <si>
    <t>SCA-WTE-3001_5.jpg</t>
  </si>
  <si>
    <t>SCA-WTE-3001_6.jpg</t>
  </si>
  <si>
    <t>SCA-WTE-3013_1.jpg</t>
  </si>
  <si>
    <t>SCA-WTE-3013_2.jpg</t>
  </si>
  <si>
    <t>SCA-WTE-3013_3.jpg</t>
  </si>
  <si>
    <t>SCA-WTE-3013_4.jpg</t>
  </si>
  <si>
    <t>SCA-WTE-3013_5.jpg</t>
  </si>
  <si>
    <t>SCA-WTE-3007_1.jpg</t>
  </si>
  <si>
    <t>SCA-WTE-3025_1.jpg</t>
  </si>
  <si>
    <t>SCA-WTE-3031_1.jpg</t>
  </si>
  <si>
    <t>SCA-WTE-3031_2.jpg</t>
  </si>
  <si>
    <t>SCA-WTE-3037_1.jpg</t>
  </si>
  <si>
    <t>SCA-WTE-3037_2.jpg</t>
  </si>
  <si>
    <t>SCA-WTE-3037_3.jpg</t>
  </si>
  <si>
    <t>SCA-WTE-3037_4.jpg</t>
  </si>
  <si>
    <t>SCA-WTE-3037_5.jpg</t>
  </si>
  <si>
    <t>SCA-WTE-3037_6.jpg</t>
  </si>
  <si>
    <t>SCA-SHO-0012_1.jpg</t>
  </si>
  <si>
    <t>Set renaming data worksheet To rename XL &amp; 36 &amp; 11 &amp; 14 images.</t>
  </si>
  <si>
    <t>Create XL &amp; 36 &amp; 11 &amp; 14 &amp; subfolder in the output folder.</t>
  </si>
  <si>
    <t>SCA-HDY-2049_1.jpg</t>
  </si>
  <si>
    <t>SCA-HDY-2049_2.jpg</t>
  </si>
  <si>
    <t>SCA-HDY-2049_3.jpg</t>
  </si>
  <si>
    <t>SCA-HDY-2049_4.jpg</t>
  </si>
  <si>
    <t>SCA-HDY-2049_5.jpg</t>
  </si>
  <si>
    <t>SCA-HDY-2049_6.jpg</t>
  </si>
  <si>
    <t>SCA-SHR-5476_1.jpg</t>
  </si>
  <si>
    <t>SCA-SHR-5476_2.jpg</t>
  </si>
  <si>
    <t>SCA-SHR-5476_3.jpg</t>
  </si>
  <si>
    <t>SCA-SHR-5476_4.jpg</t>
  </si>
  <si>
    <t>SCA-SHR-5476_5.jpg</t>
  </si>
  <si>
    <t>SCA-SHR-5476_6.jpg</t>
  </si>
  <si>
    <t>SCA-LTE-9776_1.jpg</t>
  </si>
  <si>
    <t>SCA-LTE-9782_1.jpg</t>
  </si>
  <si>
    <t>SCA-LTE-9782_2.jpg</t>
  </si>
  <si>
    <t>SCA-LTE-9782_3.jpg</t>
  </si>
  <si>
    <t>SCA-LTE-9782_4.jpg</t>
  </si>
  <si>
    <t>SCA-LTE-9782_5.jpg</t>
  </si>
  <si>
    <t>SCA-LTE-9782_6.jpg</t>
  </si>
  <si>
    <t>SCA-HDY-2061_1.jpg</t>
  </si>
  <si>
    <t>SCA-HDY-2061_2.jpg</t>
  </si>
  <si>
    <t>SCA-HDY-2073_1.jpg</t>
  </si>
  <si>
    <t>SCA-HDY-2073_2.jpg</t>
  </si>
  <si>
    <t>SCA-PNT-0313_1.jpg</t>
  </si>
  <si>
    <t>SCA-PNT-0313_2.jpg</t>
  </si>
  <si>
    <t>SCA-PNT-1320_2.jpg</t>
  </si>
  <si>
    <t>SCA-PNT-1320_3.jpg</t>
  </si>
  <si>
    <t>SCA-PNT-1320_4.jpg</t>
  </si>
  <si>
    <t>SCA-PNT-1320_5.jpg</t>
  </si>
  <si>
    <t>SCA-PNT-1464_1.jpg</t>
  </si>
  <si>
    <t>SCA-PNT-1464_2.jpg</t>
  </si>
  <si>
    <t>SCA-SHR-5451_1.jpg</t>
  </si>
  <si>
    <t>SCA-SHR-5451_2.jpg</t>
  </si>
  <si>
    <t>SCA-SHR-5451_3.jpg</t>
  </si>
  <si>
    <t>SCA-SHR-5451_4.jpg</t>
  </si>
  <si>
    <t>SCA-SHR-5451_5.jpg</t>
  </si>
  <si>
    <t>SCA-SHR-5451_6.jpg</t>
  </si>
  <si>
    <t>SCA-SHR-5284_6.jpg</t>
  </si>
  <si>
    <t>SCA-SHR-5456_1.jpg</t>
  </si>
  <si>
    <t>SCA-SHR-5456_2.jpg</t>
  </si>
  <si>
    <t>SCA-SHR-5456_3.jpg</t>
  </si>
  <si>
    <t>SCA-SHR-5456_4.jpg</t>
  </si>
  <si>
    <t>SCA-SHR-5456_5.jpg</t>
  </si>
  <si>
    <t>SCA-SHR-5456_6.jpg</t>
  </si>
  <si>
    <t>SCA-SHR-5461_1.jpg</t>
  </si>
  <si>
    <t>SCA-SHR-5461_2.jpg</t>
  </si>
  <si>
    <t>SCA-SHR-5461_3.jpg</t>
  </si>
  <si>
    <t>SCA-SHR-5461_4.jpg</t>
  </si>
  <si>
    <t>SCA-SHR-5461_5.jpg</t>
  </si>
  <si>
    <t>SCA-SHR-5461_6.jpg</t>
  </si>
  <si>
    <t>SCA-SHT-0876_1.jpg</t>
  </si>
  <si>
    <t>SCA-SHT-0876_2.jpg</t>
  </si>
  <si>
    <t>SCA-SHT-0876_3.jpg</t>
  </si>
  <si>
    <t>SCA-SHT-0876_4.jpg</t>
  </si>
  <si>
    <t>SCA-SHT-0876_5.jpg</t>
  </si>
  <si>
    <t>SCA-SHT-0876_6.jpg</t>
  </si>
  <si>
    <t>SCA-TEE-12470_1.jpg</t>
  </si>
  <si>
    <t>SCA-TEE-12470_2.jpg</t>
  </si>
  <si>
    <t>SCA-TEE-12464_1.jpg</t>
  </si>
  <si>
    <t>SCA-TEE-12464_2.jpg</t>
  </si>
  <si>
    <t>SCA-TEE-12476_1.jpg</t>
  </si>
  <si>
    <t>SCA-TEE-12476_2.jpg</t>
  </si>
  <si>
    <t>SCA-TEE-12476_3.jpg</t>
  </si>
  <si>
    <t>SCA-TEE-12476_4.jpg</t>
  </si>
  <si>
    <t>SCA-TEE-12476_5.jpg</t>
  </si>
  <si>
    <t>SCA-TEE-12476_6.jpg</t>
  </si>
  <si>
    <t>SCA-TEE-12494_1.jpg</t>
  </si>
  <si>
    <t>SCA-TEE-12506_1.jpg</t>
  </si>
  <si>
    <t>SCA-TEE-12506_2.jpg</t>
  </si>
  <si>
    <t>SCA-TEE-12512_1.jpg</t>
  </si>
  <si>
    <t>SCA-TEE-12512_2.jpg</t>
  </si>
  <si>
    <t>SCA-TEE-12518_1.jpg</t>
  </si>
  <si>
    <t>SCA-TEE-12518_2.jpg</t>
  </si>
  <si>
    <t>SCA-TEE-12518_3.jpg</t>
  </si>
  <si>
    <t>SCA-TEE-12518_4.jpg</t>
  </si>
  <si>
    <t>SCA-TEE-12518_5.jpg</t>
  </si>
  <si>
    <t>SCA-TEE-12518_6.jpg</t>
  </si>
  <si>
    <t>SCA-TEE-12524_1.jpg</t>
  </si>
  <si>
    <t>SCA-TEE-12524_2.jpg</t>
  </si>
  <si>
    <t>SCA-TEE-12530_1.jpg</t>
  </si>
  <si>
    <t>SCA-TEE-12530_2.jpg</t>
  </si>
  <si>
    <t>SCA-TEE-12530_3.jpg</t>
  </si>
  <si>
    <t>SCA-TEE-12530_4.jpg</t>
  </si>
  <si>
    <t>SCA-TEE-12530_5.jpg</t>
  </si>
  <si>
    <t>SCA-TEE-12530_6.jpg</t>
  </si>
  <si>
    <t>SCA-TEE-12560_1.jpg</t>
  </si>
  <si>
    <t>SCA-TEE-12560_2.jpg</t>
  </si>
  <si>
    <t>SCA-TEE-12554_1.jpg</t>
  </si>
  <si>
    <t>SCA-TEE-12554_2.jpg</t>
  </si>
  <si>
    <t>SCA-TEE-12590_1.jpg</t>
  </si>
  <si>
    <t>SCA-TEE-12590_2.jpg</t>
  </si>
  <si>
    <t>SCA-TEE-12596_1.jpg</t>
  </si>
  <si>
    <t>SCA-TEE-12596_2.jpg</t>
  </si>
  <si>
    <t>SCA-TEE-12596_3.jpg</t>
  </si>
  <si>
    <t>SCA-TEE-12596_4.jpg</t>
  </si>
  <si>
    <t>SCA-TEE-12596_5.jpg</t>
  </si>
  <si>
    <t>SCA-TEE-12596_6.jpg</t>
  </si>
  <si>
    <t>SCA-TEE-12602_1.jpg</t>
  </si>
  <si>
    <t>SCA-VST-0820_1.jpg</t>
  </si>
  <si>
    <t>SCA-VST-0820_2.jpg</t>
  </si>
  <si>
    <t>SCA-SHO-0006_1.jpg</t>
  </si>
  <si>
    <t>SCA-SHO-0006_2.jpg</t>
  </si>
  <si>
    <t>SCA-SHO-0006_3.jpg</t>
  </si>
  <si>
    <t>SCA-WZH-0202_1.jpg</t>
  </si>
  <si>
    <t>SCA-WZH-0202_2.jpg</t>
  </si>
  <si>
    <t>SCA-WPT-0114_1.jpg</t>
  </si>
  <si>
    <t>SCA-WPT-0114_2.jpg</t>
  </si>
  <si>
    <t>SCA-WPT-0119_1.jpg</t>
  </si>
  <si>
    <t>SCA-WPT-0119_2.jpg</t>
  </si>
  <si>
    <t>SCA-WPT-1190_1.jpg</t>
  </si>
  <si>
    <t>SCA-WPT-1190_2.jpg</t>
  </si>
  <si>
    <t>SCA-WTE-2984_1.jpg</t>
  </si>
  <si>
    <t>SCA-WTE-2984_2.jpg</t>
  </si>
  <si>
    <t>SCA-WTE-2990_1.jpg</t>
  </si>
  <si>
    <t>SCA-WTE-2990_2.jpg</t>
  </si>
  <si>
    <t>SCA-WTE-2990_3.jpg</t>
  </si>
  <si>
    <t>SCA-WTE-2990_4.jpg</t>
  </si>
  <si>
    <t>SCA-WTE-2990_5.jpg</t>
  </si>
  <si>
    <t>SCA-WTE-3002_1.jpg</t>
  </si>
  <si>
    <t>SCA-WTE-3002_2.jpg</t>
  </si>
  <si>
    <t>SCA-WTE-3002_3.jpg</t>
  </si>
  <si>
    <t>SCA-WTE-3002_4.jpg</t>
  </si>
  <si>
    <t>SCA-WTE-3002_5.jpg</t>
  </si>
  <si>
    <t>SCA-WTE-3002_6.jpg</t>
  </si>
  <si>
    <t>SCA-WTE-3014_1.jpg</t>
  </si>
  <si>
    <t>SCA-WTE-3014_2.jpg</t>
  </si>
  <si>
    <t>SCA-WTE-3014_3.jpg</t>
  </si>
  <si>
    <t>SCA-WTE-3014_4.jpg</t>
  </si>
  <si>
    <t>SCA-WTE-3014_5.jpg</t>
  </si>
  <si>
    <t>SCA-WTE-3008_1.jpg</t>
  </si>
  <si>
    <t>SCA-WTE-3026_1.jpg</t>
  </si>
  <si>
    <t>SCA-WTE-3032_1.jpg</t>
  </si>
  <si>
    <t>SCA-WTE-3032_2.jpg</t>
  </si>
  <si>
    <t>SCA-WTE-3038_1.jpg</t>
  </si>
  <si>
    <t>SCA-WTE-3038_2.jpg</t>
  </si>
  <si>
    <t>SCA-WTE-3038_3.jpg</t>
  </si>
  <si>
    <t>SCA-WTE-3038_4.jpg</t>
  </si>
  <si>
    <t>SCA-WTE-3038_5.jpg</t>
  </si>
  <si>
    <t>SCA-WTE-3038_6.jpg</t>
  </si>
  <si>
    <t>SCA-SHO-0013_1.jpg</t>
  </si>
  <si>
    <t>Set renaming data worksheet To rename XXL &amp; 12 &amp; 16 images.</t>
  </si>
  <si>
    <t>Create XXL &amp; 12 &amp; 16 &amp; subfolder in the output folder.</t>
  </si>
  <si>
    <t>SCA-HDY-2050_1.jpg</t>
  </si>
  <si>
    <t>SCA-HDY-2050_2.jpg</t>
  </si>
  <si>
    <t>SCA-HDY-2050_3.jpg</t>
  </si>
  <si>
    <t>SCA-HDY-2050_4.jpg</t>
  </si>
  <si>
    <t>SCA-HDY-2050_5.jpg</t>
  </si>
  <si>
    <t>SCA-HDY-2050_6.jpg</t>
  </si>
  <si>
    <t>SCA-SHR-5477_1.jpg</t>
  </si>
  <si>
    <t>SCA-SHR-5477_2.jpg</t>
  </si>
  <si>
    <t>SCA-SHR-5477_3.jpg</t>
  </si>
  <si>
    <t>SCA-SHR-5477_4.jpg</t>
  </si>
  <si>
    <t>SCA-SHR-5477_5.jpg</t>
  </si>
  <si>
    <t>SCA-SHR-5477_6.jpg</t>
  </si>
  <si>
    <t>SCA-LTE-9777_1.jpg</t>
  </si>
  <si>
    <t>SCA-LTE-9783_1.jpg</t>
  </si>
  <si>
    <t>SCA-LTE-9783_2.jpg</t>
  </si>
  <si>
    <t>SCA-LTE-9783_3.jpg</t>
  </si>
  <si>
    <t>SCA-LTE-9783_4.jpg</t>
  </si>
  <si>
    <t>SCA-LTE-9783_5.jpg</t>
  </si>
  <si>
    <t>SCA-LTE-9783_6.jpg</t>
  </si>
  <si>
    <t>SCA-HDY-2062_1.jpg</t>
  </si>
  <si>
    <t>SCA-HDY-2062_2.jpg</t>
  </si>
  <si>
    <t>SCA-HDY-2074_1.jpg</t>
  </si>
  <si>
    <t>SCA-HDY-2074_2.jpg</t>
  </si>
  <si>
    <t>SCA-PNT-0314_1.jpg</t>
  </si>
  <si>
    <t>SCA-PNT-0314_2.jpg</t>
  </si>
  <si>
    <t>SCA-SHT-0877_1.jpg</t>
  </si>
  <si>
    <t>SCA-SHT-0877_2.jpg</t>
  </si>
  <si>
    <t>SCA-SHT-0877_3.jpg</t>
  </si>
  <si>
    <t>SCA-SHT-0877_4.jpg</t>
  </si>
  <si>
    <t>SCA-SHT-0877_5.jpg</t>
  </si>
  <si>
    <t>SCA-SHT-0877_6.jpg</t>
  </si>
  <si>
    <t>SCA-TEE-12471_1.jpg</t>
  </si>
  <si>
    <t>SCA-TEE-12471_2.jpg</t>
  </si>
  <si>
    <t>SCA-TEE-12465_1.jpg</t>
  </si>
  <si>
    <t>SCA-TEE-12465_2.jpg</t>
  </si>
  <si>
    <t>SCA-TEE-12477_1.jpg</t>
  </si>
  <si>
    <t>SCA-TEE-12477_2.jpg</t>
  </si>
  <si>
    <t>SCA-TEE-12477_3.jpg</t>
  </si>
  <si>
    <t>SCA-TEE-12477_4.jpg</t>
  </si>
  <si>
    <t>SCA-TEE-12477_5.jpg</t>
  </si>
  <si>
    <t>SCA-TEE-12477_6.jpg</t>
  </si>
  <si>
    <t>SCA-TEE-12495_1.jpg</t>
  </si>
  <si>
    <t>SCA-TEE-12507_1.jpg</t>
  </si>
  <si>
    <t>SCA-TEE-12507_2.jpg</t>
  </si>
  <si>
    <t>SCA-TEE-12513_1.jpg</t>
  </si>
  <si>
    <t>SCA-TEE-12513_2.jpg</t>
  </si>
  <si>
    <t>SCA-TEE-12519_1.jpg</t>
  </si>
  <si>
    <t>SCA-TEE-12519_2.jpg</t>
  </si>
  <si>
    <t>SCA-TEE-12519_3.jpg</t>
  </si>
  <si>
    <t>SCA-TEE-12519_4.jpg</t>
  </si>
  <si>
    <t>SCA-TEE-12519_5.jpg</t>
  </si>
  <si>
    <t>SCA-TEE-12519_6.jpg</t>
  </si>
  <si>
    <t>SCA-TEE-12525_1.jpg</t>
  </si>
  <si>
    <t>SCA-TEE-12525_2.jpg</t>
  </si>
  <si>
    <t>SCA-TEE-12531_1.jpg</t>
  </si>
  <si>
    <t>SCA-TEE-12531_2.jpg</t>
  </si>
  <si>
    <t>SCA-TEE-12531_3.jpg</t>
  </si>
  <si>
    <t>SCA-TEE-12531_4.jpg</t>
  </si>
  <si>
    <t>SCA-TEE-12531_5.jpg</t>
  </si>
  <si>
    <t>SCA-TEE-12531_6.jpg</t>
  </si>
  <si>
    <t>SCA-TEE-12561_1.jpg</t>
  </si>
  <si>
    <t>SCA-TEE-12561_2.jpg</t>
  </si>
  <si>
    <t>SCA-TEE-12555_1.jpg</t>
  </si>
  <si>
    <t>SCA-TEE-12555_2.jpg</t>
  </si>
  <si>
    <t>SCA-TEE-12591_1.jpg</t>
  </si>
  <si>
    <t>SCA-TEE-12591_2.jpg</t>
  </si>
  <si>
    <t>SCA-TEE-12597_1.jpg</t>
  </si>
  <si>
    <t>SCA-TEE-12597_2.jpg</t>
  </si>
  <si>
    <t>SCA-TEE-12597_3.jpg</t>
  </si>
  <si>
    <t>SCA-TEE-12597_4.jpg</t>
  </si>
  <si>
    <t>SCA-TEE-12597_5.jpg</t>
  </si>
  <si>
    <t>SCA-TEE-12597_6.jpg</t>
  </si>
  <si>
    <t>SCA-TEE-12603_1.jpg</t>
  </si>
  <si>
    <t>SCA-VST-0821_1.jpg</t>
  </si>
  <si>
    <t>SCA-VST-0821_2.jpg</t>
  </si>
  <si>
    <t>SCA-SHO-0007_1.jpg</t>
  </si>
  <si>
    <t>SCA-SHO-0007_2.jpg</t>
  </si>
  <si>
    <t>SCA-SHO-0007_3.jpg</t>
  </si>
  <si>
    <t>SCA-WZH-0203_1.jpg</t>
  </si>
  <si>
    <t>SCA-WZH-0203_2.jpg</t>
  </si>
  <si>
    <t>SCA-WPT-0508_1.jpg</t>
  </si>
  <si>
    <t>SCA-WPT-0508_2.jpg</t>
  </si>
  <si>
    <t>SCA-WPT-0513_1.jpg</t>
  </si>
  <si>
    <t>SCA-WPT-0513_2.jpg</t>
  </si>
  <si>
    <t>SCA-WPT-1191_1.jpg</t>
  </si>
  <si>
    <t>SCA-WPT-1191_2.jpg</t>
  </si>
  <si>
    <t>SCA-WTE-2985_1.jpg</t>
  </si>
  <si>
    <t>SCA-WTE-2985_2.jpg</t>
  </si>
  <si>
    <t>SCA-WTE-2991_1.jpg</t>
  </si>
  <si>
    <t>SCA-WTE-2991_2.jpg</t>
  </si>
  <si>
    <t>SCA-WTE-2991_3.jpg</t>
  </si>
  <si>
    <t>SCA-WTE-2991_4.jpg</t>
  </si>
  <si>
    <t>SCA-WTE-2991_5.jpg</t>
  </si>
  <si>
    <t>SCA-WTE-3003_1.jpg</t>
  </si>
  <si>
    <t>SCA-WTE-3003_2.jpg</t>
  </si>
  <si>
    <t>SCA-WTE-3003_3.jpg</t>
  </si>
  <si>
    <t>SCA-WTE-3003_4.jpg</t>
  </si>
  <si>
    <t>SCA-WTE-3003_5.jpg</t>
  </si>
  <si>
    <t>SCA-WTE-3003_6.jpg</t>
  </si>
  <si>
    <t>SCA-WTE-3015_1.jpg</t>
  </si>
  <si>
    <t>SCA-WTE-3015_2.jpg</t>
  </si>
  <si>
    <t>SCA-WTE-3015_3.jpg</t>
  </si>
  <si>
    <t>SCA-WTE-3015_4.jpg</t>
  </si>
  <si>
    <t>SCA-WTE-3015_5.jpg</t>
  </si>
  <si>
    <t>SCA-WTE-3009_1.jpg</t>
  </si>
  <si>
    <t>SCA-WTE-3027_1.jpg</t>
  </si>
  <si>
    <t>SCA-WTE-3033_1.jpg</t>
  </si>
  <si>
    <t>SCA-WTE-3033_2.jpg</t>
  </si>
  <si>
    <t>SCA-WTE-3039_1.jpg</t>
  </si>
  <si>
    <t>SCA-WTE-3039_2.jpg</t>
  </si>
  <si>
    <t>SCA-WTE-3039_3.jpg</t>
  </si>
  <si>
    <t>SCA-WTE-3039_4.jpg</t>
  </si>
  <si>
    <t>SCA-WTE-3039_5.jpg</t>
  </si>
  <si>
    <t>SCA-WTE-3039_6.jpg</t>
  </si>
  <si>
    <t>SCA-SHO-0014_1.jpg</t>
  </si>
  <si>
    <t>LeftOuter</t>
  </si>
  <si>
    <t>C:\Users\FTP Uploader\Documents\MASTER IMAGES\2025\Santa Cruz SU25 Imagery\002 Output - SKU named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</si>
</sst>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rgb="FF003DAB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3DEF8"/>
        <bgColor indexed="64"/>
      </patternFill>
    </fill>
    <fill>
      <patternFill patternType="solid">
        <fgColor rgb="FF47409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3DAB"/>
        <bgColor indexed="64"/>
      </patternFill>
    </fill>
    <fill>
      <patternFill patternType="solid">
        <fgColor rgb="FFEAE5EB"/>
        <bgColor indexed="64"/>
      </patternFill>
    </fill>
    <fill>
      <patternFill patternType="solid">
        <fgColor theme="9" tint="0.79998168889431442"/>
        <bgColor indexed="64"/>
      </patternFill>
    </fill>
  </fills>
  <borders count="38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dashed">
        <color theme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dashed">
        <color theme="1"/>
      </right>
      <top style="thin">
        <color theme="1"/>
      </top>
      <bottom/>
      <diagonal/>
    </border>
    <border>
      <left style="dashed">
        <color theme="1"/>
      </left>
      <right/>
      <top style="thin">
        <color theme="1"/>
      </top>
      <bottom/>
      <diagonal/>
    </border>
    <border>
      <left style="thin">
        <color theme="1"/>
      </left>
      <right style="dashed">
        <color theme="1"/>
      </right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dashed">
        <color theme="1"/>
      </right>
      <top/>
      <bottom style="thin">
        <color theme="1"/>
      </bottom>
      <diagonal/>
    </border>
    <border>
      <left style="dashed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ashed">
        <color rgb="FF0070C0"/>
      </left>
      <right/>
      <top/>
      <bottom/>
      <diagonal/>
    </border>
    <border>
      <left/>
      <right style="dashed">
        <color rgb="FF0070C0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ashed">
        <color auto="1"/>
      </left>
      <right/>
      <top style="thin">
        <color auto="1"/>
      </top>
      <bottom style="thin">
        <color auto="1"/>
      </bottom>
      <diagonal/>
    </border>
    <border>
      <left style="dashed">
        <color auto="1"/>
      </left>
      <right/>
      <top style="thin">
        <color auto="1"/>
      </top>
      <bottom/>
      <diagonal/>
    </border>
    <border>
      <left style="dashed">
        <color auto="1"/>
      </left>
      <right/>
      <top/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89">
    <xf numFmtId="0" fontId="0" fillId="0" borderId="0" xfId="0"/>
    <xf numFmtId="3" fontId="0" fillId="0" borderId="0" xfId="0" applyNumberFormat="1"/>
    <xf numFmtId="0" fontId="2" fillId="0" borderId="0" xfId="0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2" xfId="0" applyBorder="1"/>
    <xf numFmtId="0" fontId="4" fillId="0" borderId="0" xfId="0" applyFont="1"/>
    <xf numFmtId="0" fontId="0" fillId="0" borderId="11" xfId="0" applyBorder="1"/>
    <xf numFmtId="0" fontId="0" fillId="0" borderId="10" xfId="0" applyBorder="1"/>
    <xf numFmtId="4" fontId="0" fillId="0" borderId="0" xfId="0" applyNumberFormat="1"/>
    <xf numFmtId="0" fontId="0" fillId="5" borderId="0" xfId="0" applyFill="1"/>
    <xf numFmtId="0" fontId="2" fillId="5" borderId="0" xfId="0" applyFont="1" applyFill="1" applyAlignment="1">
      <alignment horizontal="center"/>
    </xf>
    <xf numFmtId="0" fontId="7" fillId="0" borderId="0" xfId="0" applyFont="1"/>
    <xf numFmtId="0" fontId="8" fillId="6" borderId="24" xfId="0" applyFont="1" applyFill="1" applyBorder="1"/>
    <xf numFmtId="0" fontId="8" fillId="6" borderId="26" xfId="0" applyFont="1" applyFill="1" applyBorder="1"/>
    <xf numFmtId="0" fontId="5" fillId="4" borderId="25" xfId="0" applyFont="1" applyFill="1" applyBorder="1"/>
    <xf numFmtId="0" fontId="5" fillId="4" borderId="26" xfId="0" applyFont="1" applyFill="1" applyBorder="1"/>
    <xf numFmtId="0" fontId="5" fillId="4" borderId="24" xfId="0" applyFont="1" applyFill="1" applyBorder="1"/>
    <xf numFmtId="0" fontId="2" fillId="7" borderId="27" xfId="0" applyFont="1" applyFill="1" applyBorder="1"/>
    <xf numFmtId="0" fontId="2" fillId="7" borderId="30" xfId="0" applyFont="1" applyFill="1" applyBorder="1"/>
    <xf numFmtId="0" fontId="2" fillId="7" borderId="23" xfId="0" applyFont="1" applyFill="1" applyBorder="1"/>
    <xf numFmtId="3" fontId="0" fillId="0" borderId="23" xfId="0" applyNumberFormat="1" applyBorder="1"/>
    <xf numFmtId="0" fontId="5" fillId="4" borderId="31" xfId="0" applyFont="1" applyFill="1" applyBorder="1"/>
    <xf numFmtId="0" fontId="0" fillId="0" borderId="32" xfId="0" applyBorder="1"/>
    <xf numFmtId="3" fontId="0" fillId="0" borderId="32" xfId="0" applyNumberFormat="1" applyBorder="1"/>
    <xf numFmtId="0" fontId="8" fillId="6" borderId="31" xfId="0" applyFont="1" applyFill="1" applyBorder="1"/>
    <xf numFmtId="0" fontId="9" fillId="5" borderId="0" xfId="1" quotePrefix="1" applyFont="1" applyFill="1"/>
    <xf numFmtId="0" fontId="9" fillId="5" borderId="0" xfId="1" applyFont="1" applyFill="1" applyAlignment="1">
      <alignment horizontal="center"/>
    </xf>
    <xf numFmtId="0" fontId="2" fillId="0" borderId="0" xfId="0" applyFont="1" applyAlignment="1">
      <alignment horizontal="center"/>
    </xf>
    <xf numFmtId="3" fontId="0" fillId="5" borderId="0" xfId="0" applyNumberFormat="1" applyFill="1"/>
    <xf numFmtId="0" fontId="0" fillId="5" borderId="0" xfId="0" applyFill="1" applyAlignment="1">
      <alignment vertical="center"/>
    </xf>
    <xf numFmtId="0" fontId="2" fillId="5" borderId="0" xfId="0" applyFont="1" applyFill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0" fontId="0" fillId="9" borderId="6" xfId="0" applyFill="1" applyBorder="1"/>
    <xf numFmtId="0" fontId="0" fillId="9" borderId="1" xfId="0" applyFill="1" applyBorder="1"/>
    <xf numFmtId="0" fontId="0" fillId="9" borderId="2" xfId="0" applyFill="1" applyBorder="1"/>
    <xf numFmtId="0" fontId="0" fillId="9" borderId="7" xfId="0" applyFill="1" applyBorder="1"/>
    <xf numFmtId="0" fontId="0" fillId="9" borderId="0" xfId="0" applyFill="1"/>
    <xf numFmtId="0" fontId="0" fillId="9" borderId="8" xfId="0" applyFill="1" applyBorder="1"/>
    <xf numFmtId="0" fontId="0" fillId="9" borderId="9" xfId="0" applyFill="1" applyBorder="1"/>
    <xf numFmtId="0" fontId="0" fillId="9" borderId="11" xfId="0" applyFill="1" applyBorder="1"/>
    <xf numFmtId="0" fontId="0" fillId="9" borderId="10" xfId="0" applyFill="1" applyBorder="1"/>
    <xf numFmtId="0" fontId="8" fillId="6" borderId="12" xfId="0" applyFon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6" borderId="14" xfId="0" applyFon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4" borderId="12" xfId="0" applyFon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4" borderId="13" xfId="0" applyFon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4" borderId="14" xfId="0" applyFon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5" borderId="0" xfId="0" applyFill="1" applyProtection="1"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21" fontId="0" fillId="0" borderId="0" xfId="0" applyNumberFormat="1" applyProtection="1">
      <protection locked="0"/>
    </xf>
    <xf numFmtId="0" fontId="2" fillId="5" borderId="0" xfId="0" applyFont="1" applyFill="1" applyAlignment="1">
      <alignment vertical="center"/>
    </xf>
    <xf numFmtId="0" fontId="0" fillId="0" borderId="28" xfId="0" applyBorder="1"/>
    <xf numFmtId="0" fontId="0" fillId="0" borderId="29" xfId="0" applyBorder="1"/>
    <xf numFmtId="0" fontId="0" fillId="3" borderId="15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 vertical="center" wrapText="1"/>
      <protection locked="0"/>
    </xf>
    <xf numFmtId="0" fontId="3" fillId="2" borderId="3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  <protection locked="0"/>
    </xf>
    <xf numFmtId="0" fontId="3" fillId="2" borderId="5" xfId="0" applyFont="1" applyFill="1" applyBorder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3" fillId="2" borderId="18" xfId="0" applyFont="1" applyFill="1" applyBorder="1" applyAlignment="1" applyProtection="1">
      <alignment horizontal="center" vertical="center" wrapText="1"/>
      <protection locked="0"/>
    </xf>
    <xf numFmtId="0" fontId="3" fillId="2" borderId="20" xfId="0" applyFont="1" applyFill="1" applyBorder="1" applyAlignment="1" applyProtection="1">
      <alignment horizontal="center" vertical="center" wrapText="1"/>
      <protection locked="0"/>
    </xf>
    <xf numFmtId="0" fontId="3" fillId="2" borderId="21" xfId="0" applyFont="1" applyFill="1" applyBorder="1" applyAlignment="1" applyProtection="1">
      <alignment horizontal="center" vertical="center" wrapText="1"/>
      <protection locked="0"/>
    </xf>
    <xf numFmtId="0" fontId="3" fillId="2" borderId="22" xfId="0" applyFont="1" applyFill="1" applyBorder="1" applyAlignment="1" applyProtection="1">
      <alignment horizontal="center" vertical="center" wrapText="1"/>
      <protection locked="0"/>
    </xf>
    <xf numFmtId="0" fontId="0" fillId="3" borderId="27" xfId="0" applyFill="1" applyBorder="1" applyAlignment="1" applyProtection="1">
      <alignment horizontal="center"/>
      <protection locked="0"/>
    </xf>
    <xf numFmtId="0" fontId="0" fillId="3" borderId="23" xfId="0" applyFill="1" applyBorder="1" applyAlignment="1" applyProtection="1">
      <alignment horizontal="center"/>
      <protection locked="0"/>
    </xf>
    <xf numFmtId="0" fontId="9" fillId="5" borderId="0" xfId="1" applyFont="1" applyFill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0" fillId="8" borderId="36" xfId="0" applyFill="1" applyBorder="1" applyAlignment="1">
      <alignment horizontal="center" vertical="center" wrapText="1"/>
    </xf>
    <xf numFmtId="0" fontId="0" fillId="8" borderId="33" xfId="0" applyFill="1" applyBorder="1" applyAlignment="1">
      <alignment horizontal="center" vertical="center" wrapText="1"/>
    </xf>
    <xf numFmtId="0" fontId="0" fillId="8" borderId="12" xfId="0" applyFill="1" applyBorder="1" applyAlignment="1">
      <alignment horizontal="center" vertical="center" wrapText="1"/>
    </xf>
    <xf numFmtId="0" fontId="0" fillId="8" borderId="37" xfId="0" applyFill="1" applyBorder="1" applyAlignment="1">
      <alignment horizontal="center" vertical="center" wrapText="1"/>
    </xf>
    <xf numFmtId="0" fontId="0" fillId="8" borderId="34" xfId="0" applyFill="1" applyBorder="1" applyAlignment="1">
      <alignment horizontal="center" vertical="center" wrapText="1"/>
    </xf>
    <xf numFmtId="0" fontId="0" fillId="8" borderId="14" xfId="0" applyFill="1" applyBorder="1" applyAlignment="1">
      <alignment horizontal="center" vertical="center" wrapText="1"/>
    </xf>
    <xf numFmtId="164" fontId="0" fillId="8" borderId="35" xfId="0" applyNumberFormat="1" applyFill="1" applyBorder="1" applyAlignment="1">
      <alignment horizontal="center" vertical="center"/>
    </xf>
    <xf numFmtId="164" fontId="0" fillId="8" borderId="30" xfId="0" applyNumberFormat="1" applyFill="1" applyBorder="1" applyAlignment="1">
      <alignment horizontal="center" vertical="center"/>
    </xf>
    <xf numFmtId="164" fontId="0" fillId="8" borderId="23" xfId="0" applyNumberFormat="1" applyFill="1" applyBorder="1" applyAlignment="1">
      <alignment horizontal="center" vertical="center"/>
    </xf>
    <xf numFmtId="21" fontId="0" fillId="8" borderId="35" xfId="0" applyNumberFormat="1" applyFill="1" applyBorder="1" applyAlignment="1">
      <alignment horizontal="center" vertical="center"/>
    </xf>
    <xf numFmtId="21" fontId="0" fillId="8" borderId="30" xfId="0" applyNumberFormat="1" applyFill="1" applyBorder="1" applyAlignment="1">
      <alignment horizontal="center" vertical="center"/>
    </xf>
    <xf numFmtId="21" fontId="0" fillId="8" borderId="23" xfId="0" applyNumberFormat="1" applyFill="1" applyBorder="1" applyAlignment="1">
      <alignment horizontal="center" vertical="center"/>
    </xf>
    <xf numFmtId="3" fontId="0" fillId="8" borderId="35" xfId="0" applyNumberFormat="1" applyFill="1" applyBorder="1" applyAlignment="1">
      <alignment horizontal="center" vertical="center"/>
    </xf>
    <xf numFmtId="3" fontId="0" fillId="8" borderId="30" xfId="0" applyNumberFormat="1" applyFill="1" applyBorder="1" applyAlignment="1">
      <alignment horizontal="center" vertical="center"/>
    </xf>
    <xf numFmtId="3" fontId="0" fillId="8" borderId="23" xfId="0" applyNumberForma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3DAB"/>
      </font>
      <fill>
        <patternFill>
          <bgColor rgb="FFD1EFFA"/>
        </patternFill>
      </fill>
      <border>
        <left style="thin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3DAB"/>
      </font>
      <fill>
        <patternFill>
          <bgColor rgb="FFD1EFFA"/>
        </patternFill>
      </fill>
      <border>
        <left style="thin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3DAB"/>
      </font>
      <fill>
        <patternFill>
          <bgColor rgb="FFD1EFFA"/>
        </patternFill>
      </fill>
      <border>
        <left style="thin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3" formatCode="#,##0"/>
    </dxf>
    <dxf>
      <numFmt numFmtId="0" formatCode="General"/>
      <border diagonalUp="0" diagonalDown="0">
        <left/>
        <right style="dashed">
          <color rgb="FF0070C0"/>
        </right>
        <top/>
        <bottom/>
        <vertical/>
        <horizontal/>
      </border>
    </dxf>
    <dxf>
      <numFmt numFmtId="0" formatCode="General"/>
      <border diagonalUp="0" diagonalDown="0">
        <left style="dashed">
          <color rgb="FF0070C0"/>
        </left>
        <right/>
        <top/>
        <bottom/>
        <vertical/>
        <horizontal/>
      </border>
    </dxf>
    <dxf>
      <numFmt numFmtId="0" formatCode="General"/>
      <border diagonalUp="0" diagonalDown="0">
        <left style="dashed">
          <color rgb="FF0070C0"/>
        </left>
        <right/>
        <top/>
        <bottom/>
        <vertical/>
        <horizontal/>
      </border>
    </dxf>
    <dxf>
      <numFmt numFmtId="0" formatCode="General"/>
      <border diagonalUp="0" diagonalDown="0">
        <left style="dashed">
          <color rgb="FF0070C0"/>
        </left>
        <right/>
        <top/>
        <bottom/>
        <vertical/>
        <horizontal/>
      </border>
    </dxf>
    <dxf>
      <numFmt numFmtId="0" formatCode="General"/>
      <border diagonalUp="0" diagonalDown="0">
        <left style="dashed">
          <color rgb="FF0070C0"/>
        </left>
        <right/>
        <top/>
        <bottom/>
        <vertical/>
        <horizontal/>
      </border>
    </dxf>
    <dxf>
      <numFmt numFmtId="0" formatCode="General"/>
      <border diagonalUp="0" diagonalDown="0">
        <left style="dashed">
          <color rgb="FF0070C0"/>
        </left>
        <right/>
        <top/>
        <bottom/>
        <vertical/>
        <horizontal/>
      </border>
    </dxf>
    <dxf>
      <numFmt numFmtId="0" formatCode="General"/>
      <border diagonalUp="0" diagonalDown="0">
        <left style="dashed">
          <color rgb="FF0070C0"/>
        </left>
        <right/>
        <top/>
        <bottom/>
        <vertical/>
        <horizontal/>
      </border>
    </dxf>
    <dxf>
      <numFmt numFmtId="0" formatCode="General"/>
      <border diagonalUp="0" diagonalDown="0">
        <left style="dashed">
          <color rgb="FF0070C0"/>
        </left>
        <right/>
        <top/>
        <bottom/>
        <vertical/>
        <horizontal/>
      </border>
    </dxf>
    <dxf>
      <numFmt numFmtId="0" formatCode="General"/>
      <border diagonalUp="0" diagonalDown="0">
        <left/>
        <right style="dashed">
          <color rgb="FF0070C0"/>
        </right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dashed">
          <color rgb="FF0070C0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4" formatCode="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EAE5EB"/>
      <color rgb="FFE3DEF8"/>
      <color rgb="FF474091"/>
      <color rgb="FF7030A0"/>
      <color rgb="FF003DAB"/>
      <color rgb="FFD1EF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22/11/relationships/FeaturePropertyBag" Target="featurePropertyBag/featurePropertyBag.xml"/><Relationship Id="rId10" Type="http://schemas.openxmlformats.org/officeDocument/2006/relationships/theme" Target="theme/theme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5</xdr:row>
      <xdr:rowOff>114300</xdr:rowOff>
    </xdr:from>
    <xdr:to>
      <xdr:col>12</xdr:col>
      <xdr:colOff>483825</xdr:colOff>
      <xdr:row>7</xdr:row>
      <xdr:rowOff>93300</xdr:rowOff>
    </xdr:to>
    <xdr:pic macro="[0]!set_image_folder_path">
      <xdr:nvPicPr>
        <xdr:cNvPr id="3" name="Graphic 2" descr="Folder Search with solid fill">
          <a:extLst>
            <a:ext uri="{FF2B5EF4-FFF2-40B4-BE49-F238E27FC236}">
              <a16:creationId xmlns:a16="http://schemas.microsoft.com/office/drawing/2014/main" id="{CC624331-BF12-8586-3DFD-482EA2FBA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15075" y="695325"/>
          <a:ext cx="360000" cy="360000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133350</xdr:colOff>
      <xdr:row>9</xdr:row>
      <xdr:rowOff>114300</xdr:rowOff>
    </xdr:from>
    <xdr:to>
      <xdr:col>12</xdr:col>
      <xdr:colOff>493350</xdr:colOff>
      <xdr:row>11</xdr:row>
      <xdr:rowOff>93300</xdr:rowOff>
    </xdr:to>
    <xdr:pic macro="[0]!set_output_folder_path">
      <xdr:nvPicPr>
        <xdr:cNvPr id="4" name="Graphic 3" descr="Folder Search with solid fill">
          <a:extLst>
            <a:ext uri="{FF2B5EF4-FFF2-40B4-BE49-F238E27FC236}">
              <a16:creationId xmlns:a16="http://schemas.microsoft.com/office/drawing/2014/main" id="{2C909DDE-3087-49DB-97C2-9F9ECBE64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24600" y="1476375"/>
          <a:ext cx="360000" cy="360000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133350</xdr:colOff>
      <xdr:row>13</xdr:row>
      <xdr:rowOff>95250</xdr:rowOff>
    </xdr:from>
    <xdr:to>
      <xdr:col>12</xdr:col>
      <xdr:colOff>493350</xdr:colOff>
      <xdr:row>15</xdr:row>
      <xdr:rowOff>74250</xdr:rowOff>
    </xdr:to>
    <xdr:pic macro="[0]!set_line_list_file_path">
      <xdr:nvPicPr>
        <xdr:cNvPr id="6" name="Graphic 5" descr="Document with solid fill">
          <a:extLst>
            <a:ext uri="{FF2B5EF4-FFF2-40B4-BE49-F238E27FC236}">
              <a16:creationId xmlns:a16="http://schemas.microsoft.com/office/drawing/2014/main" id="{FCA856B1-529D-D5FE-B705-7B2C4A97A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24600" y="2238375"/>
          <a:ext cx="360000" cy="360000"/>
        </a:xfrm>
        <a:prstGeom prst="rect">
          <a:avLst/>
        </a:prstGeom>
      </xdr:spPr>
    </xdr:pic>
    <xdr:clientData fLocksWithSheet="0"/>
  </xdr:twoCellAnchor>
  <xdr:twoCellAnchor>
    <xdr:from>
      <xdr:col>2</xdr:col>
      <xdr:colOff>44772</xdr:colOff>
      <xdr:row>0</xdr:row>
      <xdr:rowOff>50925</xdr:rowOff>
    </xdr:from>
    <xdr:to>
      <xdr:col>8</xdr:col>
      <xdr:colOff>272963</xdr:colOff>
      <xdr:row>2</xdr:row>
      <xdr:rowOff>89025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38FFF855-3939-9728-B2A4-C9BDE58FB966}"/>
            </a:ext>
          </a:extLst>
        </xdr:cNvPr>
        <xdr:cNvSpPr txBox="1"/>
      </xdr:nvSpPr>
      <xdr:spPr>
        <a:xfrm>
          <a:off x="1263972" y="50925"/>
          <a:ext cx="3866741" cy="419100"/>
        </a:xfrm>
        <a:prstGeom prst="rect">
          <a:avLst/>
        </a:prstGeom>
        <a:solidFill>
          <a:schemeClr val="accent4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000" b="0">
              <a:solidFill>
                <a:schemeClr val="bg1"/>
              </a:solidFill>
            </a:rPr>
            <a:t>Master Image Renaming Controls</a:t>
          </a:r>
        </a:p>
      </xdr:txBody>
    </xdr:sp>
    <xdr:clientData/>
  </xdr:twoCellAnchor>
  <xdr:twoCellAnchor>
    <xdr:from>
      <xdr:col>18</xdr:col>
      <xdr:colOff>86312</xdr:colOff>
      <xdr:row>14</xdr:row>
      <xdr:rowOff>19050</xdr:rowOff>
    </xdr:from>
    <xdr:to>
      <xdr:col>19</xdr:col>
      <xdr:colOff>486362</xdr:colOff>
      <xdr:row>16</xdr:row>
      <xdr:rowOff>9525</xdr:rowOff>
    </xdr:to>
    <xdr:sp macro="[0]!process_images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C4BA1404-98EC-4E6D-B3BB-DC151D7149DB}"/>
            </a:ext>
          </a:extLst>
        </xdr:cNvPr>
        <xdr:cNvSpPr/>
      </xdr:nvSpPr>
      <xdr:spPr>
        <a:xfrm>
          <a:off x="10716212" y="2695575"/>
          <a:ext cx="1009650" cy="371475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Execute VBA Code</a:t>
          </a:r>
        </a:p>
      </xdr:txBody>
    </xdr:sp>
    <xdr:clientData fLocksWithSheet="0"/>
  </xdr:twoCellAnchor>
  <xdr:twoCellAnchor>
    <xdr:from>
      <xdr:col>18</xdr:col>
      <xdr:colOff>86312</xdr:colOff>
      <xdr:row>7</xdr:row>
      <xdr:rowOff>180975</xdr:rowOff>
    </xdr:from>
    <xdr:to>
      <xdr:col>19</xdr:col>
      <xdr:colOff>486362</xdr:colOff>
      <xdr:row>9</xdr:row>
      <xdr:rowOff>171450</xdr:rowOff>
    </xdr:to>
    <xdr:sp macro="[0]!refresh_line_lis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90A0514F-B524-4D71-A1EB-C3B52A376419}"/>
            </a:ext>
          </a:extLst>
        </xdr:cNvPr>
        <xdr:cNvSpPr/>
      </xdr:nvSpPr>
      <xdr:spPr>
        <a:xfrm>
          <a:off x="10716212" y="1524000"/>
          <a:ext cx="1009650" cy="371475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Refresh</a:t>
          </a:r>
          <a:r>
            <a:rPr lang="en-GB" sz="800" baseline="0"/>
            <a:t> Line List</a:t>
          </a:r>
          <a:endParaRPr lang="en-GB" sz="800"/>
        </a:p>
      </xdr:txBody>
    </xdr:sp>
    <xdr:clientData fLocksWithSheet="0"/>
  </xdr:twoCellAnchor>
  <xdr:twoCellAnchor>
    <xdr:from>
      <xdr:col>18</xdr:col>
      <xdr:colOff>86312</xdr:colOff>
      <xdr:row>11</xdr:row>
      <xdr:rowOff>4763</xdr:rowOff>
    </xdr:from>
    <xdr:to>
      <xdr:col>19</xdr:col>
      <xdr:colOff>486362</xdr:colOff>
      <xdr:row>12</xdr:row>
      <xdr:rowOff>185738</xdr:rowOff>
    </xdr:to>
    <xdr:sp macro="[0]!refresh_renaming_data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3F293F06-51F2-43C6-B46B-067FD8AFB1B9}"/>
            </a:ext>
          </a:extLst>
        </xdr:cNvPr>
        <xdr:cNvSpPr/>
      </xdr:nvSpPr>
      <xdr:spPr>
        <a:xfrm>
          <a:off x="10716212" y="2109788"/>
          <a:ext cx="1009650" cy="371475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Refresh</a:t>
          </a:r>
          <a:r>
            <a:rPr lang="en-GB" sz="800" baseline="0"/>
            <a:t> Renaming</a:t>
          </a:r>
          <a:endParaRPr lang="en-GB" sz="800"/>
        </a:p>
      </xdr:txBody>
    </xdr:sp>
    <xdr:clientData fLocksWithSheet="0"/>
  </xdr:twoCellAnchor>
  <xdr:twoCellAnchor>
    <xdr:from>
      <xdr:col>3</xdr:col>
      <xdr:colOff>247649</xdr:colOff>
      <xdr:row>20</xdr:row>
      <xdr:rowOff>0</xdr:rowOff>
    </xdr:from>
    <xdr:to>
      <xdr:col>20</xdr:col>
      <xdr:colOff>0</xdr:colOff>
      <xdr:row>37</xdr:row>
      <xdr:rowOff>190499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59D4A5-A626-D37A-7F7C-A7907B8FF4AD}"/>
            </a:ext>
          </a:extLst>
        </xdr:cNvPr>
        <xdr:cNvSpPr txBox="1"/>
      </xdr:nvSpPr>
      <xdr:spPr>
        <a:xfrm>
          <a:off x="1714499" y="3838575"/>
          <a:ext cx="10134601" cy="3428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1. - Click on the folder i</a:t>
          </a:r>
          <a:r>
            <a:rPr lang="en-GB" sz="1100" baseline="0"/>
            <a:t>con button to set the input image directory path.</a:t>
          </a:r>
        </a:p>
        <a:p>
          <a:endParaRPr lang="en-GB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- Click on the folder i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 button to set the output image directory path.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GB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- Click on the document icon button to set the input line list .xlsx directory path.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GB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- Click on the refresh line list button to read in the line list data and load to the line list worksheet.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GB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- Click on the refresh renaming button to load the image data and update the image renaming data worksheet.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GB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- Make any manual changes required to the line list data worksheet.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GB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7. - Do another refresh on the image renaming worksheet data by clicking on the refresh renaming buttton.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GB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 - Repeat steps 6 and 7 until you are happy with the renaming data output.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GB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9. - Click on the execute vba code button to run the renaming procedure.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GB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10. - Review execution log worksheet for sucesses/errors on file reanming.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206697</xdr:colOff>
      <xdr:row>0</xdr:row>
      <xdr:rowOff>69975</xdr:rowOff>
    </xdr:from>
    <xdr:to>
      <xdr:col>3</xdr:col>
      <xdr:colOff>2457450</xdr:colOff>
      <xdr:row>2</xdr:row>
      <xdr:rowOff>108075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D9FECD2-8134-A13E-1C20-09AE0EE03422}"/>
            </a:ext>
          </a:extLst>
        </xdr:cNvPr>
        <xdr:cNvSpPr txBox="1"/>
      </xdr:nvSpPr>
      <xdr:spPr>
        <a:xfrm>
          <a:off x="1425897" y="69975"/>
          <a:ext cx="2498403" cy="419100"/>
        </a:xfrm>
        <a:prstGeom prst="rect">
          <a:avLst/>
        </a:prstGeom>
        <a:solidFill>
          <a:schemeClr val="accent4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2000" b="0">
              <a:solidFill>
                <a:schemeClr val="bg1"/>
              </a:solidFill>
            </a:rPr>
            <a:t>Line</a:t>
          </a:r>
          <a:r>
            <a:rPr lang="en-GB" sz="2000" b="0" baseline="0">
              <a:solidFill>
                <a:schemeClr val="bg1"/>
              </a:solidFill>
            </a:rPr>
            <a:t> List Data</a:t>
          </a:r>
          <a:endParaRPr lang="en-GB" sz="2000" b="0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797247</xdr:colOff>
      <xdr:row>0</xdr:row>
      <xdr:rowOff>41400</xdr:rowOff>
    </xdr:from>
    <xdr:to>
      <xdr:col>3</xdr:col>
      <xdr:colOff>1704975</xdr:colOff>
      <xdr:row>2</xdr:row>
      <xdr:rowOff>79500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13F15C9-D455-E300-53D7-C520CE1403F7}"/>
            </a:ext>
          </a:extLst>
        </xdr:cNvPr>
        <xdr:cNvSpPr txBox="1"/>
      </xdr:nvSpPr>
      <xdr:spPr>
        <a:xfrm>
          <a:off x="1130622" y="41400"/>
          <a:ext cx="2041203" cy="419100"/>
        </a:xfrm>
        <a:prstGeom prst="rect">
          <a:avLst/>
        </a:prstGeom>
        <a:solidFill>
          <a:schemeClr val="accent4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000" b="0">
              <a:solidFill>
                <a:schemeClr val="bg1"/>
              </a:solidFill>
            </a:rPr>
            <a:t>Image</a:t>
          </a:r>
          <a:r>
            <a:rPr lang="en-GB" sz="2000" b="0" baseline="0">
              <a:solidFill>
                <a:schemeClr val="bg1"/>
              </a:solidFill>
            </a:rPr>
            <a:t> Data</a:t>
          </a:r>
          <a:endParaRPr lang="en-GB" sz="2000" b="0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876300</xdr:colOff>
      <xdr:row>0</xdr:row>
      <xdr:rowOff>57150</xdr:rowOff>
    </xdr:from>
    <xdr:to>
      <xdr:col>4</xdr:col>
      <xdr:colOff>736278</xdr:colOff>
      <xdr:row>2</xdr:row>
      <xdr:rowOff>95250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8BE3B27-4D4C-4D2F-B067-B297A813BCFE}"/>
            </a:ext>
          </a:extLst>
        </xdr:cNvPr>
        <xdr:cNvSpPr txBox="1"/>
      </xdr:nvSpPr>
      <xdr:spPr>
        <a:xfrm>
          <a:off x="1209675" y="57150"/>
          <a:ext cx="2041203" cy="419100"/>
        </a:xfrm>
        <a:prstGeom prst="rect">
          <a:avLst/>
        </a:prstGeom>
        <a:solidFill>
          <a:schemeClr val="accent4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2000" b="0">
              <a:solidFill>
                <a:schemeClr val="bg1"/>
              </a:solidFill>
            </a:rPr>
            <a:t>Item</a:t>
          </a:r>
          <a:r>
            <a:rPr lang="en-GB" sz="2000" b="0" baseline="0">
              <a:solidFill>
                <a:schemeClr val="bg1"/>
              </a:solidFill>
            </a:rPr>
            <a:t> table Data</a:t>
          </a:r>
          <a:endParaRPr lang="en-GB" sz="2000" b="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47625</xdr:rowOff>
    </xdr:from>
    <xdr:to>
      <xdr:col>4</xdr:col>
      <xdr:colOff>1819446</xdr:colOff>
      <xdr:row>2</xdr:row>
      <xdr:rowOff>85725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1FD82E7-95E8-4DCD-8876-78C0B8284480}"/>
            </a:ext>
          </a:extLst>
        </xdr:cNvPr>
        <xdr:cNvSpPr txBox="1"/>
      </xdr:nvSpPr>
      <xdr:spPr>
        <a:xfrm>
          <a:off x="1457325" y="47625"/>
          <a:ext cx="4543596" cy="419100"/>
        </a:xfrm>
        <a:prstGeom prst="rect">
          <a:avLst/>
        </a:prstGeom>
        <a:solidFill>
          <a:schemeClr val="accent4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2000" b="0">
              <a:solidFill>
                <a:schemeClr val="bg1"/>
              </a:solidFill>
            </a:rPr>
            <a:t>Image</a:t>
          </a:r>
          <a:r>
            <a:rPr lang="en-GB" sz="2000" b="0" baseline="0">
              <a:solidFill>
                <a:schemeClr val="bg1"/>
              </a:solidFill>
            </a:rPr>
            <a:t> Styles Not in Line List</a:t>
          </a:r>
          <a:endParaRPr lang="en-GB" sz="2000" b="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47625</xdr:rowOff>
    </xdr:from>
    <xdr:to>
      <xdr:col>3</xdr:col>
      <xdr:colOff>0</xdr:colOff>
      <xdr:row>2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A09275B-48CD-48B6-BA36-9EC6FE286D0C}"/>
            </a:ext>
          </a:extLst>
        </xdr:cNvPr>
        <xdr:cNvSpPr txBox="1"/>
      </xdr:nvSpPr>
      <xdr:spPr>
        <a:xfrm>
          <a:off x="1457325" y="47625"/>
          <a:ext cx="4543596" cy="419100"/>
        </a:xfrm>
        <a:prstGeom prst="rect">
          <a:avLst/>
        </a:prstGeom>
        <a:solidFill>
          <a:schemeClr val="accent4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2000" b="0">
              <a:solidFill>
                <a:schemeClr val="bg1"/>
              </a:solidFill>
            </a:rPr>
            <a:t>Image</a:t>
          </a:r>
          <a:r>
            <a:rPr lang="en-GB" sz="2000" b="0" baseline="0">
              <a:solidFill>
                <a:schemeClr val="bg1"/>
              </a:solidFill>
            </a:rPr>
            <a:t> Styles Not in Line List</a:t>
          </a:r>
          <a:endParaRPr lang="en-GB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247650</xdr:colOff>
      <xdr:row>0</xdr:row>
      <xdr:rowOff>76200</xdr:rowOff>
    </xdr:from>
    <xdr:to>
      <xdr:col>4</xdr:col>
      <xdr:colOff>1781346</xdr:colOff>
      <xdr:row>2</xdr:row>
      <xdr:rowOff>114300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143F666-E790-47B3-90A9-53E32AF8E8C9}"/>
            </a:ext>
          </a:extLst>
        </xdr:cNvPr>
        <xdr:cNvSpPr txBox="1"/>
      </xdr:nvSpPr>
      <xdr:spPr>
        <a:xfrm>
          <a:off x="1466850" y="76200"/>
          <a:ext cx="4495971" cy="419100"/>
        </a:xfrm>
        <a:prstGeom prst="rect">
          <a:avLst/>
        </a:prstGeom>
        <a:solidFill>
          <a:schemeClr val="accent4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2000" b="0">
              <a:solidFill>
                <a:schemeClr val="bg1"/>
              </a:solidFill>
            </a:rPr>
            <a:t>Image</a:t>
          </a:r>
          <a:r>
            <a:rPr lang="en-GB" sz="2000" b="0" baseline="0">
              <a:solidFill>
                <a:schemeClr val="bg1"/>
              </a:solidFill>
            </a:rPr>
            <a:t> Files Not in Line List</a:t>
          </a:r>
          <a:endParaRPr lang="en-GB" sz="2000" b="0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0</xdr:row>
      <xdr:rowOff>57150</xdr:rowOff>
    </xdr:from>
    <xdr:to>
      <xdr:col>5</xdr:col>
      <xdr:colOff>285750</xdr:colOff>
      <xdr:row>2</xdr:row>
      <xdr:rowOff>95250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06919CB-2777-4E0D-A743-E42CD09F79A1}"/>
            </a:ext>
          </a:extLst>
        </xdr:cNvPr>
        <xdr:cNvSpPr txBox="1"/>
      </xdr:nvSpPr>
      <xdr:spPr>
        <a:xfrm>
          <a:off x="1447800" y="57150"/>
          <a:ext cx="3619500" cy="419100"/>
        </a:xfrm>
        <a:prstGeom prst="rect">
          <a:avLst/>
        </a:prstGeom>
        <a:solidFill>
          <a:schemeClr val="accent4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2000" b="0" baseline="0">
              <a:solidFill>
                <a:schemeClr val="bg1"/>
              </a:solidFill>
            </a:rPr>
            <a:t>Line List Styles Not in Images</a:t>
          </a:r>
          <a:endParaRPr lang="en-GB" sz="2000" b="0">
            <a:solidFill>
              <a:schemeClr val="bg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0</xdr:row>
      <xdr:rowOff>66675</xdr:rowOff>
    </xdr:from>
    <xdr:to>
      <xdr:col>6</xdr:col>
      <xdr:colOff>581025</xdr:colOff>
      <xdr:row>2</xdr:row>
      <xdr:rowOff>104775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86F37B1-83BF-4654-9E4D-167ED9FC898C}"/>
            </a:ext>
          </a:extLst>
        </xdr:cNvPr>
        <xdr:cNvSpPr txBox="1"/>
      </xdr:nvSpPr>
      <xdr:spPr>
        <a:xfrm>
          <a:off x="1428750" y="66675"/>
          <a:ext cx="3619500" cy="419100"/>
        </a:xfrm>
        <a:prstGeom prst="rect">
          <a:avLst/>
        </a:prstGeom>
        <a:solidFill>
          <a:schemeClr val="accent4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2000" b="0" baseline="0">
              <a:solidFill>
                <a:schemeClr val="bg1"/>
              </a:solidFill>
            </a:rPr>
            <a:t>Final Image Renaming Data</a:t>
          </a:r>
          <a:endParaRPr lang="en-GB" sz="2000" b="0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0</xdr:row>
      <xdr:rowOff>66675</xdr:rowOff>
    </xdr:from>
    <xdr:to>
      <xdr:col>20</xdr:col>
      <xdr:colOff>0</xdr:colOff>
      <xdr:row>2</xdr:row>
      <xdr:rowOff>104775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DE618DA-073F-469E-B92D-4DE337D131AD}"/>
            </a:ext>
          </a:extLst>
        </xdr:cNvPr>
        <xdr:cNvSpPr txBox="1"/>
      </xdr:nvSpPr>
      <xdr:spPr>
        <a:xfrm>
          <a:off x="1428750" y="66675"/>
          <a:ext cx="4533900" cy="419100"/>
        </a:xfrm>
        <a:prstGeom prst="rect">
          <a:avLst/>
        </a:prstGeom>
        <a:solidFill>
          <a:schemeClr val="accent4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2000" b="0" baseline="0">
              <a:solidFill>
                <a:schemeClr val="bg1"/>
              </a:solidFill>
            </a:rPr>
            <a:t>Image Renaming Execution Log</a:t>
          </a:r>
          <a:endParaRPr lang="en-GB" sz="2000" b="0">
            <a:solidFill>
              <a:schemeClr val="bg1"/>
            </a:solidFill>
          </a:endParaRP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13687E9A-BFBA-4C7C-89A0-2936B9029453}" autoFormatId="16" applyNumberFormats="0" applyBorderFormats="0" applyFontFormats="0" applyPatternFormats="0" applyAlignmentFormats="0" applyWidthHeightFormats="0">
  <queryTableRefresh nextId="18">
    <queryTableFields count="17">
      <queryTableField id="1" name="Item Key" tableColumnId="1"/>
      <queryTableField id="2" name="Season" tableColumnId="2"/>
      <queryTableField id="3" name="Item Status" tableColumnId="3"/>
      <queryTableField id="4" name="Brand" tableColumnId="4"/>
      <queryTableField id="5" name="Gender" tableColumnId="5"/>
      <queryTableField id="6" name="Style Code" tableColumnId="6"/>
      <queryTableField id="7" name="Theme" tableColumnId="7"/>
      <queryTableField id="8" name="Description" tableColumnId="8"/>
      <queryTableField id="9" name="Description 2" tableColumnId="9"/>
      <queryTableField id="10" name="Colour" tableColumnId="10"/>
      <queryTableField id="11" name="Size 1" tableColumnId="11"/>
      <queryTableField id="12" name="Size 2" tableColumnId="12"/>
      <queryTableField id="13" name="Size 3" tableColumnId="13"/>
      <queryTableField id="14" name="Size 4" tableColumnId="14"/>
      <queryTableField id="15" name="Size 5" tableColumnId="15"/>
      <queryTableField id="16" name="Size 6" tableColumnId="16"/>
      <queryTableField id="17" name="Size 7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1" xr16:uid="{97352E12-EA9D-4550-BA54-18135809D060}" autoFormatId="16" applyNumberFormats="0" applyBorderFormats="0" applyFontFormats="0" applyPatternFormats="0" applyAlignmentFormats="0" applyWidthHeightFormats="0">
  <queryTableRefresh nextId="24">
    <queryTableFields count="4">
      <queryTableField id="3" name="Item Key" tableColumnId="3"/>
      <queryTableField id="2" name="Name" tableColumnId="2"/>
      <queryTableField id="20" name="Shot" tableColumnId="20"/>
      <queryTableField id="1" name="Size (KB)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2" xr16:uid="{B850F129-0492-44D2-AF48-59821F4A6767}" autoFormatId="16" applyNumberFormats="0" applyBorderFormats="0" applyFontFormats="0" applyPatternFormats="0" applyAlignmentFormats="0" applyWidthHeightFormats="0">
  <queryTableRefresh nextId="16">
    <queryTableFields count="14">
      <queryTableField id="1" name="Item No" tableColumnId="1"/>
      <queryTableField id="2" name="Vendor Reference" tableColumnId="2"/>
      <queryTableField id="14" name="D2C Master SKU" tableColumnId="14"/>
      <queryTableField id="3" name="Brand Code" tableColumnId="3"/>
      <queryTableField id="4" name="Description" tableColumnId="4"/>
      <queryTableField id="5" name="Description 2" tableColumnId="5"/>
      <queryTableField id="6" name="Colours" tableColumnId="6"/>
      <queryTableField id="7" name="Size 1" tableColumnId="7"/>
      <queryTableField id="8" name="Size 1 Unit" tableColumnId="8"/>
      <queryTableField id="9" name="UOM" tableColumnId="9"/>
      <queryTableField id="10" name="Season" tableColumnId="10"/>
      <queryTableField id="11" name="Item Info" tableColumnId="11"/>
      <queryTableField id="12" name="Category" tableColumnId="12"/>
      <queryTableField id="13" name="Group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375C5644-A080-48AB-B364-2D514FFA6C6A}" autoFormatId="16" applyNumberFormats="0" applyBorderFormats="0" applyFontFormats="0" applyPatternFormats="0" applyAlignmentFormats="0" applyWidthHeightFormats="0">
  <queryTableRefresh nextId="32" unboundColumnsRight="1">
    <queryTableFields count="29">
      <queryTableField id="1" name="Item Key" tableColumnId="1"/>
      <queryTableField id="2" name="Season" tableColumnId="2"/>
      <queryTableField id="3" name="Item Status" tableColumnId="3"/>
      <queryTableField id="4" name="Brand" tableColumnId="4"/>
      <queryTableField id="5" name="Theme" tableColumnId="5"/>
      <queryTableField id="6" name="Gender" tableColumnId="6"/>
      <queryTableField id="7" name="Style Code" tableColumnId="7"/>
      <queryTableField id="8" name="Description" tableColumnId="8"/>
      <queryTableField id="9" name="Description 2" tableColumnId="9"/>
      <queryTableField id="10" name="Colour" tableColumnId="10"/>
      <queryTableField id="11" name="Size 1" tableColumnId="11"/>
      <queryTableField id="12" name="Size 2" tableColumnId="12"/>
      <queryTableField id="13" name="Size 3" tableColumnId="13"/>
      <queryTableField id="14" name="Size 4" tableColumnId="14"/>
      <queryTableField id="15" name="Size 5" tableColumnId="15"/>
      <queryTableField id="16" name="Size 6" tableColumnId="16"/>
      <queryTableField id="17" name="Size 7" tableColumnId="17"/>
      <queryTableField id="28" dataBound="0" tableColumnId="26"/>
      <queryTableField id="27" dataBound="0" tableColumnId="27"/>
      <queryTableField id="26" dataBound="0" tableColumnId="28"/>
      <queryTableField id="25" dataBound="0" tableColumnId="29"/>
      <queryTableField id="24" dataBound="0" tableColumnId="24"/>
      <queryTableField id="23" dataBound="0" tableColumnId="25"/>
      <queryTableField id="22" dataBound="0" tableColumnId="23"/>
      <queryTableField id="29" dataBound="0" tableColumnId="30"/>
      <queryTableField id="18" name="Size (KB)" tableColumnId="18"/>
      <queryTableField id="19" name="Shot" tableColumnId="19"/>
      <queryTableField id="20" name="Name" tableColumnId="20"/>
      <queryTableField id="30" dataBound="0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F73BE9-9F75-4DC1-AED2-58AAFE3E6902}" name="Line_List" displayName="Line_List" ref="D5:T6" tableType="queryTable" insertRow="1" totalsRowShown="0">
  <autoFilter ref="D5:T6" xr:uid="{BFF73BE9-9F75-4DC1-AED2-58AAFE3E6902}"/>
  <tableColumns count="17">
    <tableColumn id="1" xr3:uid="{B75E981F-B869-4636-B79E-432B2844A6FF}" uniqueName="1" name="Item Key" queryTableFieldId="1" dataDxfId="86"/>
    <tableColumn id="2" xr3:uid="{FD86D704-753E-44B6-95B1-92F3416130A2}" uniqueName="2" name="Season" queryTableFieldId="2" dataDxfId="85"/>
    <tableColumn id="3" xr3:uid="{60A056B2-E036-44EC-8F85-04D855F7E520}" uniqueName="3" name="Item Status" queryTableFieldId="3" dataDxfId="84"/>
    <tableColumn id="4" xr3:uid="{533E9D14-6555-494C-B0BA-31E2E7E67862}" uniqueName="4" name="Brand" queryTableFieldId="4" dataDxfId="83"/>
    <tableColumn id="5" xr3:uid="{3FF35BD3-0715-41E5-99EA-8D67253DF7F7}" uniqueName="5" name="Gender" queryTableFieldId="5" dataDxfId="82"/>
    <tableColumn id="6" xr3:uid="{24A659DC-AA52-4EC8-B85C-98A7BCD26119}" uniqueName="6" name="Style Code" queryTableFieldId="6" dataDxfId="81"/>
    <tableColumn id="7" xr3:uid="{5CB91C47-10E2-4C24-8752-17171446F0F4}" uniqueName="7" name="Theme" queryTableFieldId="7" dataDxfId="80"/>
    <tableColumn id="8" xr3:uid="{931DC7FE-23F6-4D33-A712-D607CA7AEE55}" uniqueName="8" name="Description" queryTableFieldId="8" dataDxfId="79"/>
    <tableColumn id="9" xr3:uid="{5D6AE765-0DB6-4014-9051-76999D770282}" uniqueName="9" name="Description 2" queryTableFieldId="9" dataDxfId="78"/>
    <tableColumn id="10" xr3:uid="{4A8F86B1-E7AB-41F4-8E34-6AEA2702687F}" uniqueName="10" name="Colour" queryTableFieldId="10" dataDxfId="77"/>
    <tableColumn id="11" xr3:uid="{F2D84FF2-1C1B-4ADE-BC4B-4BDF6D797F60}" uniqueName="11" name="Size 1" queryTableFieldId="11" dataDxfId="76"/>
    <tableColumn id="12" xr3:uid="{17AAEA74-3184-44BE-AAF2-350E212056A0}" uniqueName="12" name="Size 2" queryTableFieldId="12" dataDxfId="75"/>
    <tableColumn id="13" xr3:uid="{8EEBC8B5-0F1B-46CA-A448-2F438E8B6229}" uniqueName="13" name="Size 3" queryTableFieldId="13" dataDxfId="74"/>
    <tableColumn id="14" xr3:uid="{EEDB2145-91BB-4B0A-B1AC-B6E5D53FA1DE}" uniqueName="14" name="Size 4" queryTableFieldId="14" dataDxfId="73"/>
    <tableColumn id="15" xr3:uid="{AE992A33-6825-4ADB-B92C-D925CEAC8BB5}" uniqueName="15" name="Size 5" queryTableFieldId="15" dataDxfId="72"/>
    <tableColumn id="16" xr3:uid="{E36188DA-0187-408A-B95C-7F205EB686AB}" uniqueName="16" name="Size 6" queryTableFieldId="16" dataDxfId="71"/>
    <tableColumn id="17" xr3:uid="{19E10F55-0034-4D45-9D67-F1E4A0EBAA52}" uniqueName="17" name="Size 7" queryTableFieldId="17" dataDxfId="70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0D60BC-E972-4D6A-8237-B880676106E7}" name="Image_Data" displayName="Image_Data" ref="D5:G6" tableType="queryTable" insertRow="1" totalsRowShown="0">
  <autoFilter ref="D5:G6" xr:uid="{9A0D60BC-E972-4D6A-8237-B880676106E7}"/>
  <tableColumns count="4">
    <tableColumn id="3" xr3:uid="{47F47A7D-A08F-479D-B4A6-84208C8659D5}" uniqueName="3" name="Item Key" queryTableFieldId="3" dataDxfId="69"/>
    <tableColumn id="2" xr3:uid="{AE39525E-9A5D-453C-AC94-6DF798234D1B}" uniqueName="2" name="Name" queryTableFieldId="2" dataDxfId="68"/>
    <tableColumn id="20" xr3:uid="{E357A6B1-793C-4B63-BB5A-F3AEC55AEC8B}" uniqueName="20" name="Shot" queryTableFieldId="20" dataDxfId="67"/>
    <tableColumn id="1" xr3:uid="{2872D448-EAC9-48BC-B880-A9034E55E2AF}" uniqueName="1" name="Size (KB)" queryTableFieldId="1" dataDxfId="66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DEAC943-F5C3-4C9A-A05E-0B14636FF357}" name="Item_Data" displayName="Item_Data" ref="D5:Q6" tableType="queryTable" insertRow="1" totalsRowShown="0">
  <autoFilter ref="D5:Q6" xr:uid="{7DEAC943-F5C3-4C9A-A05E-0B14636FF357}"/>
  <tableColumns count="14">
    <tableColumn id="1" xr3:uid="{AAC94EC7-0502-458E-9A77-F0C0E1F9B90F}" uniqueName="1" name="Item No" queryTableFieldId="1" dataDxfId="65"/>
    <tableColumn id="2" xr3:uid="{3F80388D-F0ED-4BF9-80A1-9663F7E8D33B}" uniqueName="2" name="Vendor Reference" queryTableFieldId="2" dataDxfId="64"/>
    <tableColumn id="14" xr3:uid="{5EDDB1DB-7494-495F-9A79-E92AD1047009}" uniqueName="14" name="D2C Master SKU" queryTableFieldId="14" dataDxfId="63"/>
    <tableColumn id="3" xr3:uid="{2C49EDAC-5B9E-426D-9863-7888C9480FCA}" uniqueName="3" name="Brand Code" queryTableFieldId="3" dataDxfId="62"/>
    <tableColumn id="4" xr3:uid="{787A093E-CBC7-4299-AF9C-BB033298A08F}" uniqueName="4" name="Description" queryTableFieldId="4" dataDxfId="61"/>
    <tableColumn id="5" xr3:uid="{88D973A9-0052-4D71-A959-475018690A73}" uniqueName="5" name="Description 2" queryTableFieldId="5" dataDxfId="60"/>
    <tableColumn id="6" xr3:uid="{386E5CA1-C062-4BE5-8EF2-6CC05FDB19CF}" uniqueName="6" name="Colours" queryTableFieldId="6" dataDxfId="59"/>
    <tableColumn id="7" xr3:uid="{311811E3-6E37-4AA6-BDD7-1C6EA1092708}" uniqueName="7" name="Size 1" queryTableFieldId="7" dataDxfId="58"/>
    <tableColumn id="8" xr3:uid="{F3BB17E6-8599-44CA-BE00-EE4BC88A9B3D}" uniqueName="8" name="Size 1 Unit" queryTableFieldId="8" dataDxfId="57"/>
    <tableColumn id="9" xr3:uid="{579AE5CB-F57C-4FD8-AE30-41C8EA33C164}" uniqueName="9" name="UOM" queryTableFieldId="9" dataDxfId="56"/>
    <tableColumn id="10" xr3:uid="{11290AA3-5ECE-41F9-B6C2-B565F9EFDE01}" uniqueName="10" name="Season" queryTableFieldId="10" dataDxfId="55"/>
    <tableColumn id="11" xr3:uid="{9126643B-0578-4F37-BAC7-ADE99A657591}" uniqueName="11" name="Item Info" queryTableFieldId="11" dataDxfId="54"/>
    <tableColumn id="12" xr3:uid="{13416574-E8E1-4405-B4CB-CEE1F02CB1C2}" uniqueName="12" name="Category" queryTableFieldId="12" dataDxfId="53"/>
    <tableColumn id="13" xr3:uid="{D71FA286-12E6-4D9E-8748-95EC070B98B2}" uniqueName="13" name="Group" queryTableFieldId="13" dataDxfId="52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DA725-9853-4C75-8697-98595C534713}" name="Renaming_Data" displayName="Renaming_Data" ref="D5:AF6" tableType="queryTable" totalsRowShown="0">
  <autoFilter ref="D5:AF6" xr:uid="{BD6DA725-9853-4C75-8697-98595C534713}"/>
  <tableColumns count="29">
    <tableColumn id="1" xr3:uid="{B75B6571-4823-447C-877F-E6AE6C43C063}" uniqueName="1" name="Item Key" queryTableFieldId="1" dataDxfId="51"/>
    <tableColumn id="2" xr3:uid="{BB10FD0E-4441-407F-BA59-FE9508D235BB}" uniqueName="2" name="Season" queryTableFieldId="2" dataDxfId="50"/>
    <tableColumn id="3" xr3:uid="{7EA921C2-A36A-497B-8B84-C0AE7DFFFCE1}" uniqueName="3" name="Item Status" queryTableFieldId="3" dataDxfId="49"/>
    <tableColumn id="4" xr3:uid="{E964258F-81A8-4078-B274-7AFD6072F1F3}" uniqueName="4" name="Brand" queryTableFieldId="4" dataDxfId="48"/>
    <tableColumn id="5" xr3:uid="{9AD7DAAC-ABBA-4914-BFDE-396CEB2894F7}" uniqueName="5" name="Theme" queryTableFieldId="5" dataDxfId="47"/>
    <tableColumn id="6" xr3:uid="{11314BBD-77AF-48EC-9F41-3AEFC14C4B3F}" uniqueName="6" name="Gender" queryTableFieldId="6" dataDxfId="46"/>
    <tableColumn id="7" xr3:uid="{81086978-5202-4BDA-A7F1-F9BB3DE5E1B8}" uniqueName="7" name="Style Code" queryTableFieldId="7" dataDxfId="45"/>
    <tableColumn id="8" xr3:uid="{4F1FEB1C-8A48-4437-88C4-EE07264F322B}" uniqueName="8" name="Description" queryTableFieldId="8" dataDxfId="44"/>
    <tableColumn id="9" xr3:uid="{B2191C7F-3241-4992-AB2B-64F00F2DEDBA}" uniqueName="9" name="Description 2" queryTableFieldId="9" dataDxfId="43"/>
    <tableColumn id="10" xr3:uid="{367405D4-7D37-4A7D-86DF-112D5F6F5D0A}" uniqueName="10" name="Colour" queryTableFieldId="10" dataDxfId="42"/>
    <tableColumn id="11" xr3:uid="{0C31EF28-0A23-48B1-814C-D7A1F6421FC0}" uniqueName="11" name="Size 1" queryTableFieldId="11" dataDxfId="41"/>
    <tableColumn id="12" xr3:uid="{01621379-A44D-4FEA-A0AF-A76355D9585D}" uniqueName="12" name="Size 2" queryTableFieldId="12" dataDxfId="40"/>
    <tableColumn id="13" xr3:uid="{546BF0A4-4A25-4C9E-AACF-6F505F988531}" uniqueName="13" name="Size 3" queryTableFieldId="13" dataDxfId="39"/>
    <tableColumn id="14" xr3:uid="{478AEFF9-4E0C-43A0-A206-C1823C1495D4}" uniqueName="14" name="Size 4" queryTableFieldId="14" dataDxfId="38"/>
    <tableColumn id="15" xr3:uid="{324DF751-AF00-455D-A6C8-DDA41C16C9B0}" uniqueName="15" name="Size 5" queryTableFieldId="15" dataDxfId="37"/>
    <tableColumn id="16" xr3:uid="{BC26E34A-D7BA-4BF0-9337-09D6FFF0ADCD}" uniqueName="16" name="Size 6" queryTableFieldId="16" dataDxfId="36"/>
    <tableColumn id="17" xr3:uid="{972CF36A-40A4-44EE-BBCF-A46EC0E70D34}" uniqueName="17" name="Size 7" queryTableFieldId="17" dataDxfId="35"/>
    <tableColumn id="26" xr3:uid="{DE5B5714-270B-4C4E-B050-C2BDF04D8BE2}" uniqueName="26" name="Size 1 Code" queryTableFieldId="28" dataDxfId="34">
      <calculatedColumnFormula array="1">_xlfn.XLOOKUP(Renaming_Data[[#This Row],[Style Code]:[Style Code]] &amp; Renaming_Data[[#This Row],[Colour]:[Colour]] &amp; Renaming_Data[[#This Row],[Size 1]], Item_Data[[Vendor Reference]:[Vendor Reference]] &amp; Item_Data[[Colours]:[Colours]] &amp; Item_Data[[Size 1]:[Size 1]], Item_Data[[Item No]:[Item No]], "")</calculatedColumnFormula>
    </tableColumn>
    <tableColumn id="27" xr3:uid="{79BEE03A-3611-479F-BB7C-2572262ADAE9}" uniqueName="27" name="Size 2 Code" queryTableFieldId="27" dataDxfId="33">
      <calculatedColumnFormula array="1">_xlfn.XLOOKUP(Renaming_Data[[#This Row],[Style Code]:[Style Code]] &amp; Renaming_Data[[#This Row],[Colour]:[Colour]] &amp; Renaming_Data[[#This Row],[Size 2]], Item_Data[[Vendor Reference]:[Vendor Reference]] &amp; Item_Data[[Colours]:[Colours]] &amp; Item_Data[[Size 1]:[Size 1]], Item_Data[[Item No]:[Item No]], "")</calculatedColumnFormula>
    </tableColumn>
    <tableColumn id="28" xr3:uid="{3165E09B-B967-4B6D-A23C-3826B86D7278}" uniqueName="28" name="Size 3 Code" queryTableFieldId="26" dataDxfId="32">
      <calculatedColumnFormula array="1">_xlfn.XLOOKUP(Renaming_Data[[#This Row],[Style Code]:[Style Code]] &amp; Renaming_Data[[#This Row],[Colour]:[Colour]] &amp; Renaming_Data[[#This Row],[Size 3]], Item_Data[[Vendor Reference]:[Vendor Reference]] &amp; Item_Data[[Colours]:[Colours]] &amp; Item_Data[[Size 1]:[Size 1]], Item_Data[[Item No]:[Item No]], "")</calculatedColumnFormula>
    </tableColumn>
    <tableColumn id="29" xr3:uid="{48E39C42-1037-47F9-B9AA-118C22790405}" uniqueName="29" name="Size 4 Code" queryTableFieldId="25" dataDxfId="31">
      <calculatedColumnFormula array="1">_xlfn.XLOOKUP(Renaming_Data[[#This Row],[Style Code]:[Style Code]] &amp; Renaming_Data[[#This Row],[Colour]:[Colour]] &amp; Renaming_Data[[#This Row],[Size 4]], Item_Data[[Vendor Reference]:[Vendor Reference]] &amp; Item_Data[[Colours]:[Colours]] &amp; Item_Data[[Size 1]:[Size 1]], Item_Data[[Item No]:[Item No]], "")</calculatedColumnFormula>
    </tableColumn>
    <tableColumn id="24" xr3:uid="{D80D5CB3-F50C-4EF4-B1FB-4B28C36C7029}" uniqueName="24" name="Size 5 Code" queryTableFieldId="24" dataDxfId="30">
      <calculatedColumnFormula array="1">_xlfn.XLOOKUP(Renaming_Data[[#This Row],[Style Code]:[Style Code]] &amp; Renaming_Data[[#This Row],[Colour]:[Colour]] &amp; Renaming_Data[[#This Row],[Size 5]], Item_Data[[Vendor Reference]:[Vendor Reference]] &amp; Item_Data[[Colours]:[Colours]] &amp; Item_Data[[Size 1]:[Size 1]], Item_Data[[Item No]:[Item No]], "")</calculatedColumnFormula>
    </tableColumn>
    <tableColumn id="25" xr3:uid="{64971057-61E9-4D44-ACED-097EAE783405}" uniqueName="25" name="Size 6 Code" queryTableFieldId="23" dataDxfId="29">
      <calculatedColumnFormula array="1">_xlfn.XLOOKUP(Renaming_Data[[#This Row],[Style Code]:[Style Code]] &amp; Renaming_Data[[#This Row],[Colour]:[Colour]] &amp; Renaming_Data[[#This Row],[Size 6]], Item_Data[[Vendor Reference]:[Vendor Reference]] &amp; Item_Data[[Colours]:[Colours]] &amp; Item_Data[[Size 1]:[Size 1]], Item_Data[[Item No]:[Item No]], "")</calculatedColumnFormula>
    </tableColumn>
    <tableColumn id="23" xr3:uid="{44D1ADF6-A5FC-4435-AEAB-4A521FF98AA6}" uniqueName="23" name="Size 7 Code" queryTableFieldId="22" dataDxfId="28">
      <calculatedColumnFormula array="1">_xlfn.XLOOKUP(Renaming_Data[[#This Row],[Style Code]:[Style Code]] &amp; Renaming_Data[[#This Row],[Colour]:[Colour]] &amp; Renaming_Data[[#This Row],[Size 7]], Item_Data[[Vendor Reference]:[Vendor Reference]] &amp; Item_Data[[Colours]:[Colours]] &amp; Item_Data[[Size 1]:[Size 1]], Item_Data[[Item No]:[Item No]], "")</calculatedColumnFormula>
    </tableColumn>
    <tableColumn id="30" xr3:uid="{0A4D3D4C-F780-46D1-AAF9-6127DCA51C14}" uniqueName="30" name="D2C Code" queryTableFieldId="29" dataDxfId="27">
      <calculatedColumnFormula array="1">_xlfn.LET(_xlpm.D2CList, _xlfn.UNIQUE(_xlfn._xlws.FILTER(Item_Data[D2C Master SKU], (Item_Data[D2C Master SKU] &lt;&gt; "") * (Item_Data[Vendor Reference] = Renaming_Data[[#This Row],[Style Code]]) * (Item_Data[Colours] = Renaming_Data[[#This Row],[Colour]]))),
IFERROR(IF(COUNTA(_xlpm.D2CList) &gt; 1, "D2C Codes &gt; 1", _xlpm.D2CList), "No D2C Code"))</calculatedColumnFormula>
    </tableColumn>
    <tableColumn id="18" xr3:uid="{A896F3AA-D9B0-40DB-897E-6F7298CD0757}" uniqueName="18" name="Size (KB)" queryTableFieldId="18" dataDxfId="26"/>
    <tableColumn id="19" xr3:uid="{AC162C7C-F86A-4ADD-89FA-6F0C2B5B1591}" uniqueName="19" name="Shot" queryTableFieldId="19" dataDxfId="25"/>
    <tableColumn id="20" xr3:uid="{244E6684-9F1B-46F8-967D-42A2B52F2D34}" uniqueName="20" name="Name" queryTableFieldId="20" dataDxfId="24"/>
    <tableColumn id="31" xr3:uid="{C37C165D-B0B6-4E9D-88EF-3F2AD9977BC1}" uniqueName="31" name="New Name" queryTableFieldId="30" dataDxfId="23">
      <calculatedColumnFormula array="1" xml:space="preserve"> _xlfn.LET(
    _xlpm.Customer, _xlfn.TEXTJOIN("_", TRUE, Renaming_Data[[#This Row],[Brand]], Renaming_Data[[#This Row],[Gender]], Renaming_Data[[#This Row],[Description 2]], Renaming_Data[[#This Row],[Colour]]),
    _xlpm.SizeRef, IFERROR(_xlfn.XMATCH($AF$2, $U$4:$AB$4, 0), 9),
    _xlpm.Code, CHOOSE(_xlpm.SizeRef,
        Renaming_Data[[#This Row],[Size 1 Code]], Renaming_Data[[#This Row],[Size 2 Code]], Renaming_Data[[#This Row],[Size 3 Code]], Renaming_Data[[#This Row],[Size 4 Code]],
        Renaming_Data[[#This Row],[Size 5 Code]], Renaming_Data[[#This Row],[Size 6 Code]], Renaming_Data[[#This Row],[Size 7 Code]], Renaming_Data[[#This Row],[D2C Code]]
    ),
    _xlpm.Shot, _xlfn.IFS(
        OR(Renaming_Data[[#This Row],[Shot]] = "", Renaming_Data[[#This Row],[Shot]] = "A"), "",
        ISNUMBER(VALUE(Renaming_Data[[#This Row],[Shot]])), Renaming_Data[[#This Row],[Shot]],
        TRUE, CODE(UPPER(Renaming_Data[[#This Row],[Shot]])) - 65
    ),
    IFERROR(
        _xlfn.IFS(
            AND(_xlpm.SizeRef = 1, Renaming_Data[[#This Row],[Size 1]] = ""), "",
            AND(_xlpm.SizeRef = 2, Renaming_Data[[#This Row],[Size 2]] = ""), "",
            AND(_xlpm.SizeRef = 3, Renaming_Data[[#This Row],[Size 3]] = ""), "",
            AND(_xlpm.SizeRef = 4, Renaming_Data[[#This Row],[Size 4]] = ""), "",
            AND(_xlpm.SizeRef = 5, Renaming_Data[[#This Row],[Size 5]] = ""), "",
            AND(_xlpm.SizeRef = 6, Renaming_Data[[#This Row],[Size 6]] = ""), "",
            AND(_xlpm.SizeRef = 7, Renaming_Data[[#This Row],[Size 7]] = ""), "",
            AND(_xlpm.SizeRef = 8, OR(
                Renaming_Data[[#This Row],[D2C Code]] = "",
                Renaming_Data[[#This Row],[D2C Code]] = "D2C Codes &gt; 1",
                Renaming_Data[[#This Row],[D2C Code]] = "No D2C Code"
            )), "",
            TRUE, SUBSTITUTE(
                SUBSTITUTE(
                    SUBSTITUTE(
                        SUBSTITUTE(
                            SUBSTITUTE(
                                SUBSTITUTE(
                                    SUBSTITUTE(
                                        SUBSTITUTE(
                                            IF(
                                                $AF$2 = "Customers", _xlpm.Customer, _xlpm.Code
                                            ) &amp;
                                            IF(_xlpm.Shot &lt;&gt; "", "_" &amp; _xlpm.Shot, "") &amp;
                                            "." &amp; _xlfn.TEXTAFTER(Renaming_Data[[#This Row],[Name]], "."),
                                            "\", ""
                                        ), "/", ""
                                    ), ":", ""
                                ), "*", ""
                            ), "?", ""
                        ), _xlfn.UNICHAR(34), ""
                    ), "&lt;", ""
                ), "&gt;", ""
            )
        ), ""
    )
)</calculatedColumnFormula>
    </tableColumn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DD96CE3-3FDE-48EE-BE0F-96582DFBC201}" name="Execution_Log" displayName="Execution_Log" ref="L5:S1706" totalsRowShown="0" headerRowDxfId="22" dataDxfId="21">
  <autoFilter ref="L5:S1706" xr:uid="{5DD96CE3-3FDE-48EE-BE0F-96582DFBC201}"/>
  <tableColumns count="8">
    <tableColumn id="1" xr3:uid="{3E107039-E2D0-4FCE-AA06-DBC3DCF34A69}" name="Date" dataDxfId="20"/>
    <tableColumn id="2" xr3:uid="{5761B507-883D-4328-9FCB-5035C379BDB7}" name="Time" dataDxfId="19"/>
    <tableColumn id="3" xr3:uid="{B5D12609-19D0-417D-9294-6A012997B673}" name="Input File" dataDxfId="18"/>
    <tableColumn id="8" xr3:uid="{894BA3B1-549F-43F2-8FE1-DF0086E82AF9}" name="Sub Directory" dataDxfId="17"/>
    <tableColumn id="4" xr3:uid="{8F215FF8-C9E2-48D4-A758-29C2D90A1452}" name="Output File" dataDxfId="16"/>
    <tableColumn id="5" xr3:uid="{E6E1136B-1339-4A60-8A44-7002445EDA16}" name="Action" dataDxfId="15"/>
    <tableColumn id="6" xr3:uid="{DE969B8C-BA8D-4C48-8F4A-5DEAF798F5AC}" name="Status" dataDxfId="14"/>
    <tableColumn id="7" xr3:uid="{06AA808B-407D-4429-918B-668864C84430}" name="Message" dataDxfId="13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Violet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784F6-7B4E-4925-A1B3-4172E3A65B9B}">
  <sheetPr codeName="controls">
    <tabColor theme="6" tint="-0.249977111117893"/>
  </sheetPr>
  <dimension ref="A1:BZ1000"/>
  <sheetViews>
    <sheetView showGridLines="0" tabSelected="1" zoomScaleNormal="100" workbookViewId="0">
      <selection activeCell="Y16" sqref="Y16"/>
    </sheetView>
  </sheetViews>
  <sheetFormatPr defaultRowHeight="15" x14ac:dyDescent="0.25"/>
  <cols>
    <col min="1" max="1" width="5" customWidth="1"/>
    <col min="2" max="2" width="13.28515625" style="31" customWidth="1"/>
    <col min="3" max="4" width="3.7109375" customWidth="1"/>
    <col min="5" max="5" width="19.7109375" customWidth="1"/>
    <col min="14" max="14" width="6.140625" customWidth="1"/>
    <col min="15" max="15" width="3.7109375" customWidth="1"/>
    <col min="16" max="16" width="18.5703125" bestFit="1" customWidth="1"/>
    <col min="17" max="17" width="3.28515625" customWidth="1"/>
    <col min="21" max="23" width="3.7109375" customWidth="1"/>
    <col min="25" max="25" width="9.140625" bestFit="1" customWidth="1"/>
    <col min="26" max="26" width="3.7109375" customWidth="1"/>
    <col min="27" max="27" width="10.140625" bestFit="1" customWidth="1"/>
    <col min="28" max="28" width="4.85546875" customWidth="1"/>
    <col min="29" max="29" width="3.7109375" customWidth="1"/>
  </cols>
  <sheetData>
    <row r="1" spans="1:78" x14ac:dyDescent="0.25">
      <c r="A1" s="13"/>
      <c r="B1" s="14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</row>
    <row r="2" spans="1:78" x14ac:dyDescent="0.25">
      <c r="A2" s="13"/>
      <c r="B2" s="14"/>
      <c r="C2" s="13"/>
      <c r="D2" s="13"/>
      <c r="E2" s="13"/>
      <c r="F2" s="13"/>
      <c r="G2" s="13"/>
      <c r="H2" s="13"/>
      <c r="I2" s="13"/>
      <c r="J2" s="13"/>
      <c r="K2" s="13"/>
      <c r="L2" s="29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</row>
    <row r="3" spans="1:78" x14ac:dyDescent="0.25">
      <c r="A3" s="13"/>
      <c r="B3" s="14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</row>
    <row r="4" spans="1:78" ht="15.75" thickBot="1" x14ac:dyDescent="0.3">
      <c r="A4" s="30"/>
      <c r="B4" s="30"/>
      <c r="D4" s="9" t="s">
        <v>64</v>
      </c>
      <c r="W4" s="9" t="s">
        <v>63</v>
      </c>
    </row>
    <row r="5" spans="1:78" x14ac:dyDescent="0.25">
      <c r="A5" s="71" t="str">
        <f>HYPERLINK("#'Controls'!d4", "Controls")</f>
        <v>Controls</v>
      </c>
      <c r="B5" s="71"/>
      <c r="D5" s="3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8"/>
      <c r="W5" s="3"/>
      <c r="X5" s="7"/>
      <c r="Y5" s="7"/>
      <c r="Z5" s="7"/>
      <c r="AA5" s="7"/>
      <c r="AB5" s="7"/>
      <c r="AC5" s="8"/>
    </row>
    <row r="6" spans="1:78" x14ac:dyDescent="0.25">
      <c r="A6" s="54"/>
      <c r="B6" s="34"/>
      <c r="D6" s="4"/>
      <c r="E6" s="57" t="s">
        <v>32</v>
      </c>
      <c r="F6" s="60" t="s">
        <v>1415</v>
      </c>
      <c r="G6" s="61"/>
      <c r="H6" s="61"/>
      <c r="I6" s="61"/>
      <c r="J6" s="61"/>
      <c r="K6" s="61"/>
      <c r="L6" s="62"/>
      <c r="S6" s="9" t="s">
        <v>35</v>
      </c>
      <c r="U6" s="5"/>
      <c r="W6" s="4"/>
      <c r="X6" s="9" t="s">
        <v>43</v>
      </c>
      <c r="Y6" s="9"/>
      <c r="Z6" s="9"/>
      <c r="AA6" s="9" t="s">
        <v>46</v>
      </c>
      <c r="AC6" s="5"/>
    </row>
    <row r="7" spans="1:78" x14ac:dyDescent="0.25">
      <c r="A7" s="71" t="str">
        <f>HYPERLINK("#'Line List'!d4", "Line List")</f>
        <v>Line List</v>
      </c>
      <c r="B7" s="71"/>
      <c r="D7" s="4"/>
      <c r="E7" s="58"/>
      <c r="F7" s="63"/>
      <c r="G7" s="64"/>
      <c r="H7" s="64"/>
      <c r="I7" s="64"/>
      <c r="J7" s="64"/>
      <c r="K7" s="64"/>
      <c r="L7" s="65"/>
      <c r="P7" s="9" t="s">
        <v>34</v>
      </c>
      <c r="S7" s="69" t="s">
        <v>1414</v>
      </c>
      <c r="T7" s="70"/>
      <c r="U7" s="5"/>
      <c r="W7" s="4"/>
      <c r="X7" s="25" t="s">
        <v>47</v>
      </c>
      <c r="Y7" s="24">
        <f>COUNTA(_xlfn.UNIQUE(Image_Data[Item Key]))</f>
        <v>1</v>
      </c>
      <c r="AA7" s="28" t="s">
        <v>47</v>
      </c>
      <c r="AB7" s="27">
        <f>COUNTA(Line_List[Item Key])</f>
        <v>0</v>
      </c>
      <c r="AC7" s="5"/>
    </row>
    <row r="8" spans="1:78" x14ac:dyDescent="0.25">
      <c r="A8" s="54"/>
      <c r="B8" s="34"/>
      <c r="D8" s="4"/>
      <c r="E8" s="59"/>
      <c r="F8" s="66"/>
      <c r="G8" s="67"/>
      <c r="H8" s="67"/>
      <c r="I8" s="67"/>
      <c r="J8" s="67"/>
      <c r="K8" s="67"/>
      <c r="L8" s="68"/>
      <c r="P8" s="16" t="s">
        <v>1</v>
      </c>
      <c r="Q8" s="45" t="b">
        <v>1</v>
      </c>
      <c r="U8" s="5"/>
      <c r="W8" s="4"/>
      <c r="X8" s="25" t="s">
        <v>48</v>
      </c>
      <c r="Y8" s="24">
        <f>COUNTA(Image_Data[Name])</f>
        <v>0</v>
      </c>
      <c r="AA8" s="28" t="s">
        <v>25</v>
      </c>
      <c r="AB8" s="27">
        <f>COUNTIFS(Line_List[Item Status], "NEW")</f>
        <v>0</v>
      </c>
      <c r="AC8" s="5"/>
    </row>
    <row r="9" spans="1:78" x14ac:dyDescent="0.25">
      <c r="A9" s="71" t="str">
        <f>HYPERLINK("#'Image Data'!D4", "Img Data")</f>
        <v>Img Data</v>
      </c>
      <c r="B9" s="71"/>
      <c r="D9" s="4"/>
      <c r="P9" s="17" t="s">
        <v>2</v>
      </c>
      <c r="Q9" s="46" t="b">
        <v>1</v>
      </c>
      <c r="U9" s="5"/>
      <c r="W9" s="4"/>
      <c r="X9" s="25" t="s">
        <v>44</v>
      </c>
      <c r="Y9" s="24">
        <f>SUM(Image_Data[Size (KB)])</f>
        <v>0</v>
      </c>
      <c r="AA9" s="28" t="s">
        <v>39</v>
      </c>
      <c r="AB9" s="27">
        <f>COUNTIFS(Line_List[Item Status], "C/O")</f>
        <v>0</v>
      </c>
      <c r="AC9" s="5"/>
    </row>
    <row r="10" spans="1:78" x14ac:dyDescent="0.25">
      <c r="A10" s="54"/>
      <c r="B10" s="34"/>
      <c r="D10" s="4"/>
      <c r="E10" s="57" t="s">
        <v>30</v>
      </c>
      <c r="F10" s="60" t="s">
        <v>1415</v>
      </c>
      <c r="G10" s="61"/>
      <c r="H10" s="61"/>
      <c r="I10" s="61"/>
      <c r="J10" s="61"/>
      <c r="K10" s="61"/>
      <c r="L10" s="62"/>
      <c r="O10" s="15">
        <v>1</v>
      </c>
      <c r="P10" s="20" t="str" cm="1">
        <f t="array" ref="P10:P16">TRANSPOSE('Renaming Data'!$U$4:$AA$4)</f>
        <v/>
      </c>
      <c r="Q10" s="47" t="b">
        <v>1</v>
      </c>
      <c r="U10" s="5"/>
      <c r="W10" s="4"/>
      <c r="X10" s="25" t="s">
        <v>45</v>
      </c>
      <c r="Y10" s="24">
        <f>$Y$9 / 1024</f>
        <v>0</v>
      </c>
      <c r="AA10" s="28" t="s">
        <v>38</v>
      </c>
      <c r="AB10" s="27">
        <f>COUNTIFS(Line_List[Item Status], "C/O NC")</f>
        <v>0</v>
      </c>
      <c r="AC10" s="5"/>
    </row>
    <row r="11" spans="1:78" x14ac:dyDescent="0.25">
      <c r="A11" s="71" t="str">
        <f>HYPERLINK("#'Image Syle Not in Line List'!D4", "Img Style!=")</f>
        <v>Img Style!=</v>
      </c>
      <c r="B11" s="71"/>
      <c r="D11" s="4"/>
      <c r="E11" s="58"/>
      <c r="F11" s="63"/>
      <c r="G11" s="64"/>
      <c r="H11" s="64"/>
      <c r="I11" s="64"/>
      <c r="J11" s="64"/>
      <c r="K11" s="64"/>
      <c r="L11" s="65"/>
      <c r="O11" s="15">
        <v>2</v>
      </c>
      <c r="P11" s="18" t="str">
        <v/>
      </c>
      <c r="Q11" s="48" t="b">
        <v>1</v>
      </c>
      <c r="U11" s="5"/>
      <c r="W11" s="4"/>
      <c r="AC11" s="5"/>
    </row>
    <row r="12" spans="1:78" x14ac:dyDescent="0.25">
      <c r="A12" s="54"/>
      <c r="B12" s="34"/>
      <c r="D12" s="4"/>
      <c r="E12" s="59"/>
      <c r="F12" s="66"/>
      <c r="G12" s="67"/>
      <c r="H12" s="67"/>
      <c r="I12" s="67"/>
      <c r="J12" s="67"/>
      <c r="K12" s="67"/>
      <c r="L12" s="68"/>
      <c r="O12" s="15">
        <v>3</v>
      </c>
      <c r="P12" s="18" t="str">
        <v/>
      </c>
      <c r="Q12" s="48" t="b">
        <v>1</v>
      </c>
      <c r="U12" s="5"/>
      <c r="W12" s="4"/>
      <c r="X12" s="9" t="s">
        <v>62</v>
      </c>
      <c r="Y12" s="9"/>
      <c r="Z12" s="9"/>
      <c r="AA12" s="9" t="s">
        <v>61</v>
      </c>
      <c r="AB12" s="9"/>
      <c r="AC12" s="5"/>
    </row>
    <row r="13" spans="1:78" x14ac:dyDescent="0.25">
      <c r="A13" s="71" t="str">
        <f>HYPERLINK("#'Images Not in Line List'!D4", "Img != List")</f>
        <v>Img != List</v>
      </c>
      <c r="B13" s="71"/>
      <c r="D13" s="4"/>
      <c r="O13" s="15">
        <v>4</v>
      </c>
      <c r="P13" s="18" t="str">
        <v/>
      </c>
      <c r="Q13" s="48" t="b">
        <v>1</v>
      </c>
      <c r="U13" s="5"/>
      <c r="W13" s="4"/>
      <c r="X13" s="25" t="s">
        <v>57</v>
      </c>
      <c r="Y13" s="26" cm="1">
        <f t="array" ref="Y13" xml:space="preserve"> _xlfn.LET(
    _xlpm.Customers, COUNTA(Renaming_Data[Name]),
    _xlpm.D2C, COUNTIFS(
        Renaming_Data[D2C Code], "&lt;&gt;" &amp; "D2C Codes &gt; 1",
        Renaming_Data[D2C Code], "&lt;&gt;" &amp; "No D2C Code"
    ),
    _xlpm.Size_1, COUNTA(_xlfn._xlws.FILTER(Renaming_Data[Size 1 Code], Renaming_Data[Size 1 Code] &lt;&gt; "")),
    _xlpm.Size_2, COUNTA(_xlfn._xlws.FILTER(Renaming_Data[Size 2 Code], Renaming_Data[Size 2 Code] &lt;&gt; "")),
    _xlpm.Size_3, COUNTA(_xlfn._xlws.FILTER(Renaming_Data[Size 3 Code], Renaming_Data[Size 3 Code] &lt;&gt; "")),
    _xlpm.Size_4, COUNTA(_xlfn._xlws.FILTER(Renaming_Data[Size 4 Code], Renaming_Data[Size 4 Code] &lt;&gt; "")),
    _xlpm.Size_5, COUNTA(_xlfn._xlws.FILTER(Renaming_Data[Size 5 Code], Renaming_Data[Size 5 Code] &lt;&gt; "")),
    _xlpm.Size_6, COUNTA(_xlfn._xlws.FILTER(Renaming_Data[Size 6 Code], Renaming_Data[Size 6 Code] &lt;&gt; "")),
    _xlpm.Size_7, COUNTA(_xlfn._xlws.FILTER(Renaming_Data[Size 7 Code], Renaming_Data[Size 7 Code] &lt;&gt; "")),
    SUM(
        IF(Customers_Check = TRUE, _xlpm.Customers, 0),
        IF(D2C_Check = TRUE, _xlpm.D2C, 0),
        IF(Size_1_Check = TRUE, _xlpm.Size_1, 0),
        IF(Size_2_Check = TRUE, _xlpm.Size_2, 0),
        IF(Size_3_Check = TRUE, _xlpm.Size_3, 0),
        IF(Size_4_Check = TRUE, _xlpm.Size_4, 0),
        IF(Size_5_Check = TRUE, _xlpm.Size_5, 0),
        IF(Size_6_Check = TRUE, _xlpm.Size_6, 0),
        IF(Size_7_Check = TRUE, _xlpm.Size_7, 0)
    )
)</f>
        <v>8</v>
      </c>
      <c r="AA13" s="28" t="s">
        <v>60</v>
      </c>
      <c r="AB13" s="27" cm="1">
        <f t="array" ref="AB13" xml:space="preserve"> COUNTA(_xlfn._xlws.FILTER(Image_Data[Name], ISNA(_xlfn.XMATCH(Image_Data[Item Key], Line_List[Item Key], 0))))</f>
        <v>1</v>
      </c>
      <c r="AC13" s="5"/>
    </row>
    <row r="14" spans="1:78" x14ac:dyDescent="0.25">
      <c r="A14" s="54"/>
      <c r="B14" s="34"/>
      <c r="D14" s="4"/>
      <c r="E14" s="57" t="s">
        <v>31</v>
      </c>
      <c r="F14" s="60" t="s">
        <v>137</v>
      </c>
      <c r="G14" s="61"/>
      <c r="H14" s="61"/>
      <c r="I14" s="61"/>
      <c r="J14" s="61"/>
      <c r="K14" s="61"/>
      <c r="L14" s="62"/>
      <c r="O14" s="15">
        <v>5</v>
      </c>
      <c r="P14" s="18" t="str">
        <v/>
      </c>
      <c r="Q14" s="48" t="b">
        <v>1</v>
      </c>
      <c r="U14" s="5"/>
      <c r="W14" s="4"/>
      <c r="X14" s="25" t="s">
        <v>58</v>
      </c>
      <c r="Y14" s="26">
        <f>COUNTIFS($Q$8:$Q$16, TRUE)</f>
        <v>9</v>
      </c>
      <c r="AA14" s="28" t="s">
        <v>59</v>
      </c>
      <c r="AB14" s="27" cm="1">
        <f t="array" ref="AB14">COUNTA(_xlfn._xlws.FILTER(Line_List[Item Key], ISNA(_xlfn.XMATCH(Line_List[Item Key], Image_Data[Item Key], 0))))</f>
        <v>1</v>
      </c>
      <c r="AC14" s="5"/>
    </row>
    <row r="15" spans="1:78" x14ac:dyDescent="0.25">
      <c r="A15" s="71" t="str">
        <f>HYPERLINK("#'Line List Not in Images'!D4", "List != Img")</f>
        <v>List != Img</v>
      </c>
      <c r="B15" s="71"/>
      <c r="D15" s="4"/>
      <c r="E15" s="58"/>
      <c r="F15" s="63"/>
      <c r="G15" s="64"/>
      <c r="H15" s="64"/>
      <c r="I15" s="64"/>
      <c r="J15" s="64"/>
      <c r="K15" s="64"/>
      <c r="L15" s="65"/>
      <c r="O15" s="15">
        <v>6</v>
      </c>
      <c r="P15" s="18" t="str">
        <v/>
      </c>
      <c r="Q15" s="48" t="b">
        <v>1</v>
      </c>
      <c r="U15" s="5"/>
      <c r="W15" s="4"/>
      <c r="X15" s="25" t="s">
        <v>44</v>
      </c>
      <c r="Y15" s="27" cm="1">
        <f t="array" ref="Y15" xml:space="preserve"> _xlfn.LET(
    _xlpm.Customers, SUM(Renaming_Data[Size (KB)]),
    _xlpm.D2C, SUMIFS(Renaming_Data[Size (KB)],
        Renaming_Data[D2C Code], "&lt;&gt;" &amp; "D2C Codes &gt; 1",
        Renaming_Data[D2C Code], "&lt;&gt;" &amp; "No D2C Code"
    ),
    _xlpm.Size_1, SUM(_xlfn._xlws.FILTER(Renaming_Data[Size (KB)], Renaming_Data[Size 1 Code] &lt;&gt; "")),
    _xlpm.Size_2, SUM(_xlfn._xlws.FILTER(Renaming_Data[Size (KB)], Renaming_Data[Size 2 Code] &lt;&gt; "")),
    _xlpm.Size_3, SUM(_xlfn._xlws.FILTER(Renaming_Data[Size (KB)], Renaming_Data[Size 3 Code] &lt;&gt; "")),
    _xlpm.Size_4, SUM(_xlfn._xlws.FILTER(Renaming_Data[Size (KB)], Renaming_Data[Size 4 Code] &lt;&gt; "")),
    _xlpm.Size_5, SUM(_xlfn._xlws.FILTER(Renaming_Data[Size (KB)], Renaming_Data[Size 5 Code] &lt;&gt; "")),
    _xlpm.Size_6, SUM(_xlfn._xlws.FILTER(Renaming_Data[Size (KB)], Renaming_Data[Size 6 Code] &lt;&gt; "")),
    _xlpm.Size_7, SUM(_xlfn._xlws.FILTER(Renaming_Data[Size (KB)], Renaming_Data[Size 7 Code] &lt;&gt; "")),
    SUM(
        IF(Customers_Check = TRUE, _xlpm.Customers, 0),
        IF(D2C_Check = TRUE, _xlpm.D2C, 0),
        IF(Size_1_Check = TRUE, _xlpm.Size_1, 0),
        IF(Size_2_Check = TRUE, _xlpm.Size_2, 0),
        IF(Size_3_Check = TRUE, _xlpm.Size_3, 0),
        IF(Size_4_Check = TRUE, _xlpm.Size_4, 0),
        IF(Size_5_Check = TRUE, _xlpm.Size_5, 0),
        IF(Size_6_Check = TRUE, _xlpm.Size_6, 0),
        IF(Size_7_Check = TRUE, _xlpm.Size_7, 0)
    ))</f>
        <v>3293.5546875</v>
      </c>
      <c r="AC15" s="5"/>
    </row>
    <row r="16" spans="1:78" x14ac:dyDescent="0.25">
      <c r="A16" s="54"/>
      <c r="B16" s="34"/>
      <c r="D16" s="4"/>
      <c r="E16" s="59"/>
      <c r="F16" s="66"/>
      <c r="G16" s="67"/>
      <c r="H16" s="67"/>
      <c r="I16" s="67"/>
      <c r="J16" s="67"/>
      <c r="K16" s="67"/>
      <c r="L16" s="68"/>
      <c r="O16" s="15">
        <v>7</v>
      </c>
      <c r="P16" s="19" t="str">
        <v/>
      </c>
      <c r="Q16" s="49" t="b">
        <v>1</v>
      </c>
      <c r="U16" s="5"/>
      <c r="W16" s="4"/>
      <c r="X16" s="25" t="s">
        <v>45</v>
      </c>
      <c r="Y16" s="27">
        <f>$Y$15 / 1024</f>
        <v>3.2163619995117188</v>
      </c>
      <c r="AC16" s="5"/>
    </row>
    <row r="17" spans="1:29" ht="15.75" thickBot="1" x14ac:dyDescent="0.3">
      <c r="A17" s="71" t="str">
        <f>HYPERLINK("#'Renaming Data'!D4", "Renaming")</f>
        <v>Renaming</v>
      </c>
      <c r="B17" s="71"/>
      <c r="D17" s="6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1"/>
      <c r="W17" s="6"/>
      <c r="X17" s="10"/>
      <c r="Y17" s="10"/>
      <c r="Z17" s="10"/>
      <c r="AA17" s="10"/>
      <c r="AB17" s="10"/>
      <c r="AC17" s="11"/>
    </row>
    <row r="18" spans="1:29" x14ac:dyDescent="0.25">
      <c r="A18" s="54"/>
      <c r="B18" s="34"/>
    </row>
    <row r="19" spans="1:29" ht="15.75" thickBot="1" x14ac:dyDescent="0.3">
      <c r="A19" s="71" t="str">
        <f>HYPERLINK("#'Execution Log'!D4", "Exec Log")</f>
        <v>Exec Log</v>
      </c>
      <c r="B19" s="71"/>
      <c r="D19" s="9" t="s">
        <v>65</v>
      </c>
    </row>
    <row r="20" spans="1:29" x14ac:dyDescent="0.25">
      <c r="A20" s="13"/>
      <c r="B20" s="14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8"/>
    </row>
    <row r="21" spans="1:29" x14ac:dyDescent="0.25">
      <c r="A21" s="13"/>
      <c r="B21" s="14"/>
      <c r="D21" s="39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1"/>
    </row>
    <row r="22" spans="1:29" x14ac:dyDescent="0.25">
      <c r="A22" s="13"/>
      <c r="B22" s="14"/>
      <c r="D22" s="39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1"/>
    </row>
    <row r="23" spans="1:29" x14ac:dyDescent="0.25">
      <c r="A23" s="13"/>
      <c r="B23" s="14"/>
      <c r="D23" s="39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1"/>
    </row>
    <row r="24" spans="1:29" x14ac:dyDescent="0.25">
      <c r="A24" s="13"/>
      <c r="B24" s="14"/>
      <c r="D24" s="39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1"/>
    </row>
    <row r="25" spans="1:29" x14ac:dyDescent="0.25">
      <c r="A25" s="13"/>
      <c r="B25" s="14"/>
      <c r="D25" s="39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1"/>
    </row>
    <row r="26" spans="1:29" x14ac:dyDescent="0.25">
      <c r="A26" s="13"/>
      <c r="B26" s="14"/>
      <c r="D26" s="39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1"/>
    </row>
    <row r="27" spans="1:29" x14ac:dyDescent="0.25">
      <c r="A27" s="13"/>
      <c r="B27" s="14"/>
      <c r="D27" s="39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1"/>
    </row>
    <row r="28" spans="1:29" x14ac:dyDescent="0.25">
      <c r="A28" s="13"/>
      <c r="B28" s="14"/>
      <c r="D28" s="39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1"/>
    </row>
    <row r="29" spans="1:29" x14ac:dyDescent="0.25">
      <c r="A29" s="13"/>
      <c r="B29" s="14"/>
      <c r="D29" s="39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1"/>
    </row>
    <row r="30" spans="1:29" x14ac:dyDescent="0.25">
      <c r="A30" s="13"/>
      <c r="B30" s="14"/>
      <c r="D30" s="39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1"/>
    </row>
    <row r="31" spans="1:29" x14ac:dyDescent="0.25">
      <c r="A31" s="13"/>
      <c r="B31" s="14"/>
      <c r="D31" s="39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1"/>
    </row>
    <row r="32" spans="1:29" x14ac:dyDescent="0.25">
      <c r="A32" s="13"/>
      <c r="B32" s="14"/>
      <c r="D32" s="39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1"/>
    </row>
    <row r="33" spans="1:21" x14ac:dyDescent="0.25">
      <c r="A33" s="13"/>
      <c r="B33" s="14"/>
      <c r="D33" s="39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1"/>
    </row>
    <row r="34" spans="1:21" x14ac:dyDescent="0.25">
      <c r="A34" s="13"/>
      <c r="B34" s="14"/>
      <c r="D34" s="39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1"/>
    </row>
    <row r="35" spans="1:21" x14ac:dyDescent="0.25">
      <c r="A35" s="13"/>
      <c r="B35" s="14"/>
      <c r="D35" s="39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1"/>
    </row>
    <row r="36" spans="1:21" x14ac:dyDescent="0.25">
      <c r="A36" s="13"/>
      <c r="B36" s="14"/>
      <c r="D36" s="39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1"/>
    </row>
    <row r="37" spans="1:21" x14ac:dyDescent="0.25">
      <c r="A37" s="13"/>
      <c r="B37" s="14"/>
      <c r="D37" s="39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1"/>
    </row>
    <row r="38" spans="1:21" x14ac:dyDescent="0.25">
      <c r="A38" s="13"/>
      <c r="B38" s="14"/>
      <c r="D38" s="39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1"/>
    </row>
    <row r="39" spans="1:21" ht="15.75" thickBot="1" x14ac:dyDescent="0.3">
      <c r="A39" s="13"/>
      <c r="B39" s="14"/>
      <c r="D39" s="42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4"/>
    </row>
    <row r="40" spans="1:21" x14ac:dyDescent="0.25">
      <c r="A40" s="13"/>
      <c r="B40" s="14"/>
    </row>
    <row r="41" spans="1:21" x14ac:dyDescent="0.25">
      <c r="A41" s="13"/>
      <c r="B41" s="14"/>
    </row>
    <row r="42" spans="1:21" x14ac:dyDescent="0.25">
      <c r="A42" s="13"/>
      <c r="B42" s="14"/>
    </row>
    <row r="43" spans="1:21" x14ac:dyDescent="0.25">
      <c r="A43" s="13"/>
      <c r="B43" s="14"/>
    </row>
    <row r="44" spans="1:21" x14ac:dyDescent="0.25">
      <c r="A44" s="13"/>
      <c r="B44" s="14"/>
    </row>
    <row r="45" spans="1:21" x14ac:dyDescent="0.25">
      <c r="A45" s="13"/>
      <c r="B45" s="14"/>
    </row>
    <row r="46" spans="1:21" x14ac:dyDescent="0.25">
      <c r="A46" s="13"/>
      <c r="B46" s="14"/>
    </row>
    <row r="47" spans="1:21" x14ac:dyDescent="0.25">
      <c r="A47" s="13"/>
      <c r="B47" s="14"/>
    </row>
    <row r="48" spans="1:21" x14ac:dyDescent="0.25">
      <c r="A48" s="13"/>
      <c r="B48" s="14"/>
    </row>
    <row r="49" spans="1:2" x14ac:dyDescent="0.25">
      <c r="A49" s="13"/>
      <c r="B49" s="14"/>
    </row>
    <row r="50" spans="1:2" x14ac:dyDescent="0.25">
      <c r="A50" s="13"/>
      <c r="B50" s="14"/>
    </row>
    <row r="51" spans="1:2" x14ac:dyDescent="0.25">
      <c r="A51" s="13"/>
      <c r="B51" s="14"/>
    </row>
    <row r="52" spans="1:2" x14ac:dyDescent="0.25">
      <c r="A52" s="13"/>
      <c r="B52" s="14"/>
    </row>
    <row r="53" spans="1:2" x14ac:dyDescent="0.25">
      <c r="A53" s="13"/>
      <c r="B53" s="14"/>
    </row>
    <row r="54" spans="1:2" x14ac:dyDescent="0.25">
      <c r="A54" s="13"/>
      <c r="B54" s="14"/>
    </row>
    <row r="55" spans="1:2" x14ac:dyDescent="0.25">
      <c r="A55" s="13"/>
      <c r="B55" s="14"/>
    </row>
    <row r="56" spans="1:2" x14ac:dyDescent="0.25">
      <c r="A56" s="13"/>
      <c r="B56" s="14"/>
    </row>
    <row r="57" spans="1:2" x14ac:dyDescent="0.25">
      <c r="A57" s="13"/>
      <c r="B57" s="14"/>
    </row>
    <row r="58" spans="1:2" x14ac:dyDescent="0.25">
      <c r="A58" s="13"/>
      <c r="B58" s="14"/>
    </row>
    <row r="59" spans="1:2" x14ac:dyDescent="0.25">
      <c r="A59" s="13"/>
      <c r="B59" s="14"/>
    </row>
    <row r="60" spans="1:2" x14ac:dyDescent="0.25">
      <c r="A60" s="13"/>
      <c r="B60" s="14"/>
    </row>
    <row r="61" spans="1:2" x14ac:dyDescent="0.25">
      <c r="A61" s="13"/>
      <c r="B61" s="14"/>
    </row>
    <row r="62" spans="1:2" x14ac:dyDescent="0.25">
      <c r="A62" s="13"/>
      <c r="B62" s="14"/>
    </row>
    <row r="63" spans="1:2" x14ac:dyDescent="0.25">
      <c r="A63" s="13"/>
      <c r="B63" s="14"/>
    </row>
    <row r="64" spans="1:2" x14ac:dyDescent="0.25">
      <c r="A64" s="13"/>
      <c r="B64" s="14"/>
    </row>
    <row r="65" spans="1:2" x14ac:dyDescent="0.25">
      <c r="A65" s="13"/>
      <c r="B65" s="14"/>
    </row>
    <row r="66" spans="1:2" x14ac:dyDescent="0.25">
      <c r="A66" s="13"/>
      <c r="B66" s="14"/>
    </row>
    <row r="67" spans="1:2" x14ac:dyDescent="0.25">
      <c r="A67" s="13"/>
      <c r="B67" s="14"/>
    </row>
    <row r="68" spans="1:2" x14ac:dyDescent="0.25">
      <c r="A68" s="13"/>
      <c r="B68" s="14"/>
    </row>
    <row r="69" spans="1:2" x14ac:dyDescent="0.25">
      <c r="A69" s="13"/>
      <c r="B69" s="14"/>
    </row>
    <row r="70" spans="1:2" x14ac:dyDescent="0.25">
      <c r="A70" s="13"/>
      <c r="B70" s="14"/>
    </row>
    <row r="71" spans="1:2" x14ac:dyDescent="0.25">
      <c r="A71" s="13"/>
      <c r="B71" s="14"/>
    </row>
    <row r="72" spans="1:2" x14ac:dyDescent="0.25">
      <c r="A72" s="13"/>
      <c r="B72" s="14"/>
    </row>
    <row r="73" spans="1:2" x14ac:dyDescent="0.25">
      <c r="A73" s="13"/>
      <c r="B73" s="14"/>
    </row>
    <row r="74" spans="1:2" x14ac:dyDescent="0.25">
      <c r="A74" s="13"/>
      <c r="B74" s="14"/>
    </row>
    <row r="75" spans="1:2" x14ac:dyDescent="0.25">
      <c r="A75" s="13"/>
      <c r="B75" s="14"/>
    </row>
    <row r="76" spans="1:2" x14ac:dyDescent="0.25">
      <c r="A76" s="13"/>
      <c r="B76" s="14"/>
    </row>
    <row r="77" spans="1:2" x14ac:dyDescent="0.25">
      <c r="A77" s="13"/>
      <c r="B77" s="14"/>
    </row>
    <row r="78" spans="1:2" x14ac:dyDescent="0.25">
      <c r="A78" s="13"/>
      <c r="B78" s="14"/>
    </row>
    <row r="79" spans="1:2" x14ac:dyDescent="0.25">
      <c r="A79" s="13"/>
      <c r="B79" s="14"/>
    </row>
    <row r="80" spans="1:2" x14ac:dyDescent="0.25">
      <c r="A80" s="13"/>
      <c r="B80" s="14"/>
    </row>
    <row r="81" spans="1:2" x14ac:dyDescent="0.25">
      <c r="A81" s="13"/>
      <c r="B81" s="14"/>
    </row>
    <row r="82" spans="1:2" x14ac:dyDescent="0.25">
      <c r="A82" s="13"/>
      <c r="B82" s="14"/>
    </row>
    <row r="83" spans="1:2" x14ac:dyDescent="0.25">
      <c r="A83" s="13"/>
      <c r="B83" s="14"/>
    </row>
    <row r="84" spans="1:2" x14ac:dyDescent="0.25">
      <c r="A84" s="13"/>
      <c r="B84" s="14"/>
    </row>
    <row r="85" spans="1:2" x14ac:dyDescent="0.25">
      <c r="A85" s="13"/>
      <c r="B85" s="14"/>
    </row>
    <row r="86" spans="1:2" x14ac:dyDescent="0.25">
      <c r="A86" s="13"/>
      <c r="B86" s="14"/>
    </row>
    <row r="87" spans="1:2" x14ac:dyDescent="0.25">
      <c r="A87" s="13"/>
      <c r="B87" s="14"/>
    </row>
    <row r="88" spans="1:2" x14ac:dyDescent="0.25">
      <c r="A88" s="13"/>
      <c r="B88" s="14"/>
    </row>
    <row r="89" spans="1:2" x14ac:dyDescent="0.25">
      <c r="A89" s="13"/>
      <c r="B89" s="14"/>
    </row>
    <row r="90" spans="1:2" x14ac:dyDescent="0.25">
      <c r="A90" s="13"/>
      <c r="B90" s="14"/>
    </row>
    <row r="91" spans="1:2" x14ac:dyDescent="0.25">
      <c r="A91" s="13"/>
      <c r="B91" s="14"/>
    </row>
    <row r="92" spans="1:2" x14ac:dyDescent="0.25">
      <c r="A92" s="13"/>
      <c r="B92" s="14"/>
    </row>
    <row r="93" spans="1:2" x14ac:dyDescent="0.25">
      <c r="A93" s="13"/>
      <c r="B93" s="14"/>
    </row>
    <row r="94" spans="1:2" x14ac:dyDescent="0.25">
      <c r="A94" s="13"/>
      <c r="B94" s="14"/>
    </row>
    <row r="95" spans="1:2" x14ac:dyDescent="0.25">
      <c r="A95" s="13"/>
      <c r="B95" s="14"/>
    </row>
    <row r="96" spans="1:2" x14ac:dyDescent="0.25">
      <c r="A96" s="13"/>
      <c r="B96" s="14"/>
    </row>
    <row r="97" spans="1:2" x14ac:dyDescent="0.25">
      <c r="A97" s="13"/>
      <c r="B97" s="14"/>
    </row>
    <row r="98" spans="1:2" x14ac:dyDescent="0.25">
      <c r="A98" s="13"/>
      <c r="B98" s="14"/>
    </row>
    <row r="99" spans="1:2" x14ac:dyDescent="0.25">
      <c r="A99" s="13"/>
      <c r="B99" s="14"/>
    </row>
    <row r="100" spans="1:2" x14ac:dyDescent="0.25">
      <c r="A100" s="13"/>
      <c r="B100" s="14"/>
    </row>
    <row r="101" spans="1:2" x14ac:dyDescent="0.25">
      <c r="A101" s="13"/>
      <c r="B101" s="14"/>
    </row>
    <row r="102" spans="1:2" x14ac:dyDescent="0.25">
      <c r="A102" s="13"/>
      <c r="B102" s="14"/>
    </row>
    <row r="103" spans="1:2" x14ac:dyDescent="0.25">
      <c r="A103" s="13"/>
      <c r="B103" s="14"/>
    </row>
    <row r="104" spans="1:2" x14ac:dyDescent="0.25">
      <c r="A104" s="13"/>
      <c r="B104" s="14"/>
    </row>
    <row r="105" spans="1:2" x14ac:dyDescent="0.25">
      <c r="A105" s="13"/>
      <c r="B105" s="14"/>
    </row>
    <row r="106" spans="1:2" x14ac:dyDescent="0.25">
      <c r="A106" s="13"/>
      <c r="B106" s="14"/>
    </row>
    <row r="107" spans="1:2" x14ac:dyDescent="0.25">
      <c r="A107" s="13"/>
      <c r="B107" s="14"/>
    </row>
    <row r="108" spans="1:2" x14ac:dyDescent="0.25">
      <c r="A108" s="13"/>
      <c r="B108" s="14"/>
    </row>
    <row r="109" spans="1:2" x14ac:dyDescent="0.25">
      <c r="A109" s="13"/>
      <c r="B109" s="14"/>
    </row>
    <row r="110" spans="1:2" x14ac:dyDescent="0.25">
      <c r="A110" s="13"/>
      <c r="B110" s="14"/>
    </row>
    <row r="111" spans="1:2" x14ac:dyDescent="0.25">
      <c r="A111" s="13"/>
      <c r="B111" s="14"/>
    </row>
    <row r="112" spans="1:2" x14ac:dyDescent="0.25">
      <c r="A112" s="13"/>
      <c r="B112" s="14"/>
    </row>
    <row r="113" spans="1:2" x14ac:dyDescent="0.25">
      <c r="A113" s="13"/>
      <c r="B113" s="14"/>
    </row>
    <row r="114" spans="1:2" x14ac:dyDescent="0.25">
      <c r="A114" s="13"/>
      <c r="B114" s="14"/>
    </row>
    <row r="115" spans="1:2" x14ac:dyDescent="0.25">
      <c r="A115" s="13"/>
      <c r="B115" s="14"/>
    </row>
    <row r="116" spans="1:2" x14ac:dyDescent="0.25">
      <c r="A116" s="13"/>
      <c r="B116" s="14"/>
    </row>
    <row r="117" spans="1:2" x14ac:dyDescent="0.25">
      <c r="A117" s="13"/>
      <c r="B117" s="14"/>
    </row>
    <row r="118" spans="1:2" x14ac:dyDescent="0.25">
      <c r="A118" s="13"/>
      <c r="B118" s="14"/>
    </row>
    <row r="119" spans="1:2" x14ac:dyDescent="0.25">
      <c r="A119" s="13"/>
      <c r="B119" s="14"/>
    </row>
    <row r="120" spans="1:2" x14ac:dyDescent="0.25">
      <c r="A120" s="13"/>
      <c r="B120" s="14"/>
    </row>
    <row r="121" spans="1:2" x14ac:dyDescent="0.25">
      <c r="A121" s="13"/>
      <c r="B121" s="14"/>
    </row>
    <row r="122" spans="1:2" x14ac:dyDescent="0.25">
      <c r="A122" s="13"/>
      <c r="B122" s="14"/>
    </row>
    <row r="123" spans="1:2" x14ac:dyDescent="0.25">
      <c r="A123" s="13"/>
      <c r="B123" s="14"/>
    </row>
    <row r="124" spans="1:2" x14ac:dyDescent="0.25">
      <c r="A124" s="13"/>
      <c r="B124" s="14"/>
    </row>
    <row r="125" spans="1:2" x14ac:dyDescent="0.25">
      <c r="A125" s="13"/>
      <c r="B125" s="14"/>
    </row>
    <row r="126" spans="1:2" x14ac:dyDescent="0.25">
      <c r="A126" s="13"/>
      <c r="B126" s="14"/>
    </row>
    <row r="127" spans="1:2" x14ac:dyDescent="0.25">
      <c r="A127" s="13"/>
      <c r="B127" s="14"/>
    </row>
    <row r="128" spans="1:2" x14ac:dyDescent="0.25">
      <c r="A128" s="13"/>
      <c r="B128" s="14"/>
    </row>
    <row r="129" spans="1:2" x14ac:dyDescent="0.25">
      <c r="A129" s="13"/>
      <c r="B129" s="14"/>
    </row>
    <row r="130" spans="1:2" x14ac:dyDescent="0.25">
      <c r="A130" s="13"/>
      <c r="B130" s="14"/>
    </row>
    <row r="131" spans="1:2" x14ac:dyDescent="0.25">
      <c r="A131" s="13"/>
      <c r="B131" s="14"/>
    </row>
    <row r="132" spans="1:2" x14ac:dyDescent="0.25">
      <c r="A132" s="13"/>
      <c r="B132" s="14"/>
    </row>
    <row r="133" spans="1:2" x14ac:dyDescent="0.25">
      <c r="A133" s="13"/>
      <c r="B133" s="14"/>
    </row>
    <row r="134" spans="1:2" x14ac:dyDescent="0.25">
      <c r="A134" s="13"/>
      <c r="B134" s="14"/>
    </row>
    <row r="135" spans="1:2" x14ac:dyDescent="0.25">
      <c r="A135" s="13"/>
      <c r="B135" s="14"/>
    </row>
    <row r="136" spans="1:2" x14ac:dyDescent="0.25">
      <c r="A136" s="13"/>
      <c r="B136" s="14"/>
    </row>
    <row r="137" spans="1:2" x14ac:dyDescent="0.25">
      <c r="A137" s="13"/>
      <c r="B137" s="14"/>
    </row>
    <row r="138" spans="1:2" x14ac:dyDescent="0.25">
      <c r="A138" s="13"/>
      <c r="B138" s="14"/>
    </row>
    <row r="139" spans="1:2" x14ac:dyDescent="0.25">
      <c r="A139" s="13"/>
      <c r="B139" s="14"/>
    </row>
    <row r="140" spans="1:2" x14ac:dyDescent="0.25">
      <c r="A140" s="13"/>
      <c r="B140" s="14"/>
    </row>
    <row r="141" spans="1:2" x14ac:dyDescent="0.25">
      <c r="A141" s="13"/>
      <c r="B141" s="14"/>
    </row>
    <row r="142" spans="1:2" x14ac:dyDescent="0.25">
      <c r="A142" s="13"/>
      <c r="B142" s="14"/>
    </row>
    <row r="143" spans="1:2" x14ac:dyDescent="0.25">
      <c r="A143" s="13"/>
      <c r="B143" s="14"/>
    </row>
    <row r="144" spans="1:2" x14ac:dyDescent="0.25">
      <c r="A144" s="13"/>
      <c r="B144" s="14"/>
    </row>
    <row r="145" spans="1:2" x14ac:dyDescent="0.25">
      <c r="A145" s="13"/>
      <c r="B145" s="14"/>
    </row>
    <row r="146" spans="1:2" x14ac:dyDescent="0.25">
      <c r="A146" s="13"/>
      <c r="B146" s="14"/>
    </row>
    <row r="147" spans="1:2" x14ac:dyDescent="0.25">
      <c r="A147" s="13"/>
      <c r="B147" s="14"/>
    </row>
    <row r="148" spans="1:2" x14ac:dyDescent="0.25">
      <c r="A148" s="13"/>
      <c r="B148" s="14"/>
    </row>
    <row r="149" spans="1:2" x14ac:dyDescent="0.25">
      <c r="A149" s="13"/>
      <c r="B149" s="14"/>
    </row>
    <row r="150" spans="1:2" x14ac:dyDescent="0.25">
      <c r="A150" s="13"/>
      <c r="B150" s="14"/>
    </row>
    <row r="151" spans="1:2" x14ac:dyDescent="0.25">
      <c r="A151" s="13"/>
      <c r="B151" s="14"/>
    </row>
    <row r="152" spans="1:2" x14ac:dyDescent="0.25">
      <c r="A152" s="13"/>
      <c r="B152" s="14"/>
    </row>
    <row r="153" spans="1:2" x14ac:dyDescent="0.25">
      <c r="A153" s="13"/>
      <c r="B153" s="14"/>
    </row>
    <row r="154" spans="1:2" x14ac:dyDescent="0.25">
      <c r="A154" s="13"/>
      <c r="B154" s="14"/>
    </row>
    <row r="155" spans="1:2" x14ac:dyDescent="0.25">
      <c r="A155" s="13"/>
      <c r="B155" s="14"/>
    </row>
    <row r="156" spans="1:2" x14ac:dyDescent="0.25">
      <c r="A156" s="13"/>
      <c r="B156" s="14"/>
    </row>
    <row r="157" spans="1:2" x14ac:dyDescent="0.25">
      <c r="A157" s="13"/>
      <c r="B157" s="14"/>
    </row>
    <row r="158" spans="1:2" x14ac:dyDescent="0.25">
      <c r="A158" s="13"/>
      <c r="B158" s="14"/>
    </row>
    <row r="159" spans="1:2" x14ac:dyDescent="0.25">
      <c r="A159" s="13"/>
      <c r="B159" s="14"/>
    </row>
    <row r="160" spans="1:2" x14ac:dyDescent="0.25">
      <c r="A160" s="13"/>
      <c r="B160" s="14"/>
    </row>
    <row r="161" spans="1:2" x14ac:dyDescent="0.25">
      <c r="A161" s="13"/>
      <c r="B161" s="14"/>
    </row>
    <row r="162" spans="1:2" x14ac:dyDescent="0.25">
      <c r="A162" s="13"/>
      <c r="B162" s="14"/>
    </row>
    <row r="163" spans="1:2" x14ac:dyDescent="0.25">
      <c r="A163" s="13"/>
      <c r="B163" s="14"/>
    </row>
    <row r="164" spans="1:2" x14ac:dyDescent="0.25">
      <c r="A164" s="13"/>
      <c r="B164" s="14"/>
    </row>
    <row r="165" spans="1:2" x14ac:dyDescent="0.25">
      <c r="A165" s="13"/>
      <c r="B165" s="14"/>
    </row>
    <row r="166" spans="1:2" x14ac:dyDescent="0.25">
      <c r="A166" s="13"/>
      <c r="B166" s="14"/>
    </row>
    <row r="167" spans="1:2" x14ac:dyDescent="0.25">
      <c r="A167" s="13"/>
      <c r="B167" s="14"/>
    </row>
    <row r="168" spans="1:2" x14ac:dyDescent="0.25">
      <c r="A168" s="13"/>
      <c r="B168" s="14"/>
    </row>
    <row r="169" spans="1:2" x14ac:dyDescent="0.25">
      <c r="A169" s="13"/>
      <c r="B169" s="14"/>
    </row>
    <row r="170" spans="1:2" x14ac:dyDescent="0.25">
      <c r="A170" s="13"/>
      <c r="B170" s="14"/>
    </row>
    <row r="171" spans="1:2" x14ac:dyDescent="0.25">
      <c r="A171" s="13"/>
      <c r="B171" s="14"/>
    </row>
    <row r="172" spans="1:2" x14ac:dyDescent="0.25">
      <c r="A172" s="13"/>
      <c r="B172" s="14"/>
    </row>
    <row r="173" spans="1:2" x14ac:dyDescent="0.25">
      <c r="A173" s="13"/>
      <c r="B173" s="14"/>
    </row>
    <row r="174" spans="1:2" x14ac:dyDescent="0.25">
      <c r="A174" s="13"/>
      <c r="B174" s="14"/>
    </row>
    <row r="175" spans="1:2" x14ac:dyDescent="0.25">
      <c r="A175" s="13"/>
      <c r="B175" s="14"/>
    </row>
    <row r="176" spans="1:2" x14ac:dyDescent="0.25">
      <c r="A176" s="13"/>
      <c r="B176" s="14"/>
    </row>
    <row r="177" spans="1:2" x14ac:dyDescent="0.25">
      <c r="A177" s="13"/>
      <c r="B177" s="14"/>
    </row>
    <row r="178" spans="1:2" x14ac:dyDescent="0.25">
      <c r="A178" s="13"/>
      <c r="B178" s="14"/>
    </row>
    <row r="179" spans="1:2" x14ac:dyDescent="0.25">
      <c r="A179" s="13"/>
      <c r="B179" s="14"/>
    </row>
    <row r="180" spans="1:2" x14ac:dyDescent="0.25">
      <c r="A180" s="13"/>
      <c r="B180" s="14"/>
    </row>
    <row r="181" spans="1:2" x14ac:dyDescent="0.25">
      <c r="A181" s="13"/>
      <c r="B181" s="14"/>
    </row>
    <row r="182" spans="1:2" x14ac:dyDescent="0.25">
      <c r="A182" s="13"/>
      <c r="B182" s="14"/>
    </row>
    <row r="183" spans="1:2" x14ac:dyDescent="0.25">
      <c r="A183" s="13"/>
      <c r="B183" s="14"/>
    </row>
    <row r="184" spans="1:2" x14ac:dyDescent="0.25">
      <c r="A184" s="13"/>
      <c r="B184" s="14"/>
    </row>
    <row r="185" spans="1:2" x14ac:dyDescent="0.25">
      <c r="A185" s="13"/>
      <c r="B185" s="14"/>
    </row>
    <row r="186" spans="1:2" x14ac:dyDescent="0.25">
      <c r="A186" s="13"/>
      <c r="B186" s="14"/>
    </row>
    <row r="187" spans="1:2" x14ac:dyDescent="0.25">
      <c r="A187" s="13"/>
      <c r="B187" s="14"/>
    </row>
    <row r="188" spans="1:2" x14ac:dyDescent="0.25">
      <c r="A188" s="13"/>
      <c r="B188" s="14"/>
    </row>
    <row r="189" spans="1:2" x14ac:dyDescent="0.25">
      <c r="A189" s="13"/>
      <c r="B189" s="14"/>
    </row>
    <row r="190" spans="1:2" x14ac:dyDescent="0.25">
      <c r="A190" s="13"/>
      <c r="B190" s="14"/>
    </row>
    <row r="191" spans="1:2" x14ac:dyDescent="0.25">
      <c r="A191" s="13"/>
      <c r="B191" s="14"/>
    </row>
    <row r="192" spans="1:2" x14ac:dyDescent="0.25">
      <c r="A192" s="13"/>
      <c r="B192" s="14"/>
    </row>
    <row r="193" spans="1:2" x14ac:dyDescent="0.25">
      <c r="A193" s="13"/>
      <c r="B193" s="14"/>
    </row>
    <row r="194" spans="1:2" x14ac:dyDescent="0.25">
      <c r="A194" s="13"/>
      <c r="B194" s="14"/>
    </row>
    <row r="195" spans="1:2" x14ac:dyDescent="0.25">
      <c r="A195" s="13"/>
      <c r="B195" s="14"/>
    </row>
    <row r="196" spans="1:2" x14ac:dyDescent="0.25">
      <c r="A196" s="13"/>
      <c r="B196" s="14"/>
    </row>
    <row r="197" spans="1:2" x14ac:dyDescent="0.25">
      <c r="A197" s="13"/>
      <c r="B197" s="14"/>
    </row>
    <row r="198" spans="1:2" x14ac:dyDescent="0.25">
      <c r="A198" s="13"/>
      <c r="B198" s="14"/>
    </row>
    <row r="199" spans="1:2" x14ac:dyDescent="0.25">
      <c r="A199" s="13"/>
      <c r="B199" s="14"/>
    </row>
    <row r="200" spans="1:2" x14ac:dyDescent="0.25">
      <c r="A200" s="13"/>
      <c r="B200" s="14"/>
    </row>
    <row r="201" spans="1:2" x14ac:dyDescent="0.25">
      <c r="A201" s="13"/>
      <c r="B201" s="14"/>
    </row>
    <row r="202" spans="1:2" x14ac:dyDescent="0.25">
      <c r="A202" s="13"/>
      <c r="B202" s="14"/>
    </row>
    <row r="203" spans="1:2" x14ac:dyDescent="0.25">
      <c r="A203" s="13"/>
      <c r="B203" s="14"/>
    </row>
    <row r="204" spans="1:2" x14ac:dyDescent="0.25">
      <c r="A204" s="13"/>
      <c r="B204" s="14"/>
    </row>
    <row r="205" spans="1:2" x14ac:dyDescent="0.25">
      <c r="A205" s="13"/>
      <c r="B205" s="14"/>
    </row>
    <row r="206" spans="1:2" x14ac:dyDescent="0.25">
      <c r="A206" s="13"/>
      <c r="B206" s="14"/>
    </row>
    <row r="207" spans="1:2" x14ac:dyDescent="0.25">
      <c r="A207" s="13"/>
      <c r="B207" s="14"/>
    </row>
    <row r="208" spans="1:2" x14ac:dyDescent="0.25">
      <c r="A208" s="13"/>
      <c r="B208" s="14"/>
    </row>
    <row r="209" spans="1:2" x14ac:dyDescent="0.25">
      <c r="A209" s="13"/>
      <c r="B209" s="14"/>
    </row>
    <row r="210" spans="1:2" x14ac:dyDescent="0.25">
      <c r="A210" s="13"/>
      <c r="B210" s="14"/>
    </row>
    <row r="211" spans="1:2" x14ac:dyDescent="0.25">
      <c r="A211" s="13"/>
      <c r="B211" s="14"/>
    </row>
    <row r="212" spans="1:2" x14ac:dyDescent="0.25">
      <c r="A212" s="13"/>
      <c r="B212" s="14"/>
    </row>
    <row r="213" spans="1:2" x14ac:dyDescent="0.25">
      <c r="A213" s="13"/>
      <c r="B213" s="14"/>
    </row>
    <row r="214" spans="1:2" x14ac:dyDescent="0.25">
      <c r="A214" s="13"/>
      <c r="B214" s="14"/>
    </row>
    <row r="215" spans="1:2" x14ac:dyDescent="0.25">
      <c r="A215" s="13"/>
      <c r="B215" s="14"/>
    </row>
    <row r="216" spans="1:2" x14ac:dyDescent="0.25">
      <c r="A216" s="13"/>
      <c r="B216" s="14"/>
    </row>
    <row r="217" spans="1:2" x14ac:dyDescent="0.25">
      <c r="A217" s="13"/>
      <c r="B217" s="14"/>
    </row>
    <row r="218" spans="1:2" x14ac:dyDescent="0.25">
      <c r="A218" s="13"/>
      <c r="B218" s="14"/>
    </row>
    <row r="219" spans="1:2" x14ac:dyDescent="0.25">
      <c r="A219" s="13"/>
      <c r="B219" s="14"/>
    </row>
    <row r="220" spans="1:2" x14ac:dyDescent="0.25">
      <c r="A220" s="13"/>
      <c r="B220" s="14"/>
    </row>
    <row r="221" spans="1:2" x14ac:dyDescent="0.25">
      <c r="A221" s="13"/>
      <c r="B221" s="14"/>
    </row>
    <row r="222" spans="1:2" x14ac:dyDescent="0.25">
      <c r="A222" s="13"/>
      <c r="B222" s="14"/>
    </row>
    <row r="223" spans="1:2" x14ac:dyDescent="0.25">
      <c r="A223" s="13"/>
      <c r="B223" s="14"/>
    </row>
    <row r="224" spans="1:2" x14ac:dyDescent="0.25">
      <c r="A224" s="13"/>
      <c r="B224" s="14"/>
    </row>
    <row r="225" spans="1:2" x14ac:dyDescent="0.25">
      <c r="A225" s="13"/>
      <c r="B225" s="14"/>
    </row>
    <row r="226" spans="1:2" x14ac:dyDescent="0.25">
      <c r="A226" s="13"/>
      <c r="B226" s="14"/>
    </row>
    <row r="227" spans="1:2" x14ac:dyDescent="0.25">
      <c r="A227" s="13"/>
      <c r="B227" s="14"/>
    </row>
    <row r="228" spans="1:2" x14ac:dyDescent="0.25">
      <c r="A228" s="13"/>
      <c r="B228" s="14"/>
    </row>
    <row r="229" spans="1:2" x14ac:dyDescent="0.25">
      <c r="A229" s="13"/>
      <c r="B229" s="14"/>
    </row>
    <row r="230" spans="1:2" x14ac:dyDescent="0.25">
      <c r="A230" s="13"/>
      <c r="B230" s="14"/>
    </row>
    <row r="231" spans="1:2" x14ac:dyDescent="0.25">
      <c r="A231" s="13"/>
      <c r="B231" s="14"/>
    </row>
    <row r="232" spans="1:2" x14ac:dyDescent="0.25">
      <c r="A232" s="13"/>
      <c r="B232" s="14"/>
    </row>
    <row r="233" spans="1:2" x14ac:dyDescent="0.25">
      <c r="A233" s="13"/>
      <c r="B233" s="14"/>
    </row>
    <row r="234" spans="1:2" x14ac:dyDescent="0.25">
      <c r="A234" s="13"/>
      <c r="B234" s="14"/>
    </row>
    <row r="235" spans="1:2" x14ac:dyDescent="0.25">
      <c r="A235" s="13"/>
      <c r="B235" s="14"/>
    </row>
    <row r="236" spans="1:2" x14ac:dyDescent="0.25">
      <c r="A236" s="13"/>
      <c r="B236" s="14"/>
    </row>
    <row r="237" spans="1:2" x14ac:dyDescent="0.25">
      <c r="A237" s="13"/>
      <c r="B237" s="14"/>
    </row>
    <row r="238" spans="1:2" x14ac:dyDescent="0.25">
      <c r="A238" s="13"/>
      <c r="B238" s="14"/>
    </row>
    <row r="239" spans="1:2" x14ac:dyDescent="0.25">
      <c r="A239" s="13"/>
      <c r="B239" s="14"/>
    </row>
    <row r="240" spans="1:2" x14ac:dyDescent="0.25">
      <c r="A240" s="13"/>
      <c r="B240" s="14"/>
    </row>
    <row r="241" spans="1:2" x14ac:dyDescent="0.25">
      <c r="A241" s="13"/>
      <c r="B241" s="14"/>
    </row>
    <row r="242" spans="1:2" x14ac:dyDescent="0.25">
      <c r="A242" s="13"/>
      <c r="B242" s="14"/>
    </row>
    <row r="243" spans="1:2" x14ac:dyDescent="0.25">
      <c r="A243" s="13"/>
      <c r="B243" s="14"/>
    </row>
    <row r="244" spans="1:2" x14ac:dyDescent="0.25">
      <c r="A244" s="13"/>
      <c r="B244" s="14"/>
    </row>
    <row r="245" spans="1:2" x14ac:dyDescent="0.25">
      <c r="A245" s="13"/>
      <c r="B245" s="14"/>
    </row>
    <row r="246" spans="1:2" x14ac:dyDescent="0.25">
      <c r="A246" s="13"/>
      <c r="B246" s="14"/>
    </row>
    <row r="247" spans="1:2" x14ac:dyDescent="0.25">
      <c r="A247" s="13"/>
      <c r="B247" s="14"/>
    </row>
    <row r="248" spans="1:2" x14ac:dyDescent="0.25">
      <c r="A248" s="13"/>
      <c r="B248" s="14"/>
    </row>
    <row r="249" spans="1:2" x14ac:dyDescent="0.25">
      <c r="A249" s="13"/>
      <c r="B249" s="14"/>
    </row>
    <row r="250" spans="1:2" x14ac:dyDescent="0.25">
      <c r="A250" s="13"/>
      <c r="B250" s="14"/>
    </row>
    <row r="251" spans="1:2" x14ac:dyDescent="0.25">
      <c r="A251" s="13"/>
      <c r="B251" s="14"/>
    </row>
    <row r="252" spans="1:2" x14ac:dyDescent="0.25">
      <c r="A252" s="13"/>
      <c r="B252" s="14"/>
    </row>
    <row r="253" spans="1:2" x14ac:dyDescent="0.25">
      <c r="A253" s="13"/>
      <c r="B253" s="14"/>
    </row>
    <row r="254" spans="1:2" x14ac:dyDescent="0.25">
      <c r="A254" s="13"/>
      <c r="B254" s="14"/>
    </row>
    <row r="255" spans="1:2" x14ac:dyDescent="0.25">
      <c r="A255" s="13"/>
      <c r="B255" s="14"/>
    </row>
    <row r="256" spans="1:2" x14ac:dyDescent="0.25">
      <c r="A256" s="13"/>
      <c r="B256" s="14"/>
    </row>
    <row r="257" spans="1:2" x14ac:dyDescent="0.25">
      <c r="A257" s="13"/>
      <c r="B257" s="14"/>
    </row>
    <row r="258" spans="1:2" x14ac:dyDescent="0.25">
      <c r="A258" s="13"/>
      <c r="B258" s="14"/>
    </row>
    <row r="259" spans="1:2" x14ac:dyDescent="0.25">
      <c r="A259" s="13"/>
      <c r="B259" s="14"/>
    </row>
    <row r="260" spans="1:2" x14ac:dyDescent="0.25">
      <c r="A260" s="13"/>
      <c r="B260" s="14"/>
    </row>
    <row r="261" spans="1:2" x14ac:dyDescent="0.25">
      <c r="A261" s="13"/>
      <c r="B261" s="14"/>
    </row>
    <row r="262" spans="1:2" x14ac:dyDescent="0.25">
      <c r="A262" s="13"/>
      <c r="B262" s="14"/>
    </row>
    <row r="263" spans="1:2" x14ac:dyDescent="0.25">
      <c r="A263" s="13"/>
      <c r="B263" s="14"/>
    </row>
    <row r="264" spans="1:2" x14ac:dyDescent="0.25">
      <c r="A264" s="13"/>
      <c r="B264" s="14"/>
    </row>
    <row r="265" spans="1:2" x14ac:dyDescent="0.25">
      <c r="A265" s="13"/>
      <c r="B265" s="14"/>
    </row>
    <row r="266" spans="1:2" x14ac:dyDescent="0.25">
      <c r="A266" s="13"/>
      <c r="B266" s="14"/>
    </row>
    <row r="267" spans="1:2" x14ac:dyDescent="0.25">
      <c r="A267" s="13"/>
      <c r="B267" s="14"/>
    </row>
    <row r="268" spans="1:2" x14ac:dyDescent="0.25">
      <c r="A268" s="13"/>
      <c r="B268" s="14"/>
    </row>
    <row r="269" spans="1:2" x14ac:dyDescent="0.25">
      <c r="A269" s="13"/>
      <c r="B269" s="14"/>
    </row>
    <row r="270" spans="1:2" x14ac:dyDescent="0.25">
      <c r="A270" s="13"/>
      <c r="B270" s="14"/>
    </row>
    <row r="271" spans="1:2" x14ac:dyDescent="0.25">
      <c r="A271" s="13"/>
      <c r="B271" s="14"/>
    </row>
    <row r="272" spans="1:2" x14ac:dyDescent="0.25">
      <c r="A272" s="13"/>
      <c r="B272" s="14"/>
    </row>
    <row r="273" spans="1:2" x14ac:dyDescent="0.25">
      <c r="A273" s="13"/>
      <c r="B273" s="14"/>
    </row>
    <row r="274" spans="1:2" x14ac:dyDescent="0.25">
      <c r="A274" s="13"/>
      <c r="B274" s="14"/>
    </row>
    <row r="275" spans="1:2" x14ac:dyDescent="0.25">
      <c r="A275" s="13"/>
      <c r="B275" s="14"/>
    </row>
    <row r="276" spans="1:2" x14ac:dyDescent="0.25">
      <c r="A276" s="13"/>
      <c r="B276" s="14"/>
    </row>
    <row r="277" spans="1:2" x14ac:dyDescent="0.25">
      <c r="A277" s="13"/>
      <c r="B277" s="14"/>
    </row>
    <row r="278" spans="1:2" x14ac:dyDescent="0.25">
      <c r="A278" s="13"/>
      <c r="B278" s="14"/>
    </row>
    <row r="279" spans="1:2" x14ac:dyDescent="0.25">
      <c r="A279" s="13"/>
      <c r="B279" s="14"/>
    </row>
    <row r="280" spans="1:2" x14ac:dyDescent="0.25">
      <c r="A280" s="13"/>
      <c r="B280" s="14"/>
    </row>
    <row r="281" spans="1:2" x14ac:dyDescent="0.25">
      <c r="A281" s="13"/>
      <c r="B281" s="14"/>
    </row>
    <row r="282" spans="1:2" x14ac:dyDescent="0.25">
      <c r="A282" s="13"/>
      <c r="B282" s="14"/>
    </row>
    <row r="283" spans="1:2" x14ac:dyDescent="0.25">
      <c r="A283" s="13"/>
      <c r="B283" s="14"/>
    </row>
    <row r="284" spans="1:2" x14ac:dyDescent="0.25">
      <c r="A284" s="13"/>
      <c r="B284" s="14"/>
    </row>
    <row r="285" spans="1:2" x14ac:dyDescent="0.25">
      <c r="A285" s="13"/>
      <c r="B285" s="14"/>
    </row>
    <row r="286" spans="1:2" x14ac:dyDescent="0.25">
      <c r="A286" s="13"/>
      <c r="B286" s="14"/>
    </row>
    <row r="287" spans="1:2" x14ac:dyDescent="0.25">
      <c r="A287" s="13"/>
      <c r="B287" s="14"/>
    </row>
    <row r="288" spans="1:2" x14ac:dyDescent="0.25">
      <c r="A288" s="13"/>
      <c r="B288" s="14"/>
    </row>
    <row r="289" spans="1:2" x14ac:dyDescent="0.25">
      <c r="A289" s="13"/>
      <c r="B289" s="14"/>
    </row>
    <row r="290" spans="1:2" x14ac:dyDescent="0.25">
      <c r="A290" s="13"/>
      <c r="B290" s="14"/>
    </row>
    <row r="291" spans="1:2" x14ac:dyDescent="0.25">
      <c r="A291" s="13"/>
      <c r="B291" s="14"/>
    </row>
    <row r="292" spans="1:2" x14ac:dyDescent="0.25">
      <c r="A292" s="13"/>
      <c r="B292" s="14"/>
    </row>
    <row r="293" spans="1:2" x14ac:dyDescent="0.25">
      <c r="A293" s="13"/>
      <c r="B293" s="14"/>
    </row>
    <row r="294" spans="1:2" x14ac:dyDescent="0.25">
      <c r="A294" s="13"/>
      <c r="B294" s="14"/>
    </row>
    <row r="295" spans="1:2" x14ac:dyDescent="0.25">
      <c r="A295" s="13"/>
      <c r="B295" s="14"/>
    </row>
    <row r="296" spans="1:2" x14ac:dyDescent="0.25">
      <c r="A296" s="13"/>
      <c r="B296" s="14"/>
    </row>
    <row r="297" spans="1:2" x14ac:dyDescent="0.25">
      <c r="A297" s="13"/>
      <c r="B297" s="14"/>
    </row>
    <row r="298" spans="1:2" x14ac:dyDescent="0.25">
      <c r="A298" s="13"/>
      <c r="B298" s="14"/>
    </row>
    <row r="299" spans="1:2" x14ac:dyDescent="0.25">
      <c r="A299" s="13"/>
      <c r="B299" s="14"/>
    </row>
    <row r="300" spans="1:2" x14ac:dyDescent="0.25">
      <c r="A300" s="13"/>
      <c r="B300" s="14"/>
    </row>
    <row r="301" spans="1:2" x14ac:dyDescent="0.25">
      <c r="A301" s="13"/>
      <c r="B301" s="14"/>
    </row>
    <row r="302" spans="1:2" x14ac:dyDescent="0.25">
      <c r="A302" s="13"/>
      <c r="B302" s="14"/>
    </row>
    <row r="303" spans="1:2" x14ac:dyDescent="0.25">
      <c r="A303" s="13"/>
      <c r="B303" s="14"/>
    </row>
    <row r="304" spans="1:2" x14ac:dyDescent="0.25">
      <c r="A304" s="13"/>
      <c r="B304" s="14"/>
    </row>
    <row r="305" spans="1:2" x14ac:dyDescent="0.25">
      <c r="A305" s="13"/>
      <c r="B305" s="14"/>
    </row>
    <row r="306" spans="1:2" x14ac:dyDescent="0.25">
      <c r="A306" s="13"/>
      <c r="B306" s="14"/>
    </row>
    <row r="307" spans="1:2" x14ac:dyDescent="0.25">
      <c r="A307" s="13"/>
      <c r="B307" s="14"/>
    </row>
    <row r="308" spans="1:2" x14ac:dyDescent="0.25">
      <c r="A308" s="13"/>
      <c r="B308" s="14"/>
    </row>
    <row r="309" spans="1:2" x14ac:dyDescent="0.25">
      <c r="A309" s="13"/>
      <c r="B309" s="14"/>
    </row>
    <row r="310" spans="1:2" x14ac:dyDescent="0.25">
      <c r="A310" s="13"/>
      <c r="B310" s="14"/>
    </row>
    <row r="311" spans="1:2" x14ac:dyDescent="0.25">
      <c r="A311" s="13"/>
      <c r="B311" s="14"/>
    </row>
    <row r="312" spans="1:2" x14ac:dyDescent="0.25">
      <c r="A312" s="13"/>
      <c r="B312" s="14"/>
    </row>
    <row r="313" spans="1:2" x14ac:dyDescent="0.25">
      <c r="A313" s="13"/>
      <c r="B313" s="14"/>
    </row>
    <row r="314" spans="1:2" x14ac:dyDescent="0.25">
      <c r="A314" s="13"/>
      <c r="B314" s="14"/>
    </row>
    <row r="315" spans="1:2" x14ac:dyDescent="0.25">
      <c r="A315" s="13"/>
      <c r="B315" s="14"/>
    </row>
    <row r="316" spans="1:2" x14ac:dyDescent="0.25">
      <c r="A316" s="13"/>
      <c r="B316" s="14"/>
    </row>
    <row r="317" spans="1:2" x14ac:dyDescent="0.25">
      <c r="A317" s="13"/>
      <c r="B317" s="14"/>
    </row>
    <row r="318" spans="1:2" x14ac:dyDescent="0.25">
      <c r="A318" s="13"/>
      <c r="B318" s="14"/>
    </row>
    <row r="319" spans="1:2" x14ac:dyDescent="0.25">
      <c r="A319" s="13"/>
      <c r="B319" s="14"/>
    </row>
    <row r="320" spans="1:2" x14ac:dyDescent="0.25">
      <c r="A320" s="13"/>
      <c r="B320" s="14"/>
    </row>
    <row r="321" spans="1:2" x14ac:dyDescent="0.25">
      <c r="A321" s="13"/>
      <c r="B321" s="14"/>
    </row>
    <row r="322" spans="1:2" x14ac:dyDescent="0.25">
      <c r="A322" s="13"/>
      <c r="B322" s="14"/>
    </row>
    <row r="323" spans="1:2" x14ac:dyDescent="0.25">
      <c r="A323" s="13"/>
      <c r="B323" s="14"/>
    </row>
    <row r="324" spans="1:2" x14ac:dyDescent="0.25">
      <c r="A324" s="13"/>
      <c r="B324" s="14"/>
    </row>
    <row r="325" spans="1:2" x14ac:dyDescent="0.25">
      <c r="A325" s="13"/>
      <c r="B325" s="14"/>
    </row>
    <row r="326" spans="1:2" x14ac:dyDescent="0.25">
      <c r="A326" s="13"/>
      <c r="B326" s="14"/>
    </row>
    <row r="327" spans="1:2" x14ac:dyDescent="0.25">
      <c r="A327" s="13"/>
      <c r="B327" s="14"/>
    </row>
    <row r="328" spans="1:2" x14ac:dyDescent="0.25">
      <c r="A328" s="13"/>
      <c r="B328" s="14"/>
    </row>
    <row r="329" spans="1:2" x14ac:dyDescent="0.25">
      <c r="A329" s="13"/>
      <c r="B329" s="14"/>
    </row>
    <row r="330" spans="1:2" x14ac:dyDescent="0.25">
      <c r="A330" s="13"/>
      <c r="B330" s="14"/>
    </row>
    <row r="331" spans="1:2" x14ac:dyDescent="0.25">
      <c r="A331" s="13"/>
      <c r="B331" s="14"/>
    </row>
    <row r="332" spans="1:2" x14ac:dyDescent="0.25">
      <c r="A332" s="13"/>
      <c r="B332" s="14"/>
    </row>
    <row r="333" spans="1:2" x14ac:dyDescent="0.25">
      <c r="A333" s="13"/>
      <c r="B333" s="14"/>
    </row>
    <row r="334" spans="1:2" x14ac:dyDescent="0.25">
      <c r="A334" s="13"/>
      <c r="B334" s="14"/>
    </row>
    <row r="335" spans="1:2" x14ac:dyDescent="0.25">
      <c r="A335" s="13"/>
      <c r="B335" s="14"/>
    </row>
    <row r="336" spans="1:2" x14ac:dyDescent="0.25">
      <c r="A336" s="13"/>
      <c r="B336" s="14"/>
    </row>
    <row r="337" spans="1:2" x14ac:dyDescent="0.25">
      <c r="A337" s="13"/>
      <c r="B337" s="14"/>
    </row>
    <row r="338" spans="1:2" x14ac:dyDescent="0.25">
      <c r="A338" s="13"/>
      <c r="B338" s="14"/>
    </row>
    <row r="339" spans="1:2" x14ac:dyDescent="0.25">
      <c r="A339" s="13"/>
      <c r="B339" s="14"/>
    </row>
    <row r="340" spans="1:2" x14ac:dyDescent="0.25">
      <c r="A340" s="13"/>
      <c r="B340" s="14"/>
    </row>
    <row r="341" spans="1:2" x14ac:dyDescent="0.25">
      <c r="A341" s="13"/>
      <c r="B341" s="14"/>
    </row>
    <row r="342" spans="1:2" x14ac:dyDescent="0.25">
      <c r="A342" s="13"/>
      <c r="B342" s="14"/>
    </row>
    <row r="343" spans="1:2" x14ac:dyDescent="0.25">
      <c r="A343" s="13"/>
      <c r="B343" s="14"/>
    </row>
    <row r="344" spans="1:2" x14ac:dyDescent="0.25">
      <c r="A344" s="13"/>
      <c r="B344" s="14"/>
    </row>
    <row r="345" spans="1:2" x14ac:dyDescent="0.25">
      <c r="A345" s="13"/>
      <c r="B345" s="14"/>
    </row>
    <row r="346" spans="1:2" x14ac:dyDescent="0.25">
      <c r="A346" s="13"/>
      <c r="B346" s="14"/>
    </row>
    <row r="347" spans="1:2" x14ac:dyDescent="0.25">
      <c r="A347" s="13"/>
      <c r="B347" s="14"/>
    </row>
    <row r="348" spans="1:2" x14ac:dyDescent="0.25">
      <c r="A348" s="13"/>
      <c r="B348" s="14"/>
    </row>
    <row r="349" spans="1:2" x14ac:dyDescent="0.25">
      <c r="A349" s="13"/>
      <c r="B349" s="14"/>
    </row>
    <row r="350" spans="1:2" x14ac:dyDescent="0.25">
      <c r="A350" s="13"/>
      <c r="B350" s="14"/>
    </row>
    <row r="351" spans="1:2" x14ac:dyDescent="0.25">
      <c r="A351" s="13"/>
      <c r="B351" s="14"/>
    </row>
    <row r="352" spans="1:2" x14ac:dyDescent="0.25">
      <c r="A352" s="13"/>
      <c r="B352" s="14"/>
    </row>
    <row r="353" spans="1:2" x14ac:dyDescent="0.25">
      <c r="A353" s="13"/>
      <c r="B353" s="14"/>
    </row>
    <row r="354" spans="1:2" x14ac:dyDescent="0.25">
      <c r="A354" s="13"/>
      <c r="B354" s="14"/>
    </row>
    <row r="355" spans="1:2" x14ac:dyDescent="0.25">
      <c r="A355" s="13"/>
      <c r="B355" s="14"/>
    </row>
    <row r="356" spans="1:2" x14ac:dyDescent="0.25">
      <c r="A356" s="13"/>
      <c r="B356" s="14"/>
    </row>
    <row r="357" spans="1:2" x14ac:dyDescent="0.25">
      <c r="A357" s="13"/>
      <c r="B357" s="14"/>
    </row>
    <row r="358" spans="1:2" x14ac:dyDescent="0.25">
      <c r="A358" s="13"/>
      <c r="B358" s="14"/>
    </row>
    <row r="359" spans="1:2" x14ac:dyDescent="0.25">
      <c r="A359" s="13"/>
      <c r="B359" s="14"/>
    </row>
    <row r="360" spans="1:2" x14ac:dyDescent="0.25">
      <c r="A360" s="13"/>
      <c r="B360" s="14"/>
    </row>
    <row r="361" spans="1:2" x14ac:dyDescent="0.25">
      <c r="A361" s="13"/>
      <c r="B361" s="14"/>
    </row>
    <row r="362" spans="1:2" x14ac:dyDescent="0.25">
      <c r="A362" s="13"/>
      <c r="B362" s="14"/>
    </row>
    <row r="363" spans="1:2" x14ac:dyDescent="0.25">
      <c r="A363" s="13"/>
      <c r="B363" s="14"/>
    </row>
    <row r="364" spans="1:2" x14ac:dyDescent="0.25">
      <c r="A364" s="13"/>
      <c r="B364" s="14"/>
    </row>
    <row r="365" spans="1:2" x14ac:dyDescent="0.25">
      <c r="A365" s="13"/>
      <c r="B365" s="14"/>
    </row>
    <row r="366" spans="1:2" x14ac:dyDescent="0.25">
      <c r="A366" s="13"/>
      <c r="B366" s="14"/>
    </row>
    <row r="367" spans="1:2" x14ac:dyDescent="0.25">
      <c r="A367" s="13"/>
      <c r="B367" s="14"/>
    </row>
    <row r="368" spans="1:2" x14ac:dyDescent="0.25">
      <c r="A368" s="13"/>
      <c r="B368" s="14"/>
    </row>
    <row r="369" spans="1:2" x14ac:dyDescent="0.25">
      <c r="A369" s="13"/>
      <c r="B369" s="14"/>
    </row>
    <row r="370" spans="1:2" x14ac:dyDescent="0.25">
      <c r="A370" s="13"/>
      <c r="B370" s="14"/>
    </row>
    <row r="371" spans="1:2" x14ac:dyDescent="0.25">
      <c r="A371" s="13"/>
      <c r="B371" s="14"/>
    </row>
    <row r="372" spans="1:2" x14ac:dyDescent="0.25">
      <c r="A372" s="13"/>
      <c r="B372" s="14"/>
    </row>
    <row r="373" spans="1:2" x14ac:dyDescent="0.25">
      <c r="A373" s="13"/>
      <c r="B373" s="14"/>
    </row>
    <row r="374" spans="1:2" x14ac:dyDescent="0.25">
      <c r="A374" s="13"/>
      <c r="B374" s="14"/>
    </row>
    <row r="375" spans="1:2" x14ac:dyDescent="0.25">
      <c r="A375" s="13"/>
      <c r="B375" s="14"/>
    </row>
    <row r="376" spans="1:2" x14ac:dyDescent="0.25">
      <c r="A376" s="13"/>
      <c r="B376" s="14"/>
    </row>
    <row r="377" spans="1:2" x14ac:dyDescent="0.25">
      <c r="A377" s="13"/>
      <c r="B377" s="14"/>
    </row>
    <row r="378" spans="1:2" x14ac:dyDescent="0.25">
      <c r="A378" s="13"/>
      <c r="B378" s="14"/>
    </row>
    <row r="379" spans="1:2" x14ac:dyDescent="0.25">
      <c r="A379" s="13"/>
      <c r="B379" s="14"/>
    </row>
    <row r="380" spans="1:2" x14ac:dyDescent="0.25">
      <c r="A380" s="13"/>
      <c r="B380" s="14"/>
    </row>
    <row r="381" spans="1:2" x14ac:dyDescent="0.25">
      <c r="A381" s="13"/>
      <c r="B381" s="14"/>
    </row>
    <row r="382" spans="1:2" x14ac:dyDescent="0.25">
      <c r="A382" s="13"/>
      <c r="B382" s="14"/>
    </row>
    <row r="383" spans="1:2" x14ac:dyDescent="0.25">
      <c r="A383" s="13"/>
      <c r="B383" s="14"/>
    </row>
    <row r="384" spans="1:2" x14ac:dyDescent="0.25">
      <c r="A384" s="13"/>
      <c r="B384" s="14"/>
    </row>
    <row r="385" spans="1:2" x14ac:dyDescent="0.25">
      <c r="A385" s="13"/>
      <c r="B385" s="14"/>
    </row>
    <row r="386" spans="1:2" x14ac:dyDescent="0.25">
      <c r="A386" s="13"/>
      <c r="B386" s="14"/>
    </row>
    <row r="387" spans="1:2" x14ac:dyDescent="0.25">
      <c r="A387" s="13"/>
      <c r="B387" s="14"/>
    </row>
    <row r="388" spans="1:2" x14ac:dyDescent="0.25">
      <c r="A388" s="13"/>
      <c r="B388" s="14"/>
    </row>
    <row r="389" spans="1:2" x14ac:dyDescent="0.25">
      <c r="A389" s="13"/>
      <c r="B389" s="14"/>
    </row>
    <row r="390" spans="1:2" x14ac:dyDescent="0.25">
      <c r="A390" s="13"/>
      <c r="B390" s="14"/>
    </row>
    <row r="391" spans="1:2" x14ac:dyDescent="0.25">
      <c r="A391" s="13"/>
      <c r="B391" s="14"/>
    </row>
    <row r="392" spans="1:2" x14ac:dyDescent="0.25">
      <c r="A392" s="13"/>
      <c r="B392" s="14"/>
    </row>
    <row r="393" spans="1:2" x14ac:dyDescent="0.25">
      <c r="A393" s="13"/>
      <c r="B393" s="14"/>
    </row>
    <row r="394" spans="1:2" x14ac:dyDescent="0.25">
      <c r="A394" s="13"/>
      <c r="B394" s="14"/>
    </row>
    <row r="395" spans="1:2" x14ac:dyDescent="0.25">
      <c r="A395" s="13"/>
      <c r="B395" s="14"/>
    </row>
    <row r="396" spans="1:2" x14ac:dyDescent="0.25">
      <c r="A396" s="13"/>
      <c r="B396" s="14"/>
    </row>
    <row r="397" spans="1:2" x14ac:dyDescent="0.25">
      <c r="A397" s="13"/>
      <c r="B397" s="14"/>
    </row>
    <row r="398" spans="1:2" x14ac:dyDescent="0.25">
      <c r="A398" s="13"/>
      <c r="B398" s="14"/>
    </row>
    <row r="399" spans="1:2" x14ac:dyDescent="0.25">
      <c r="A399" s="13"/>
      <c r="B399" s="14"/>
    </row>
    <row r="400" spans="1:2" x14ac:dyDescent="0.25">
      <c r="A400" s="13"/>
      <c r="B400" s="14"/>
    </row>
    <row r="401" spans="1:2" x14ac:dyDescent="0.25">
      <c r="A401" s="13"/>
      <c r="B401" s="14"/>
    </row>
    <row r="402" spans="1:2" x14ac:dyDescent="0.25">
      <c r="A402" s="13"/>
      <c r="B402" s="14"/>
    </row>
    <row r="403" spans="1:2" x14ac:dyDescent="0.25">
      <c r="A403" s="13"/>
      <c r="B403" s="14"/>
    </row>
    <row r="404" spans="1:2" x14ac:dyDescent="0.25">
      <c r="A404" s="13"/>
      <c r="B404" s="14"/>
    </row>
    <row r="405" spans="1:2" x14ac:dyDescent="0.25">
      <c r="A405" s="13"/>
      <c r="B405" s="14"/>
    </row>
    <row r="406" spans="1:2" x14ac:dyDescent="0.25">
      <c r="A406" s="13"/>
      <c r="B406" s="14"/>
    </row>
    <row r="407" spans="1:2" x14ac:dyDescent="0.25">
      <c r="A407" s="13"/>
      <c r="B407" s="14"/>
    </row>
    <row r="408" spans="1:2" x14ac:dyDescent="0.25">
      <c r="A408" s="13"/>
      <c r="B408" s="14"/>
    </row>
    <row r="409" spans="1:2" x14ac:dyDescent="0.25">
      <c r="A409" s="13"/>
      <c r="B409" s="14"/>
    </row>
    <row r="410" spans="1:2" x14ac:dyDescent="0.25">
      <c r="A410" s="13"/>
      <c r="B410" s="14"/>
    </row>
    <row r="411" spans="1:2" x14ac:dyDescent="0.25">
      <c r="A411" s="13"/>
      <c r="B411" s="14"/>
    </row>
    <row r="412" spans="1:2" x14ac:dyDescent="0.25">
      <c r="A412" s="13"/>
      <c r="B412" s="14"/>
    </row>
    <row r="413" spans="1:2" x14ac:dyDescent="0.25">
      <c r="A413" s="13"/>
      <c r="B413" s="14"/>
    </row>
    <row r="414" spans="1:2" x14ac:dyDescent="0.25">
      <c r="A414" s="13"/>
      <c r="B414" s="14"/>
    </row>
    <row r="415" spans="1:2" x14ac:dyDescent="0.25">
      <c r="A415" s="13"/>
      <c r="B415" s="14"/>
    </row>
    <row r="416" spans="1:2" x14ac:dyDescent="0.25">
      <c r="A416" s="13"/>
      <c r="B416" s="14"/>
    </row>
    <row r="417" spans="1:2" x14ac:dyDescent="0.25">
      <c r="A417" s="13"/>
      <c r="B417" s="14"/>
    </row>
    <row r="418" spans="1:2" x14ac:dyDescent="0.25">
      <c r="A418" s="13"/>
      <c r="B418" s="14"/>
    </row>
    <row r="419" spans="1:2" x14ac:dyDescent="0.25">
      <c r="A419" s="13"/>
      <c r="B419" s="14"/>
    </row>
    <row r="420" spans="1:2" x14ac:dyDescent="0.25">
      <c r="A420" s="13"/>
      <c r="B420" s="14"/>
    </row>
    <row r="421" spans="1:2" x14ac:dyDescent="0.25">
      <c r="A421" s="13"/>
      <c r="B421" s="14"/>
    </row>
    <row r="422" spans="1:2" x14ac:dyDescent="0.25">
      <c r="A422" s="13"/>
      <c r="B422" s="14"/>
    </row>
    <row r="423" spans="1:2" x14ac:dyDescent="0.25">
      <c r="A423" s="13"/>
      <c r="B423" s="14"/>
    </row>
    <row r="424" spans="1:2" x14ac:dyDescent="0.25">
      <c r="A424" s="13"/>
      <c r="B424" s="14"/>
    </row>
    <row r="425" spans="1:2" x14ac:dyDescent="0.25">
      <c r="A425" s="13"/>
      <c r="B425" s="14"/>
    </row>
    <row r="426" spans="1:2" x14ac:dyDescent="0.25">
      <c r="A426" s="13"/>
      <c r="B426" s="14"/>
    </row>
    <row r="427" spans="1:2" x14ac:dyDescent="0.25">
      <c r="A427" s="13"/>
      <c r="B427" s="14"/>
    </row>
    <row r="428" spans="1:2" x14ac:dyDescent="0.25">
      <c r="A428" s="13"/>
      <c r="B428" s="14"/>
    </row>
    <row r="429" spans="1:2" x14ac:dyDescent="0.25">
      <c r="A429" s="13"/>
      <c r="B429" s="14"/>
    </row>
    <row r="430" spans="1:2" x14ac:dyDescent="0.25">
      <c r="A430" s="13"/>
      <c r="B430" s="14"/>
    </row>
    <row r="431" spans="1:2" x14ac:dyDescent="0.25">
      <c r="A431" s="13"/>
      <c r="B431" s="14"/>
    </row>
    <row r="432" spans="1:2" x14ac:dyDescent="0.25">
      <c r="A432" s="13"/>
      <c r="B432" s="14"/>
    </row>
    <row r="433" spans="1:2" x14ac:dyDescent="0.25">
      <c r="A433" s="13"/>
      <c r="B433" s="14"/>
    </row>
    <row r="434" spans="1:2" x14ac:dyDescent="0.25">
      <c r="A434" s="13"/>
      <c r="B434" s="14"/>
    </row>
    <row r="435" spans="1:2" x14ac:dyDescent="0.25">
      <c r="A435" s="13"/>
      <c r="B435" s="14"/>
    </row>
    <row r="436" spans="1:2" x14ac:dyDescent="0.25">
      <c r="A436" s="13"/>
      <c r="B436" s="14"/>
    </row>
    <row r="437" spans="1:2" x14ac:dyDescent="0.25">
      <c r="A437" s="13"/>
      <c r="B437" s="14"/>
    </row>
    <row r="438" spans="1:2" x14ac:dyDescent="0.25">
      <c r="A438" s="13"/>
      <c r="B438" s="14"/>
    </row>
    <row r="439" spans="1:2" x14ac:dyDescent="0.25">
      <c r="A439" s="13"/>
      <c r="B439" s="14"/>
    </row>
    <row r="440" spans="1:2" x14ac:dyDescent="0.25">
      <c r="A440" s="13"/>
      <c r="B440" s="14"/>
    </row>
    <row r="441" spans="1:2" x14ac:dyDescent="0.25">
      <c r="A441" s="13"/>
      <c r="B441" s="14"/>
    </row>
    <row r="442" spans="1:2" x14ac:dyDescent="0.25">
      <c r="A442" s="13"/>
      <c r="B442" s="14"/>
    </row>
    <row r="443" spans="1:2" x14ac:dyDescent="0.25">
      <c r="A443" s="13"/>
      <c r="B443" s="14"/>
    </row>
    <row r="444" spans="1:2" x14ac:dyDescent="0.25">
      <c r="A444" s="13"/>
      <c r="B444" s="14"/>
    </row>
    <row r="445" spans="1:2" x14ac:dyDescent="0.25">
      <c r="A445" s="13"/>
      <c r="B445" s="14"/>
    </row>
    <row r="446" spans="1:2" x14ac:dyDescent="0.25">
      <c r="A446" s="13"/>
      <c r="B446" s="14"/>
    </row>
    <row r="447" spans="1:2" x14ac:dyDescent="0.25">
      <c r="A447" s="13"/>
      <c r="B447" s="14"/>
    </row>
    <row r="448" spans="1:2" x14ac:dyDescent="0.25">
      <c r="A448" s="13"/>
      <c r="B448" s="14"/>
    </row>
    <row r="449" spans="1:2" x14ac:dyDescent="0.25">
      <c r="A449" s="13"/>
      <c r="B449" s="14"/>
    </row>
    <row r="450" spans="1:2" x14ac:dyDescent="0.25">
      <c r="A450" s="13"/>
      <c r="B450" s="14"/>
    </row>
    <row r="451" spans="1:2" x14ac:dyDescent="0.25">
      <c r="A451" s="13"/>
      <c r="B451" s="14"/>
    </row>
    <row r="452" spans="1:2" x14ac:dyDescent="0.25">
      <c r="A452" s="13"/>
      <c r="B452" s="14"/>
    </row>
    <row r="453" spans="1:2" x14ac:dyDescent="0.25">
      <c r="A453" s="13"/>
      <c r="B453" s="14"/>
    </row>
    <row r="454" spans="1:2" x14ac:dyDescent="0.25">
      <c r="A454" s="13"/>
      <c r="B454" s="14"/>
    </row>
    <row r="455" spans="1:2" x14ac:dyDescent="0.25">
      <c r="A455" s="13"/>
      <c r="B455" s="14"/>
    </row>
    <row r="456" spans="1:2" x14ac:dyDescent="0.25">
      <c r="A456" s="13"/>
      <c r="B456" s="14"/>
    </row>
    <row r="457" spans="1:2" x14ac:dyDescent="0.25">
      <c r="A457" s="13"/>
      <c r="B457" s="14"/>
    </row>
    <row r="458" spans="1:2" x14ac:dyDescent="0.25">
      <c r="A458" s="13"/>
      <c r="B458" s="14"/>
    </row>
    <row r="459" spans="1:2" x14ac:dyDescent="0.25">
      <c r="A459" s="13"/>
      <c r="B459" s="14"/>
    </row>
    <row r="460" spans="1:2" x14ac:dyDescent="0.25">
      <c r="A460" s="13"/>
      <c r="B460" s="14"/>
    </row>
    <row r="461" spans="1:2" x14ac:dyDescent="0.25">
      <c r="A461" s="13"/>
      <c r="B461" s="14"/>
    </row>
    <row r="462" spans="1:2" x14ac:dyDescent="0.25">
      <c r="A462" s="13"/>
      <c r="B462" s="14"/>
    </row>
    <row r="463" spans="1:2" x14ac:dyDescent="0.25">
      <c r="A463" s="13"/>
      <c r="B463" s="14"/>
    </row>
    <row r="464" spans="1:2" x14ac:dyDescent="0.25">
      <c r="A464" s="13"/>
      <c r="B464" s="14"/>
    </row>
    <row r="465" spans="1:2" x14ac:dyDescent="0.25">
      <c r="A465" s="13"/>
      <c r="B465" s="14"/>
    </row>
    <row r="466" spans="1:2" x14ac:dyDescent="0.25">
      <c r="A466" s="13"/>
      <c r="B466" s="14"/>
    </row>
    <row r="467" spans="1:2" x14ac:dyDescent="0.25">
      <c r="A467" s="13"/>
      <c r="B467" s="14"/>
    </row>
    <row r="468" spans="1:2" x14ac:dyDescent="0.25">
      <c r="A468" s="13"/>
      <c r="B468" s="14"/>
    </row>
    <row r="469" spans="1:2" x14ac:dyDescent="0.25">
      <c r="A469" s="13"/>
      <c r="B469" s="14"/>
    </row>
    <row r="470" spans="1:2" x14ac:dyDescent="0.25">
      <c r="A470" s="13"/>
      <c r="B470" s="14"/>
    </row>
    <row r="471" spans="1:2" x14ac:dyDescent="0.25">
      <c r="A471" s="13"/>
      <c r="B471" s="14"/>
    </row>
    <row r="472" spans="1:2" x14ac:dyDescent="0.25">
      <c r="A472" s="13"/>
      <c r="B472" s="14"/>
    </row>
    <row r="473" spans="1:2" x14ac:dyDescent="0.25">
      <c r="A473" s="13"/>
      <c r="B473" s="14"/>
    </row>
    <row r="474" spans="1:2" x14ac:dyDescent="0.25">
      <c r="A474" s="13"/>
      <c r="B474" s="14"/>
    </row>
    <row r="475" spans="1:2" x14ac:dyDescent="0.25">
      <c r="A475" s="13"/>
      <c r="B475" s="14"/>
    </row>
    <row r="476" spans="1:2" x14ac:dyDescent="0.25">
      <c r="A476" s="13"/>
      <c r="B476" s="14"/>
    </row>
    <row r="477" spans="1:2" x14ac:dyDescent="0.25">
      <c r="A477" s="13"/>
      <c r="B477" s="14"/>
    </row>
    <row r="478" spans="1:2" x14ac:dyDescent="0.25">
      <c r="A478" s="13"/>
      <c r="B478" s="14"/>
    </row>
    <row r="479" spans="1:2" x14ac:dyDescent="0.25">
      <c r="A479" s="13"/>
      <c r="B479" s="14"/>
    </row>
    <row r="480" spans="1:2" x14ac:dyDescent="0.25">
      <c r="A480" s="13"/>
      <c r="B480" s="14"/>
    </row>
    <row r="481" spans="1:2" x14ac:dyDescent="0.25">
      <c r="A481" s="13"/>
      <c r="B481" s="14"/>
    </row>
    <row r="482" spans="1:2" x14ac:dyDescent="0.25">
      <c r="A482" s="13"/>
      <c r="B482" s="14"/>
    </row>
    <row r="483" spans="1:2" x14ac:dyDescent="0.25">
      <c r="A483" s="13"/>
      <c r="B483" s="14"/>
    </row>
    <row r="484" spans="1:2" x14ac:dyDescent="0.25">
      <c r="A484" s="13"/>
      <c r="B484" s="14"/>
    </row>
    <row r="485" spans="1:2" x14ac:dyDescent="0.25">
      <c r="A485" s="13"/>
      <c r="B485" s="14"/>
    </row>
    <row r="486" spans="1:2" x14ac:dyDescent="0.25">
      <c r="A486" s="13"/>
      <c r="B486" s="14"/>
    </row>
    <row r="487" spans="1:2" x14ac:dyDescent="0.25">
      <c r="A487" s="13"/>
      <c r="B487" s="14"/>
    </row>
    <row r="488" spans="1:2" x14ac:dyDescent="0.25">
      <c r="A488" s="13"/>
      <c r="B488" s="14"/>
    </row>
    <row r="489" spans="1:2" x14ac:dyDescent="0.25">
      <c r="A489" s="13"/>
      <c r="B489" s="14"/>
    </row>
    <row r="490" spans="1:2" x14ac:dyDescent="0.25">
      <c r="A490" s="13"/>
      <c r="B490" s="14"/>
    </row>
    <row r="491" spans="1:2" x14ac:dyDescent="0.25">
      <c r="A491" s="13"/>
      <c r="B491" s="14"/>
    </row>
    <row r="492" spans="1:2" x14ac:dyDescent="0.25">
      <c r="A492" s="13"/>
      <c r="B492" s="14"/>
    </row>
    <row r="493" spans="1:2" x14ac:dyDescent="0.25">
      <c r="A493" s="13"/>
      <c r="B493" s="14"/>
    </row>
    <row r="494" spans="1:2" x14ac:dyDescent="0.25">
      <c r="A494" s="13"/>
      <c r="B494" s="14"/>
    </row>
    <row r="495" spans="1:2" x14ac:dyDescent="0.25">
      <c r="A495" s="13"/>
      <c r="B495" s="14"/>
    </row>
    <row r="496" spans="1:2" x14ac:dyDescent="0.25">
      <c r="A496" s="13"/>
      <c r="B496" s="14"/>
    </row>
    <row r="497" spans="1:2" x14ac:dyDescent="0.25">
      <c r="A497" s="13"/>
      <c r="B497" s="14"/>
    </row>
    <row r="498" spans="1:2" x14ac:dyDescent="0.25">
      <c r="A498" s="13"/>
      <c r="B498" s="14"/>
    </row>
    <row r="499" spans="1:2" x14ac:dyDescent="0.25">
      <c r="A499" s="13"/>
      <c r="B499" s="14"/>
    </row>
    <row r="500" spans="1:2" x14ac:dyDescent="0.25">
      <c r="A500" s="13"/>
      <c r="B500" s="14"/>
    </row>
    <row r="501" spans="1:2" x14ac:dyDescent="0.25">
      <c r="A501" s="13"/>
      <c r="B501" s="14"/>
    </row>
    <row r="502" spans="1:2" x14ac:dyDescent="0.25">
      <c r="A502" s="13"/>
      <c r="B502" s="14"/>
    </row>
    <row r="503" spans="1:2" x14ac:dyDescent="0.25">
      <c r="A503" s="13"/>
      <c r="B503" s="14"/>
    </row>
    <row r="504" spans="1:2" x14ac:dyDescent="0.25">
      <c r="A504" s="13"/>
      <c r="B504" s="14"/>
    </row>
    <row r="505" spans="1:2" x14ac:dyDescent="0.25">
      <c r="A505" s="13"/>
      <c r="B505" s="14"/>
    </row>
    <row r="506" spans="1:2" x14ac:dyDescent="0.25">
      <c r="A506" s="13"/>
      <c r="B506" s="14"/>
    </row>
    <row r="507" spans="1:2" x14ac:dyDescent="0.25">
      <c r="A507" s="13"/>
      <c r="B507" s="14"/>
    </row>
    <row r="508" spans="1:2" x14ac:dyDescent="0.25">
      <c r="A508" s="13"/>
      <c r="B508" s="14"/>
    </row>
    <row r="509" spans="1:2" x14ac:dyDescent="0.25">
      <c r="A509" s="13"/>
      <c r="B509" s="14"/>
    </row>
    <row r="510" spans="1:2" x14ac:dyDescent="0.25">
      <c r="A510" s="13"/>
      <c r="B510" s="14"/>
    </row>
    <row r="511" spans="1:2" x14ac:dyDescent="0.25">
      <c r="A511" s="13"/>
      <c r="B511" s="14"/>
    </row>
    <row r="512" spans="1:2" x14ac:dyDescent="0.25">
      <c r="A512" s="13"/>
      <c r="B512" s="14"/>
    </row>
    <row r="513" spans="1:2" x14ac:dyDescent="0.25">
      <c r="A513" s="13"/>
      <c r="B513" s="14"/>
    </row>
    <row r="514" spans="1:2" x14ac:dyDescent="0.25">
      <c r="A514" s="13"/>
      <c r="B514" s="14"/>
    </row>
    <row r="515" spans="1:2" x14ac:dyDescent="0.25">
      <c r="A515" s="13"/>
      <c r="B515" s="14"/>
    </row>
    <row r="516" spans="1:2" x14ac:dyDescent="0.25">
      <c r="A516" s="13"/>
      <c r="B516" s="14"/>
    </row>
    <row r="517" spans="1:2" x14ac:dyDescent="0.25">
      <c r="A517" s="13"/>
      <c r="B517" s="14"/>
    </row>
    <row r="518" spans="1:2" x14ac:dyDescent="0.25">
      <c r="A518" s="13"/>
      <c r="B518" s="14"/>
    </row>
    <row r="519" spans="1:2" x14ac:dyDescent="0.25">
      <c r="A519" s="13"/>
      <c r="B519" s="14"/>
    </row>
    <row r="520" spans="1:2" x14ac:dyDescent="0.25">
      <c r="A520" s="13"/>
      <c r="B520" s="14"/>
    </row>
    <row r="521" spans="1:2" x14ac:dyDescent="0.25">
      <c r="A521" s="13"/>
      <c r="B521" s="14"/>
    </row>
    <row r="522" spans="1:2" x14ac:dyDescent="0.25">
      <c r="A522" s="13"/>
      <c r="B522" s="14"/>
    </row>
    <row r="523" spans="1:2" x14ac:dyDescent="0.25">
      <c r="A523" s="13"/>
      <c r="B523" s="14"/>
    </row>
    <row r="524" spans="1:2" x14ac:dyDescent="0.25">
      <c r="A524" s="13"/>
      <c r="B524" s="14"/>
    </row>
    <row r="525" spans="1:2" x14ac:dyDescent="0.25">
      <c r="A525" s="13"/>
      <c r="B525" s="14"/>
    </row>
    <row r="526" spans="1:2" x14ac:dyDescent="0.25">
      <c r="A526" s="13"/>
      <c r="B526" s="14"/>
    </row>
    <row r="527" spans="1:2" x14ac:dyDescent="0.25">
      <c r="A527" s="13"/>
      <c r="B527" s="14"/>
    </row>
    <row r="528" spans="1:2" x14ac:dyDescent="0.25">
      <c r="A528" s="13"/>
      <c r="B528" s="14"/>
    </row>
    <row r="529" spans="1:2" x14ac:dyDescent="0.25">
      <c r="A529" s="13"/>
      <c r="B529" s="14"/>
    </row>
    <row r="530" spans="1:2" x14ac:dyDescent="0.25">
      <c r="A530" s="13"/>
      <c r="B530" s="14"/>
    </row>
    <row r="531" spans="1:2" x14ac:dyDescent="0.25">
      <c r="A531" s="13"/>
      <c r="B531" s="14"/>
    </row>
    <row r="532" spans="1:2" x14ac:dyDescent="0.25">
      <c r="A532" s="13"/>
      <c r="B532" s="14"/>
    </row>
    <row r="533" spans="1:2" x14ac:dyDescent="0.25">
      <c r="A533" s="13"/>
      <c r="B533" s="14"/>
    </row>
    <row r="534" spans="1:2" x14ac:dyDescent="0.25">
      <c r="A534" s="13"/>
      <c r="B534" s="14"/>
    </row>
    <row r="535" spans="1:2" x14ac:dyDescent="0.25">
      <c r="A535" s="13"/>
      <c r="B535" s="14"/>
    </row>
    <row r="536" spans="1:2" x14ac:dyDescent="0.25">
      <c r="A536" s="13"/>
      <c r="B536" s="14"/>
    </row>
    <row r="537" spans="1:2" x14ac:dyDescent="0.25">
      <c r="A537" s="13"/>
      <c r="B537" s="14"/>
    </row>
    <row r="538" spans="1:2" x14ac:dyDescent="0.25">
      <c r="A538" s="13"/>
      <c r="B538" s="14"/>
    </row>
    <row r="539" spans="1:2" x14ac:dyDescent="0.25">
      <c r="A539" s="13"/>
      <c r="B539" s="14"/>
    </row>
    <row r="540" spans="1:2" x14ac:dyDescent="0.25">
      <c r="A540" s="13"/>
      <c r="B540" s="14"/>
    </row>
    <row r="541" spans="1:2" x14ac:dyDescent="0.25">
      <c r="A541" s="13"/>
      <c r="B541" s="14"/>
    </row>
    <row r="542" spans="1:2" x14ac:dyDescent="0.25">
      <c r="A542" s="13"/>
      <c r="B542" s="14"/>
    </row>
    <row r="543" spans="1:2" x14ac:dyDescent="0.25">
      <c r="A543" s="13"/>
      <c r="B543" s="14"/>
    </row>
    <row r="544" spans="1:2" x14ac:dyDescent="0.25">
      <c r="A544" s="13"/>
      <c r="B544" s="14"/>
    </row>
    <row r="545" spans="1:2" x14ac:dyDescent="0.25">
      <c r="A545" s="13"/>
      <c r="B545" s="14"/>
    </row>
    <row r="546" spans="1:2" x14ac:dyDescent="0.25">
      <c r="A546" s="13"/>
      <c r="B546" s="14"/>
    </row>
    <row r="547" spans="1:2" x14ac:dyDescent="0.25">
      <c r="A547" s="13"/>
      <c r="B547" s="14"/>
    </row>
    <row r="548" spans="1:2" x14ac:dyDescent="0.25">
      <c r="A548" s="13"/>
      <c r="B548" s="14"/>
    </row>
    <row r="549" spans="1:2" x14ac:dyDescent="0.25">
      <c r="A549" s="13"/>
      <c r="B549" s="14"/>
    </row>
    <row r="550" spans="1:2" x14ac:dyDescent="0.25">
      <c r="A550" s="13"/>
      <c r="B550" s="14"/>
    </row>
    <row r="551" spans="1:2" x14ac:dyDescent="0.25">
      <c r="A551" s="13"/>
      <c r="B551" s="14"/>
    </row>
    <row r="552" spans="1:2" x14ac:dyDescent="0.25">
      <c r="A552" s="13"/>
      <c r="B552" s="14"/>
    </row>
    <row r="553" spans="1:2" x14ac:dyDescent="0.25">
      <c r="A553" s="13"/>
      <c r="B553" s="14"/>
    </row>
    <row r="554" spans="1:2" x14ac:dyDescent="0.25">
      <c r="A554" s="13"/>
      <c r="B554" s="14"/>
    </row>
    <row r="555" spans="1:2" x14ac:dyDescent="0.25">
      <c r="A555" s="13"/>
      <c r="B555" s="14"/>
    </row>
    <row r="556" spans="1:2" x14ac:dyDescent="0.25">
      <c r="A556" s="13"/>
      <c r="B556" s="14"/>
    </row>
    <row r="557" spans="1:2" x14ac:dyDescent="0.25">
      <c r="A557" s="13"/>
      <c r="B557" s="14"/>
    </row>
    <row r="558" spans="1:2" x14ac:dyDescent="0.25">
      <c r="A558" s="13"/>
      <c r="B558" s="14"/>
    </row>
    <row r="559" spans="1:2" x14ac:dyDescent="0.25">
      <c r="A559" s="13"/>
      <c r="B559" s="14"/>
    </row>
    <row r="560" spans="1:2" x14ac:dyDescent="0.25">
      <c r="A560" s="13"/>
      <c r="B560" s="14"/>
    </row>
    <row r="561" spans="1:2" x14ac:dyDescent="0.25">
      <c r="A561" s="13"/>
      <c r="B561" s="14"/>
    </row>
    <row r="562" spans="1:2" x14ac:dyDescent="0.25">
      <c r="A562" s="13"/>
      <c r="B562" s="14"/>
    </row>
    <row r="563" spans="1:2" x14ac:dyDescent="0.25">
      <c r="A563" s="13"/>
      <c r="B563" s="14"/>
    </row>
    <row r="564" spans="1:2" x14ac:dyDescent="0.25">
      <c r="A564" s="13"/>
      <c r="B564" s="14"/>
    </row>
    <row r="565" spans="1:2" x14ac:dyDescent="0.25">
      <c r="A565" s="13"/>
      <c r="B565" s="14"/>
    </row>
    <row r="566" spans="1:2" x14ac:dyDescent="0.25">
      <c r="A566" s="13"/>
      <c r="B566" s="14"/>
    </row>
    <row r="567" spans="1:2" x14ac:dyDescent="0.25">
      <c r="A567" s="13"/>
      <c r="B567" s="14"/>
    </row>
    <row r="568" spans="1:2" x14ac:dyDescent="0.25">
      <c r="A568" s="13"/>
      <c r="B568" s="14"/>
    </row>
    <row r="569" spans="1:2" x14ac:dyDescent="0.25">
      <c r="A569" s="13"/>
      <c r="B569" s="14"/>
    </row>
    <row r="570" spans="1:2" x14ac:dyDescent="0.25">
      <c r="A570" s="13"/>
      <c r="B570" s="14"/>
    </row>
    <row r="571" spans="1:2" x14ac:dyDescent="0.25">
      <c r="A571" s="13"/>
      <c r="B571" s="14"/>
    </row>
    <row r="572" spans="1:2" x14ac:dyDescent="0.25">
      <c r="A572" s="13"/>
      <c r="B572" s="14"/>
    </row>
    <row r="573" spans="1:2" x14ac:dyDescent="0.25">
      <c r="A573" s="13"/>
      <c r="B573" s="14"/>
    </row>
    <row r="574" spans="1:2" x14ac:dyDescent="0.25">
      <c r="A574" s="13"/>
      <c r="B574" s="14"/>
    </row>
    <row r="575" spans="1:2" x14ac:dyDescent="0.25">
      <c r="A575" s="13"/>
      <c r="B575" s="14"/>
    </row>
    <row r="576" spans="1:2" x14ac:dyDescent="0.25">
      <c r="A576" s="13"/>
      <c r="B576" s="14"/>
    </row>
    <row r="577" spans="1:2" x14ac:dyDescent="0.25">
      <c r="A577" s="13"/>
      <c r="B577" s="14"/>
    </row>
    <row r="578" spans="1:2" x14ac:dyDescent="0.25">
      <c r="A578" s="13"/>
      <c r="B578" s="14"/>
    </row>
    <row r="579" spans="1:2" x14ac:dyDescent="0.25">
      <c r="A579" s="13"/>
      <c r="B579" s="14"/>
    </row>
    <row r="580" spans="1:2" x14ac:dyDescent="0.25">
      <c r="A580" s="13"/>
      <c r="B580" s="14"/>
    </row>
    <row r="581" spans="1:2" x14ac:dyDescent="0.25">
      <c r="A581" s="13"/>
      <c r="B581" s="14"/>
    </row>
    <row r="582" spans="1:2" x14ac:dyDescent="0.25">
      <c r="A582" s="13"/>
      <c r="B582" s="14"/>
    </row>
    <row r="583" spans="1:2" x14ac:dyDescent="0.25">
      <c r="A583" s="13"/>
      <c r="B583" s="14"/>
    </row>
    <row r="584" spans="1:2" x14ac:dyDescent="0.25">
      <c r="A584" s="13"/>
      <c r="B584" s="14"/>
    </row>
    <row r="585" spans="1:2" x14ac:dyDescent="0.25">
      <c r="A585" s="13"/>
      <c r="B585" s="14"/>
    </row>
    <row r="586" spans="1:2" x14ac:dyDescent="0.25">
      <c r="A586" s="13"/>
      <c r="B586" s="14"/>
    </row>
    <row r="587" spans="1:2" x14ac:dyDescent="0.25">
      <c r="A587" s="13"/>
      <c r="B587" s="14"/>
    </row>
    <row r="588" spans="1:2" x14ac:dyDescent="0.25">
      <c r="A588" s="13"/>
      <c r="B588" s="14"/>
    </row>
    <row r="589" spans="1:2" x14ac:dyDescent="0.25">
      <c r="A589" s="13"/>
      <c r="B589" s="14"/>
    </row>
    <row r="590" spans="1:2" x14ac:dyDescent="0.25">
      <c r="A590" s="13"/>
      <c r="B590" s="14"/>
    </row>
    <row r="591" spans="1:2" x14ac:dyDescent="0.25">
      <c r="A591" s="13"/>
      <c r="B591" s="14"/>
    </row>
    <row r="592" spans="1:2" x14ac:dyDescent="0.25">
      <c r="A592" s="13"/>
      <c r="B592" s="14"/>
    </row>
    <row r="593" spans="1:2" x14ac:dyDescent="0.25">
      <c r="A593" s="13"/>
      <c r="B593" s="14"/>
    </row>
    <row r="594" spans="1:2" x14ac:dyDescent="0.25">
      <c r="A594" s="13"/>
      <c r="B594" s="14"/>
    </row>
    <row r="595" spans="1:2" x14ac:dyDescent="0.25">
      <c r="A595" s="13"/>
      <c r="B595" s="14"/>
    </row>
    <row r="596" spans="1:2" x14ac:dyDescent="0.25">
      <c r="A596" s="13"/>
      <c r="B596" s="14"/>
    </row>
    <row r="597" spans="1:2" x14ac:dyDescent="0.25">
      <c r="A597" s="13"/>
      <c r="B597" s="14"/>
    </row>
    <row r="598" spans="1:2" x14ac:dyDescent="0.25">
      <c r="A598" s="13"/>
      <c r="B598" s="14"/>
    </row>
    <row r="599" spans="1:2" x14ac:dyDescent="0.25">
      <c r="A599" s="13"/>
      <c r="B599" s="14"/>
    </row>
    <row r="600" spans="1:2" x14ac:dyDescent="0.25">
      <c r="A600" s="13"/>
      <c r="B600" s="14"/>
    </row>
    <row r="601" spans="1:2" x14ac:dyDescent="0.25">
      <c r="A601" s="13"/>
      <c r="B601" s="14"/>
    </row>
    <row r="602" spans="1:2" x14ac:dyDescent="0.25">
      <c r="A602" s="13"/>
      <c r="B602" s="14"/>
    </row>
    <row r="603" spans="1:2" x14ac:dyDescent="0.25">
      <c r="A603" s="13"/>
      <c r="B603" s="14"/>
    </row>
    <row r="604" spans="1:2" x14ac:dyDescent="0.25">
      <c r="A604" s="13"/>
      <c r="B604" s="14"/>
    </row>
    <row r="605" spans="1:2" x14ac:dyDescent="0.25">
      <c r="A605" s="13"/>
      <c r="B605" s="14"/>
    </row>
    <row r="606" spans="1:2" x14ac:dyDescent="0.25">
      <c r="A606" s="13"/>
      <c r="B606" s="14"/>
    </row>
    <row r="607" spans="1:2" x14ac:dyDescent="0.25">
      <c r="A607" s="13"/>
      <c r="B607" s="14"/>
    </row>
    <row r="608" spans="1:2" x14ac:dyDescent="0.25">
      <c r="A608" s="13"/>
      <c r="B608" s="14"/>
    </row>
    <row r="609" spans="1:2" x14ac:dyDescent="0.25">
      <c r="A609" s="13"/>
      <c r="B609" s="14"/>
    </row>
    <row r="610" spans="1:2" x14ac:dyDescent="0.25">
      <c r="A610" s="13"/>
      <c r="B610" s="14"/>
    </row>
    <row r="611" spans="1:2" x14ac:dyDescent="0.25">
      <c r="A611" s="13"/>
      <c r="B611" s="14"/>
    </row>
    <row r="612" spans="1:2" x14ac:dyDescent="0.25">
      <c r="A612" s="13"/>
      <c r="B612" s="14"/>
    </row>
    <row r="613" spans="1:2" x14ac:dyDescent="0.25">
      <c r="A613" s="13"/>
      <c r="B613" s="14"/>
    </row>
    <row r="614" spans="1:2" x14ac:dyDescent="0.25">
      <c r="A614" s="13"/>
      <c r="B614" s="14"/>
    </row>
    <row r="615" spans="1:2" x14ac:dyDescent="0.25">
      <c r="A615" s="13"/>
      <c r="B615" s="14"/>
    </row>
    <row r="616" spans="1:2" x14ac:dyDescent="0.25">
      <c r="A616" s="13"/>
      <c r="B616" s="14"/>
    </row>
    <row r="617" spans="1:2" x14ac:dyDescent="0.25">
      <c r="A617" s="13"/>
      <c r="B617" s="14"/>
    </row>
    <row r="618" spans="1:2" x14ac:dyDescent="0.25">
      <c r="A618" s="13"/>
      <c r="B618" s="14"/>
    </row>
    <row r="619" spans="1:2" x14ac:dyDescent="0.25">
      <c r="A619" s="13"/>
      <c r="B619" s="14"/>
    </row>
    <row r="620" spans="1:2" x14ac:dyDescent="0.25">
      <c r="A620" s="13"/>
      <c r="B620" s="14"/>
    </row>
    <row r="621" spans="1:2" x14ac:dyDescent="0.25">
      <c r="A621" s="13"/>
      <c r="B621" s="14"/>
    </row>
    <row r="622" spans="1:2" x14ac:dyDescent="0.25">
      <c r="A622" s="13"/>
      <c r="B622" s="14"/>
    </row>
    <row r="623" spans="1:2" x14ac:dyDescent="0.25">
      <c r="A623" s="13"/>
      <c r="B623" s="14"/>
    </row>
    <row r="624" spans="1:2" x14ac:dyDescent="0.25">
      <c r="A624" s="13"/>
      <c r="B624" s="14"/>
    </row>
    <row r="625" spans="1:2" x14ac:dyDescent="0.25">
      <c r="A625" s="13"/>
      <c r="B625" s="14"/>
    </row>
    <row r="626" spans="1:2" x14ac:dyDescent="0.25">
      <c r="A626" s="13"/>
      <c r="B626" s="14"/>
    </row>
    <row r="627" spans="1:2" x14ac:dyDescent="0.25">
      <c r="A627" s="13"/>
      <c r="B627" s="14"/>
    </row>
    <row r="628" spans="1:2" x14ac:dyDescent="0.25">
      <c r="A628" s="13"/>
      <c r="B628" s="14"/>
    </row>
    <row r="629" spans="1:2" x14ac:dyDescent="0.25">
      <c r="A629" s="13"/>
      <c r="B629" s="14"/>
    </row>
    <row r="630" spans="1:2" x14ac:dyDescent="0.25">
      <c r="A630" s="13"/>
      <c r="B630" s="14"/>
    </row>
    <row r="631" spans="1:2" x14ac:dyDescent="0.25">
      <c r="A631" s="13"/>
      <c r="B631" s="14"/>
    </row>
    <row r="632" spans="1:2" x14ac:dyDescent="0.25">
      <c r="A632" s="13"/>
      <c r="B632" s="14"/>
    </row>
    <row r="633" spans="1:2" x14ac:dyDescent="0.25">
      <c r="A633" s="13"/>
      <c r="B633" s="14"/>
    </row>
    <row r="634" spans="1:2" x14ac:dyDescent="0.25">
      <c r="A634" s="13"/>
      <c r="B634" s="14"/>
    </row>
    <row r="635" spans="1:2" x14ac:dyDescent="0.25">
      <c r="A635" s="13"/>
      <c r="B635" s="14"/>
    </row>
    <row r="636" spans="1:2" x14ac:dyDescent="0.25">
      <c r="A636" s="13"/>
      <c r="B636" s="14"/>
    </row>
    <row r="637" spans="1:2" x14ac:dyDescent="0.25">
      <c r="A637" s="13"/>
      <c r="B637" s="14"/>
    </row>
    <row r="638" spans="1:2" x14ac:dyDescent="0.25">
      <c r="A638" s="13"/>
      <c r="B638" s="14"/>
    </row>
    <row r="639" spans="1:2" x14ac:dyDescent="0.25">
      <c r="A639" s="13"/>
      <c r="B639" s="14"/>
    </row>
    <row r="640" spans="1:2" x14ac:dyDescent="0.25">
      <c r="A640" s="13"/>
      <c r="B640" s="14"/>
    </row>
    <row r="641" spans="1:2" x14ac:dyDescent="0.25">
      <c r="A641" s="13"/>
      <c r="B641" s="14"/>
    </row>
    <row r="642" spans="1:2" x14ac:dyDescent="0.25">
      <c r="A642" s="13"/>
      <c r="B642" s="14"/>
    </row>
    <row r="643" spans="1:2" x14ac:dyDescent="0.25">
      <c r="A643" s="13"/>
      <c r="B643" s="14"/>
    </row>
    <row r="644" spans="1:2" x14ac:dyDescent="0.25">
      <c r="A644" s="13"/>
      <c r="B644" s="14"/>
    </row>
    <row r="645" spans="1:2" x14ac:dyDescent="0.25">
      <c r="A645" s="13"/>
      <c r="B645" s="14"/>
    </row>
    <row r="646" spans="1:2" x14ac:dyDescent="0.25">
      <c r="A646" s="13"/>
      <c r="B646" s="14"/>
    </row>
    <row r="647" spans="1:2" x14ac:dyDescent="0.25">
      <c r="A647" s="13"/>
      <c r="B647" s="14"/>
    </row>
    <row r="648" spans="1:2" x14ac:dyDescent="0.25">
      <c r="A648" s="13"/>
      <c r="B648" s="14"/>
    </row>
    <row r="649" spans="1:2" x14ac:dyDescent="0.25">
      <c r="A649" s="13"/>
      <c r="B649" s="14"/>
    </row>
    <row r="650" spans="1:2" x14ac:dyDescent="0.25">
      <c r="A650" s="13"/>
      <c r="B650" s="14"/>
    </row>
    <row r="651" spans="1:2" x14ac:dyDescent="0.25">
      <c r="A651" s="13"/>
      <c r="B651" s="14"/>
    </row>
    <row r="652" spans="1:2" x14ac:dyDescent="0.25">
      <c r="A652" s="13"/>
      <c r="B652" s="14"/>
    </row>
    <row r="653" spans="1:2" x14ac:dyDescent="0.25">
      <c r="A653" s="13"/>
      <c r="B653" s="14"/>
    </row>
    <row r="654" spans="1:2" x14ac:dyDescent="0.25">
      <c r="A654" s="13"/>
      <c r="B654" s="14"/>
    </row>
    <row r="655" spans="1:2" x14ac:dyDescent="0.25">
      <c r="A655" s="13"/>
      <c r="B655" s="14"/>
    </row>
    <row r="656" spans="1:2" x14ac:dyDescent="0.25">
      <c r="A656" s="13"/>
      <c r="B656" s="14"/>
    </row>
    <row r="657" spans="1:2" x14ac:dyDescent="0.25">
      <c r="A657" s="13"/>
      <c r="B657" s="14"/>
    </row>
    <row r="658" spans="1:2" x14ac:dyDescent="0.25">
      <c r="A658" s="13"/>
      <c r="B658" s="14"/>
    </row>
    <row r="659" spans="1:2" x14ac:dyDescent="0.25">
      <c r="A659" s="13"/>
      <c r="B659" s="14"/>
    </row>
    <row r="660" spans="1:2" x14ac:dyDescent="0.25">
      <c r="A660" s="13"/>
      <c r="B660" s="14"/>
    </row>
    <row r="661" spans="1:2" x14ac:dyDescent="0.25">
      <c r="A661" s="13"/>
      <c r="B661" s="14"/>
    </row>
    <row r="662" spans="1:2" x14ac:dyDescent="0.25">
      <c r="A662" s="13"/>
      <c r="B662" s="14"/>
    </row>
    <row r="663" spans="1:2" x14ac:dyDescent="0.25">
      <c r="A663" s="13"/>
      <c r="B663" s="14"/>
    </row>
    <row r="664" spans="1:2" x14ac:dyDescent="0.25">
      <c r="A664" s="13"/>
      <c r="B664" s="14"/>
    </row>
    <row r="665" spans="1:2" x14ac:dyDescent="0.25">
      <c r="A665" s="13"/>
      <c r="B665" s="14"/>
    </row>
    <row r="666" spans="1:2" x14ac:dyDescent="0.25">
      <c r="A666" s="13"/>
      <c r="B666" s="14"/>
    </row>
    <row r="667" spans="1:2" x14ac:dyDescent="0.25">
      <c r="A667" s="13"/>
      <c r="B667" s="14"/>
    </row>
    <row r="668" spans="1:2" x14ac:dyDescent="0.25">
      <c r="A668" s="13"/>
      <c r="B668" s="14"/>
    </row>
    <row r="669" spans="1:2" x14ac:dyDescent="0.25">
      <c r="A669" s="13"/>
      <c r="B669" s="14"/>
    </row>
    <row r="670" spans="1:2" x14ac:dyDescent="0.25">
      <c r="A670" s="13"/>
      <c r="B670" s="14"/>
    </row>
    <row r="671" spans="1:2" x14ac:dyDescent="0.25">
      <c r="A671" s="13"/>
      <c r="B671" s="14"/>
    </row>
    <row r="672" spans="1:2" x14ac:dyDescent="0.25">
      <c r="A672" s="13"/>
      <c r="B672" s="14"/>
    </row>
    <row r="673" spans="1:2" x14ac:dyDescent="0.25">
      <c r="A673" s="13"/>
      <c r="B673" s="14"/>
    </row>
    <row r="674" spans="1:2" x14ac:dyDescent="0.25">
      <c r="A674" s="13"/>
      <c r="B674" s="14"/>
    </row>
    <row r="675" spans="1:2" x14ac:dyDescent="0.25">
      <c r="A675" s="13"/>
      <c r="B675" s="14"/>
    </row>
    <row r="676" spans="1:2" x14ac:dyDescent="0.25">
      <c r="A676" s="13"/>
      <c r="B676" s="14"/>
    </row>
    <row r="677" spans="1:2" x14ac:dyDescent="0.25">
      <c r="A677" s="13"/>
      <c r="B677" s="14"/>
    </row>
    <row r="678" spans="1:2" x14ac:dyDescent="0.25">
      <c r="A678" s="13"/>
      <c r="B678" s="14"/>
    </row>
    <row r="679" spans="1:2" x14ac:dyDescent="0.25">
      <c r="A679" s="13"/>
      <c r="B679" s="14"/>
    </row>
    <row r="680" spans="1:2" x14ac:dyDescent="0.25">
      <c r="A680" s="13"/>
      <c r="B680" s="14"/>
    </row>
    <row r="681" spans="1:2" x14ac:dyDescent="0.25">
      <c r="A681" s="13"/>
      <c r="B681" s="14"/>
    </row>
    <row r="682" spans="1:2" x14ac:dyDescent="0.25">
      <c r="A682" s="13"/>
      <c r="B682" s="14"/>
    </row>
    <row r="683" spans="1:2" x14ac:dyDescent="0.25">
      <c r="A683" s="13"/>
      <c r="B683" s="14"/>
    </row>
    <row r="684" spans="1:2" x14ac:dyDescent="0.25">
      <c r="A684" s="13"/>
      <c r="B684" s="14"/>
    </row>
    <row r="685" spans="1:2" x14ac:dyDescent="0.25">
      <c r="A685" s="13"/>
      <c r="B685" s="14"/>
    </row>
    <row r="686" spans="1:2" x14ac:dyDescent="0.25">
      <c r="A686" s="13"/>
      <c r="B686" s="14"/>
    </row>
    <row r="687" spans="1:2" x14ac:dyDescent="0.25">
      <c r="A687" s="13"/>
      <c r="B687" s="14"/>
    </row>
    <row r="688" spans="1:2" x14ac:dyDescent="0.25">
      <c r="A688" s="13"/>
      <c r="B688" s="14"/>
    </row>
    <row r="689" spans="1:2" x14ac:dyDescent="0.25">
      <c r="A689" s="13"/>
      <c r="B689" s="14"/>
    </row>
    <row r="690" spans="1:2" x14ac:dyDescent="0.25">
      <c r="A690" s="13"/>
      <c r="B690" s="14"/>
    </row>
    <row r="691" spans="1:2" x14ac:dyDescent="0.25">
      <c r="A691" s="13"/>
      <c r="B691" s="14"/>
    </row>
    <row r="692" spans="1:2" x14ac:dyDescent="0.25">
      <c r="A692" s="13"/>
      <c r="B692" s="14"/>
    </row>
    <row r="693" spans="1:2" x14ac:dyDescent="0.25">
      <c r="A693" s="13"/>
      <c r="B693" s="14"/>
    </row>
    <row r="694" spans="1:2" x14ac:dyDescent="0.25">
      <c r="A694" s="13"/>
      <c r="B694" s="14"/>
    </row>
    <row r="695" spans="1:2" x14ac:dyDescent="0.25">
      <c r="A695" s="13"/>
      <c r="B695" s="14"/>
    </row>
    <row r="696" spans="1:2" x14ac:dyDescent="0.25">
      <c r="A696" s="13"/>
      <c r="B696" s="14"/>
    </row>
    <row r="697" spans="1:2" x14ac:dyDescent="0.25">
      <c r="A697" s="13"/>
      <c r="B697" s="14"/>
    </row>
    <row r="698" spans="1:2" x14ac:dyDescent="0.25">
      <c r="A698" s="13"/>
      <c r="B698" s="14"/>
    </row>
    <row r="699" spans="1:2" x14ac:dyDescent="0.25">
      <c r="A699" s="13"/>
      <c r="B699" s="14"/>
    </row>
    <row r="700" spans="1:2" x14ac:dyDescent="0.25">
      <c r="A700" s="13"/>
      <c r="B700" s="14"/>
    </row>
    <row r="701" spans="1:2" x14ac:dyDescent="0.25">
      <c r="A701" s="13"/>
      <c r="B701" s="14"/>
    </row>
    <row r="702" spans="1:2" x14ac:dyDescent="0.25">
      <c r="A702" s="13"/>
      <c r="B702" s="14"/>
    </row>
    <row r="703" spans="1:2" x14ac:dyDescent="0.25">
      <c r="A703" s="13"/>
      <c r="B703" s="14"/>
    </row>
    <row r="704" spans="1:2" x14ac:dyDescent="0.25">
      <c r="A704" s="13"/>
      <c r="B704" s="14"/>
    </row>
    <row r="705" spans="1:2" x14ac:dyDescent="0.25">
      <c r="A705" s="13"/>
      <c r="B705" s="14"/>
    </row>
    <row r="706" spans="1:2" x14ac:dyDescent="0.25">
      <c r="A706" s="13"/>
      <c r="B706" s="14"/>
    </row>
    <row r="707" spans="1:2" x14ac:dyDescent="0.25">
      <c r="A707" s="13"/>
      <c r="B707" s="14"/>
    </row>
    <row r="708" spans="1:2" x14ac:dyDescent="0.25">
      <c r="A708" s="13"/>
      <c r="B708" s="14"/>
    </row>
    <row r="709" spans="1:2" x14ac:dyDescent="0.25">
      <c r="A709" s="13"/>
      <c r="B709" s="14"/>
    </row>
    <row r="710" spans="1:2" x14ac:dyDescent="0.25">
      <c r="A710" s="13"/>
      <c r="B710" s="14"/>
    </row>
    <row r="711" spans="1:2" x14ac:dyDescent="0.25">
      <c r="A711" s="13"/>
      <c r="B711" s="14"/>
    </row>
    <row r="712" spans="1:2" x14ac:dyDescent="0.25">
      <c r="A712" s="13"/>
      <c r="B712" s="14"/>
    </row>
    <row r="713" spans="1:2" x14ac:dyDescent="0.25">
      <c r="A713" s="13"/>
      <c r="B713" s="14"/>
    </row>
    <row r="714" spans="1:2" x14ac:dyDescent="0.25">
      <c r="A714" s="13"/>
      <c r="B714" s="14"/>
    </row>
    <row r="715" spans="1:2" x14ac:dyDescent="0.25">
      <c r="A715" s="13"/>
      <c r="B715" s="14"/>
    </row>
    <row r="716" spans="1:2" x14ac:dyDescent="0.25">
      <c r="A716" s="13"/>
      <c r="B716" s="14"/>
    </row>
    <row r="717" spans="1:2" x14ac:dyDescent="0.25">
      <c r="A717" s="13"/>
      <c r="B717" s="14"/>
    </row>
    <row r="718" spans="1:2" x14ac:dyDescent="0.25">
      <c r="A718" s="13"/>
      <c r="B718" s="14"/>
    </row>
    <row r="719" spans="1:2" x14ac:dyDescent="0.25">
      <c r="A719" s="13"/>
      <c r="B719" s="14"/>
    </row>
    <row r="720" spans="1:2" x14ac:dyDescent="0.25">
      <c r="A720" s="13"/>
      <c r="B720" s="14"/>
    </row>
    <row r="721" spans="1:2" x14ac:dyDescent="0.25">
      <c r="A721" s="13"/>
      <c r="B721" s="14"/>
    </row>
    <row r="722" spans="1:2" x14ac:dyDescent="0.25">
      <c r="A722" s="13"/>
      <c r="B722" s="14"/>
    </row>
    <row r="723" spans="1:2" x14ac:dyDescent="0.25">
      <c r="A723" s="13"/>
      <c r="B723" s="14"/>
    </row>
    <row r="724" spans="1:2" x14ac:dyDescent="0.25">
      <c r="A724" s="13"/>
      <c r="B724" s="14"/>
    </row>
    <row r="725" spans="1:2" x14ac:dyDescent="0.25">
      <c r="A725" s="13"/>
      <c r="B725" s="14"/>
    </row>
    <row r="726" spans="1:2" x14ac:dyDescent="0.25">
      <c r="A726" s="13"/>
      <c r="B726" s="14"/>
    </row>
    <row r="727" spans="1:2" x14ac:dyDescent="0.25">
      <c r="A727" s="13"/>
      <c r="B727" s="14"/>
    </row>
    <row r="728" spans="1:2" x14ac:dyDescent="0.25">
      <c r="A728" s="13"/>
      <c r="B728" s="14"/>
    </row>
    <row r="729" spans="1:2" x14ac:dyDescent="0.25">
      <c r="A729" s="13"/>
      <c r="B729" s="14"/>
    </row>
    <row r="730" spans="1:2" x14ac:dyDescent="0.25">
      <c r="A730" s="13"/>
      <c r="B730" s="14"/>
    </row>
    <row r="731" spans="1:2" x14ac:dyDescent="0.25">
      <c r="A731" s="13"/>
      <c r="B731" s="14"/>
    </row>
    <row r="732" spans="1:2" x14ac:dyDescent="0.25">
      <c r="A732" s="13"/>
      <c r="B732" s="14"/>
    </row>
    <row r="733" spans="1:2" x14ac:dyDescent="0.25">
      <c r="A733" s="13"/>
      <c r="B733" s="14"/>
    </row>
    <row r="734" spans="1:2" x14ac:dyDescent="0.25">
      <c r="A734" s="13"/>
      <c r="B734" s="14"/>
    </row>
    <row r="735" spans="1:2" x14ac:dyDescent="0.25">
      <c r="A735" s="13"/>
      <c r="B735" s="14"/>
    </row>
    <row r="736" spans="1:2" x14ac:dyDescent="0.25">
      <c r="A736" s="13"/>
      <c r="B736" s="14"/>
    </row>
    <row r="737" spans="1:2" x14ac:dyDescent="0.25">
      <c r="A737" s="13"/>
      <c r="B737" s="14"/>
    </row>
    <row r="738" spans="1:2" x14ac:dyDescent="0.25">
      <c r="A738" s="13"/>
      <c r="B738" s="14"/>
    </row>
    <row r="739" spans="1:2" x14ac:dyDescent="0.25">
      <c r="A739" s="13"/>
      <c r="B739" s="14"/>
    </row>
    <row r="740" spans="1:2" x14ac:dyDescent="0.25">
      <c r="A740" s="13"/>
      <c r="B740" s="14"/>
    </row>
    <row r="741" spans="1:2" x14ac:dyDescent="0.25">
      <c r="A741" s="13"/>
      <c r="B741" s="14"/>
    </row>
    <row r="742" spans="1:2" x14ac:dyDescent="0.25">
      <c r="A742" s="13"/>
      <c r="B742" s="14"/>
    </row>
    <row r="743" spans="1:2" x14ac:dyDescent="0.25">
      <c r="A743" s="13"/>
      <c r="B743" s="14"/>
    </row>
    <row r="744" spans="1:2" x14ac:dyDescent="0.25">
      <c r="A744" s="13"/>
      <c r="B744" s="14"/>
    </row>
    <row r="745" spans="1:2" x14ac:dyDescent="0.25">
      <c r="A745" s="13"/>
      <c r="B745" s="14"/>
    </row>
    <row r="746" spans="1:2" x14ac:dyDescent="0.25">
      <c r="A746" s="13"/>
      <c r="B746" s="14"/>
    </row>
    <row r="747" spans="1:2" x14ac:dyDescent="0.25">
      <c r="A747" s="13"/>
      <c r="B747" s="14"/>
    </row>
    <row r="748" spans="1:2" x14ac:dyDescent="0.25">
      <c r="A748" s="13"/>
      <c r="B748" s="14"/>
    </row>
    <row r="749" spans="1:2" x14ac:dyDescent="0.25">
      <c r="A749" s="13"/>
      <c r="B749" s="14"/>
    </row>
    <row r="750" spans="1:2" x14ac:dyDescent="0.25">
      <c r="A750" s="13"/>
      <c r="B750" s="14"/>
    </row>
    <row r="751" spans="1:2" x14ac:dyDescent="0.25">
      <c r="A751" s="13"/>
      <c r="B751" s="14"/>
    </row>
    <row r="752" spans="1:2" x14ac:dyDescent="0.25">
      <c r="A752" s="13"/>
      <c r="B752" s="14"/>
    </row>
    <row r="753" spans="1:2" x14ac:dyDescent="0.25">
      <c r="A753" s="13"/>
      <c r="B753" s="14"/>
    </row>
    <row r="754" spans="1:2" x14ac:dyDescent="0.25">
      <c r="A754" s="13"/>
      <c r="B754" s="14"/>
    </row>
    <row r="755" spans="1:2" x14ac:dyDescent="0.25">
      <c r="A755" s="13"/>
      <c r="B755" s="14"/>
    </row>
    <row r="756" spans="1:2" x14ac:dyDescent="0.25">
      <c r="A756" s="13"/>
      <c r="B756" s="14"/>
    </row>
    <row r="757" spans="1:2" x14ac:dyDescent="0.25">
      <c r="A757" s="13"/>
      <c r="B757" s="14"/>
    </row>
    <row r="758" spans="1:2" x14ac:dyDescent="0.25">
      <c r="A758" s="13"/>
      <c r="B758" s="14"/>
    </row>
    <row r="759" spans="1:2" x14ac:dyDescent="0.25">
      <c r="A759" s="13"/>
      <c r="B759" s="14"/>
    </row>
    <row r="760" spans="1:2" x14ac:dyDescent="0.25">
      <c r="A760" s="13"/>
      <c r="B760" s="14"/>
    </row>
    <row r="761" spans="1:2" x14ac:dyDescent="0.25">
      <c r="A761" s="13"/>
      <c r="B761" s="14"/>
    </row>
    <row r="762" spans="1:2" x14ac:dyDescent="0.25">
      <c r="A762" s="13"/>
      <c r="B762" s="14"/>
    </row>
    <row r="763" spans="1:2" x14ac:dyDescent="0.25">
      <c r="A763" s="13"/>
      <c r="B763" s="14"/>
    </row>
    <row r="764" spans="1:2" x14ac:dyDescent="0.25">
      <c r="A764" s="13"/>
      <c r="B764" s="14"/>
    </row>
    <row r="765" spans="1:2" x14ac:dyDescent="0.25">
      <c r="A765" s="13"/>
      <c r="B765" s="14"/>
    </row>
    <row r="766" spans="1:2" x14ac:dyDescent="0.25">
      <c r="A766" s="13"/>
      <c r="B766" s="14"/>
    </row>
    <row r="767" spans="1:2" x14ac:dyDescent="0.25">
      <c r="A767" s="13"/>
      <c r="B767" s="14"/>
    </row>
    <row r="768" spans="1:2" x14ac:dyDescent="0.25">
      <c r="A768" s="13"/>
      <c r="B768" s="14"/>
    </row>
    <row r="769" spans="1:2" x14ac:dyDescent="0.25">
      <c r="A769" s="13"/>
      <c r="B769" s="14"/>
    </row>
    <row r="770" spans="1:2" x14ac:dyDescent="0.25">
      <c r="A770" s="13"/>
      <c r="B770" s="14"/>
    </row>
    <row r="771" spans="1:2" x14ac:dyDescent="0.25">
      <c r="A771" s="13"/>
      <c r="B771" s="14"/>
    </row>
    <row r="772" spans="1:2" x14ac:dyDescent="0.25">
      <c r="A772" s="13"/>
      <c r="B772" s="14"/>
    </row>
    <row r="773" spans="1:2" x14ac:dyDescent="0.25">
      <c r="A773" s="13"/>
      <c r="B773" s="14"/>
    </row>
    <row r="774" spans="1:2" x14ac:dyDescent="0.25">
      <c r="A774" s="13"/>
      <c r="B774" s="14"/>
    </row>
    <row r="775" spans="1:2" x14ac:dyDescent="0.25">
      <c r="A775" s="13"/>
      <c r="B775" s="14"/>
    </row>
    <row r="776" spans="1:2" x14ac:dyDescent="0.25">
      <c r="A776" s="13"/>
      <c r="B776" s="14"/>
    </row>
    <row r="777" spans="1:2" x14ac:dyDescent="0.25">
      <c r="A777" s="13"/>
      <c r="B777" s="14"/>
    </row>
    <row r="778" spans="1:2" x14ac:dyDescent="0.25">
      <c r="A778" s="13"/>
      <c r="B778" s="14"/>
    </row>
    <row r="779" spans="1:2" x14ac:dyDescent="0.25">
      <c r="A779" s="13"/>
      <c r="B779" s="14"/>
    </row>
    <row r="780" spans="1:2" x14ac:dyDescent="0.25">
      <c r="A780" s="13"/>
      <c r="B780" s="14"/>
    </row>
    <row r="781" spans="1:2" x14ac:dyDescent="0.25">
      <c r="A781" s="13"/>
      <c r="B781" s="14"/>
    </row>
    <row r="782" spans="1:2" x14ac:dyDescent="0.25">
      <c r="A782" s="13"/>
      <c r="B782" s="14"/>
    </row>
    <row r="783" spans="1:2" x14ac:dyDescent="0.25">
      <c r="A783" s="13"/>
      <c r="B783" s="14"/>
    </row>
    <row r="784" spans="1:2" x14ac:dyDescent="0.25">
      <c r="A784" s="13"/>
      <c r="B784" s="14"/>
    </row>
    <row r="785" spans="1:2" x14ac:dyDescent="0.25">
      <c r="A785" s="13"/>
      <c r="B785" s="14"/>
    </row>
    <row r="786" spans="1:2" x14ac:dyDescent="0.25">
      <c r="A786" s="13"/>
      <c r="B786" s="14"/>
    </row>
    <row r="787" spans="1:2" x14ac:dyDescent="0.25">
      <c r="A787" s="13"/>
      <c r="B787" s="14"/>
    </row>
    <row r="788" spans="1:2" x14ac:dyDescent="0.25">
      <c r="A788" s="13"/>
      <c r="B788" s="14"/>
    </row>
    <row r="789" spans="1:2" x14ac:dyDescent="0.25">
      <c r="A789" s="13"/>
      <c r="B789" s="14"/>
    </row>
    <row r="790" spans="1:2" x14ac:dyDescent="0.25">
      <c r="A790" s="13"/>
      <c r="B790" s="14"/>
    </row>
    <row r="791" spans="1:2" x14ac:dyDescent="0.25">
      <c r="A791" s="13"/>
      <c r="B791" s="14"/>
    </row>
    <row r="792" spans="1:2" x14ac:dyDescent="0.25">
      <c r="A792" s="13"/>
      <c r="B792" s="14"/>
    </row>
    <row r="793" spans="1:2" x14ac:dyDescent="0.25">
      <c r="A793" s="13"/>
      <c r="B793" s="14"/>
    </row>
    <row r="794" spans="1:2" x14ac:dyDescent="0.25">
      <c r="A794" s="13"/>
      <c r="B794" s="14"/>
    </row>
    <row r="795" spans="1:2" x14ac:dyDescent="0.25">
      <c r="A795" s="13"/>
      <c r="B795" s="14"/>
    </row>
    <row r="796" spans="1:2" x14ac:dyDescent="0.25">
      <c r="A796" s="13"/>
      <c r="B796" s="14"/>
    </row>
    <row r="797" spans="1:2" x14ac:dyDescent="0.25">
      <c r="A797" s="13"/>
      <c r="B797" s="14"/>
    </row>
    <row r="798" spans="1:2" x14ac:dyDescent="0.25">
      <c r="A798" s="13"/>
      <c r="B798" s="14"/>
    </row>
    <row r="799" spans="1:2" x14ac:dyDescent="0.25">
      <c r="A799" s="13"/>
      <c r="B799" s="14"/>
    </row>
    <row r="800" spans="1:2" x14ac:dyDescent="0.25">
      <c r="A800" s="13"/>
      <c r="B800" s="14"/>
    </row>
    <row r="801" spans="1:2" x14ac:dyDescent="0.25">
      <c r="A801" s="13"/>
      <c r="B801" s="14"/>
    </row>
    <row r="802" spans="1:2" x14ac:dyDescent="0.25">
      <c r="A802" s="13"/>
      <c r="B802" s="14"/>
    </row>
    <row r="803" spans="1:2" x14ac:dyDescent="0.25">
      <c r="A803" s="13"/>
      <c r="B803" s="14"/>
    </row>
    <row r="804" spans="1:2" x14ac:dyDescent="0.25">
      <c r="A804" s="13"/>
      <c r="B804" s="14"/>
    </row>
    <row r="805" spans="1:2" x14ac:dyDescent="0.25">
      <c r="A805" s="13"/>
      <c r="B805" s="14"/>
    </row>
    <row r="806" spans="1:2" x14ac:dyDescent="0.25">
      <c r="A806" s="13"/>
      <c r="B806" s="14"/>
    </row>
    <row r="807" spans="1:2" x14ac:dyDescent="0.25">
      <c r="A807" s="13"/>
      <c r="B807" s="14"/>
    </row>
    <row r="808" spans="1:2" x14ac:dyDescent="0.25">
      <c r="A808" s="13"/>
      <c r="B808" s="14"/>
    </row>
    <row r="809" spans="1:2" x14ac:dyDescent="0.25">
      <c r="A809" s="13"/>
      <c r="B809" s="14"/>
    </row>
    <row r="810" spans="1:2" x14ac:dyDescent="0.25">
      <c r="A810" s="13"/>
      <c r="B810" s="14"/>
    </row>
    <row r="811" spans="1:2" x14ac:dyDescent="0.25">
      <c r="A811" s="13"/>
      <c r="B811" s="14"/>
    </row>
    <row r="812" spans="1:2" x14ac:dyDescent="0.25">
      <c r="A812" s="13"/>
      <c r="B812" s="14"/>
    </row>
    <row r="813" spans="1:2" x14ac:dyDescent="0.25">
      <c r="A813" s="13"/>
      <c r="B813" s="14"/>
    </row>
    <row r="814" spans="1:2" x14ac:dyDescent="0.25">
      <c r="A814" s="13"/>
      <c r="B814" s="14"/>
    </row>
    <row r="815" spans="1:2" x14ac:dyDescent="0.25">
      <c r="A815" s="13"/>
      <c r="B815" s="14"/>
    </row>
    <row r="816" spans="1:2" x14ac:dyDescent="0.25">
      <c r="A816" s="13"/>
      <c r="B816" s="14"/>
    </row>
    <row r="817" spans="1:2" x14ac:dyDescent="0.25">
      <c r="A817" s="13"/>
      <c r="B817" s="14"/>
    </row>
    <row r="818" spans="1:2" x14ac:dyDescent="0.25">
      <c r="A818" s="13"/>
      <c r="B818" s="14"/>
    </row>
    <row r="819" spans="1:2" x14ac:dyDescent="0.25">
      <c r="A819" s="13"/>
      <c r="B819" s="14"/>
    </row>
    <row r="820" spans="1:2" x14ac:dyDescent="0.25">
      <c r="A820" s="13"/>
      <c r="B820" s="14"/>
    </row>
    <row r="821" spans="1:2" x14ac:dyDescent="0.25">
      <c r="A821" s="13"/>
      <c r="B821" s="14"/>
    </row>
    <row r="822" spans="1:2" x14ac:dyDescent="0.25">
      <c r="A822" s="13"/>
      <c r="B822" s="14"/>
    </row>
    <row r="823" spans="1:2" x14ac:dyDescent="0.25">
      <c r="A823" s="13"/>
      <c r="B823" s="14"/>
    </row>
    <row r="824" spans="1:2" x14ac:dyDescent="0.25">
      <c r="A824" s="13"/>
      <c r="B824" s="14"/>
    </row>
    <row r="825" spans="1:2" x14ac:dyDescent="0.25">
      <c r="A825" s="13"/>
      <c r="B825" s="14"/>
    </row>
    <row r="826" spans="1:2" x14ac:dyDescent="0.25">
      <c r="A826" s="13"/>
      <c r="B826" s="14"/>
    </row>
    <row r="827" spans="1:2" x14ac:dyDescent="0.25">
      <c r="A827" s="13"/>
      <c r="B827" s="14"/>
    </row>
    <row r="828" spans="1:2" x14ac:dyDescent="0.25">
      <c r="A828" s="13"/>
      <c r="B828" s="14"/>
    </row>
    <row r="829" spans="1:2" x14ac:dyDescent="0.25">
      <c r="A829" s="13"/>
      <c r="B829" s="14"/>
    </row>
    <row r="830" spans="1:2" x14ac:dyDescent="0.25">
      <c r="A830" s="13"/>
      <c r="B830" s="14"/>
    </row>
    <row r="831" spans="1:2" x14ac:dyDescent="0.25">
      <c r="A831" s="13"/>
      <c r="B831" s="14"/>
    </row>
    <row r="832" spans="1:2" x14ac:dyDescent="0.25">
      <c r="A832" s="13"/>
      <c r="B832" s="14"/>
    </row>
    <row r="833" spans="1:2" x14ac:dyDescent="0.25">
      <c r="A833" s="13"/>
      <c r="B833" s="14"/>
    </row>
    <row r="834" spans="1:2" x14ac:dyDescent="0.25">
      <c r="A834" s="13"/>
      <c r="B834" s="14"/>
    </row>
    <row r="835" spans="1:2" x14ac:dyDescent="0.25">
      <c r="A835" s="13"/>
      <c r="B835" s="14"/>
    </row>
    <row r="836" spans="1:2" x14ac:dyDescent="0.25">
      <c r="A836" s="13"/>
      <c r="B836" s="14"/>
    </row>
    <row r="837" spans="1:2" x14ac:dyDescent="0.25">
      <c r="A837" s="13"/>
      <c r="B837" s="14"/>
    </row>
    <row r="838" spans="1:2" x14ac:dyDescent="0.25">
      <c r="A838" s="13"/>
      <c r="B838" s="14"/>
    </row>
    <row r="839" spans="1:2" x14ac:dyDescent="0.25">
      <c r="A839" s="13"/>
      <c r="B839" s="14"/>
    </row>
    <row r="840" spans="1:2" x14ac:dyDescent="0.25">
      <c r="A840" s="13"/>
      <c r="B840" s="14"/>
    </row>
    <row r="841" spans="1:2" x14ac:dyDescent="0.25">
      <c r="A841" s="13"/>
      <c r="B841" s="14"/>
    </row>
    <row r="842" spans="1:2" x14ac:dyDescent="0.25">
      <c r="A842" s="13"/>
      <c r="B842" s="14"/>
    </row>
    <row r="843" spans="1:2" x14ac:dyDescent="0.25">
      <c r="A843" s="13"/>
      <c r="B843" s="14"/>
    </row>
    <row r="844" spans="1:2" x14ac:dyDescent="0.25">
      <c r="A844" s="13"/>
      <c r="B844" s="14"/>
    </row>
    <row r="845" spans="1:2" x14ac:dyDescent="0.25">
      <c r="A845" s="13"/>
      <c r="B845" s="14"/>
    </row>
    <row r="846" spans="1:2" x14ac:dyDescent="0.25">
      <c r="A846" s="13"/>
      <c r="B846" s="14"/>
    </row>
    <row r="847" spans="1:2" x14ac:dyDescent="0.25">
      <c r="A847" s="13"/>
      <c r="B847" s="14"/>
    </row>
    <row r="848" spans="1:2" x14ac:dyDescent="0.25">
      <c r="A848" s="13"/>
      <c r="B848" s="14"/>
    </row>
    <row r="849" spans="1:2" x14ac:dyDescent="0.25">
      <c r="A849" s="13"/>
      <c r="B849" s="14"/>
    </row>
    <row r="850" spans="1:2" x14ac:dyDescent="0.25">
      <c r="A850" s="13"/>
      <c r="B850" s="14"/>
    </row>
    <row r="851" spans="1:2" x14ac:dyDescent="0.25">
      <c r="A851" s="13"/>
      <c r="B851" s="14"/>
    </row>
    <row r="852" spans="1:2" x14ac:dyDescent="0.25">
      <c r="A852" s="13"/>
      <c r="B852" s="14"/>
    </row>
    <row r="853" spans="1:2" x14ac:dyDescent="0.25">
      <c r="A853" s="13"/>
      <c r="B853" s="14"/>
    </row>
    <row r="854" spans="1:2" x14ac:dyDescent="0.25">
      <c r="A854" s="13"/>
      <c r="B854" s="14"/>
    </row>
    <row r="855" spans="1:2" x14ac:dyDescent="0.25">
      <c r="A855" s="13"/>
      <c r="B855" s="14"/>
    </row>
    <row r="856" spans="1:2" x14ac:dyDescent="0.25">
      <c r="A856" s="13"/>
      <c r="B856" s="14"/>
    </row>
    <row r="857" spans="1:2" x14ac:dyDescent="0.25">
      <c r="A857" s="13"/>
      <c r="B857" s="14"/>
    </row>
    <row r="858" spans="1:2" x14ac:dyDescent="0.25">
      <c r="A858" s="13"/>
      <c r="B858" s="14"/>
    </row>
    <row r="859" spans="1:2" x14ac:dyDescent="0.25">
      <c r="A859" s="13"/>
      <c r="B859" s="14"/>
    </row>
    <row r="860" spans="1:2" x14ac:dyDescent="0.25">
      <c r="A860" s="13"/>
      <c r="B860" s="14"/>
    </row>
    <row r="861" spans="1:2" x14ac:dyDescent="0.25">
      <c r="A861" s="13"/>
      <c r="B861" s="14"/>
    </row>
    <row r="862" spans="1:2" x14ac:dyDescent="0.25">
      <c r="A862" s="13"/>
      <c r="B862" s="14"/>
    </row>
    <row r="863" spans="1:2" x14ac:dyDescent="0.25">
      <c r="A863" s="13"/>
      <c r="B863" s="14"/>
    </row>
    <row r="864" spans="1:2" x14ac:dyDescent="0.25">
      <c r="A864" s="13"/>
      <c r="B864" s="14"/>
    </row>
    <row r="865" spans="1:2" x14ac:dyDescent="0.25">
      <c r="A865" s="13"/>
      <c r="B865" s="14"/>
    </row>
    <row r="866" spans="1:2" x14ac:dyDescent="0.25">
      <c r="A866" s="13"/>
      <c r="B866" s="14"/>
    </row>
    <row r="867" spans="1:2" x14ac:dyDescent="0.25">
      <c r="A867" s="13"/>
      <c r="B867" s="14"/>
    </row>
    <row r="868" spans="1:2" x14ac:dyDescent="0.25">
      <c r="A868" s="13"/>
      <c r="B868" s="14"/>
    </row>
    <row r="869" spans="1:2" x14ac:dyDescent="0.25">
      <c r="A869" s="13"/>
      <c r="B869" s="14"/>
    </row>
    <row r="870" spans="1:2" x14ac:dyDescent="0.25">
      <c r="A870" s="13"/>
      <c r="B870" s="14"/>
    </row>
    <row r="871" spans="1:2" x14ac:dyDescent="0.25">
      <c r="A871" s="13"/>
      <c r="B871" s="14"/>
    </row>
    <row r="872" spans="1:2" x14ac:dyDescent="0.25">
      <c r="A872" s="13"/>
      <c r="B872" s="14"/>
    </row>
    <row r="873" spans="1:2" x14ac:dyDescent="0.25">
      <c r="A873" s="13"/>
      <c r="B873" s="14"/>
    </row>
    <row r="874" spans="1:2" x14ac:dyDescent="0.25">
      <c r="A874" s="13"/>
      <c r="B874" s="14"/>
    </row>
    <row r="875" spans="1:2" x14ac:dyDescent="0.25">
      <c r="A875" s="13"/>
      <c r="B875" s="14"/>
    </row>
    <row r="876" spans="1:2" x14ac:dyDescent="0.25">
      <c r="A876" s="13"/>
      <c r="B876" s="14"/>
    </row>
    <row r="877" spans="1:2" x14ac:dyDescent="0.25">
      <c r="A877" s="13"/>
      <c r="B877" s="14"/>
    </row>
    <row r="878" spans="1:2" x14ac:dyDescent="0.25">
      <c r="A878" s="13"/>
      <c r="B878" s="14"/>
    </row>
    <row r="879" spans="1:2" x14ac:dyDescent="0.25">
      <c r="A879" s="13"/>
      <c r="B879" s="14"/>
    </row>
    <row r="880" spans="1:2" x14ac:dyDescent="0.25">
      <c r="A880" s="13"/>
      <c r="B880" s="14"/>
    </row>
    <row r="881" spans="1:2" x14ac:dyDescent="0.25">
      <c r="A881" s="13"/>
      <c r="B881" s="14"/>
    </row>
    <row r="882" spans="1:2" x14ac:dyDescent="0.25">
      <c r="A882" s="13"/>
      <c r="B882" s="14"/>
    </row>
    <row r="883" spans="1:2" x14ac:dyDescent="0.25">
      <c r="A883" s="13"/>
      <c r="B883" s="14"/>
    </row>
    <row r="884" spans="1:2" x14ac:dyDescent="0.25">
      <c r="A884" s="13"/>
      <c r="B884" s="14"/>
    </row>
    <row r="885" spans="1:2" x14ac:dyDescent="0.25">
      <c r="A885" s="13"/>
      <c r="B885" s="14"/>
    </row>
    <row r="886" spans="1:2" x14ac:dyDescent="0.25">
      <c r="A886" s="13"/>
      <c r="B886" s="14"/>
    </row>
    <row r="887" spans="1:2" x14ac:dyDescent="0.25">
      <c r="A887" s="13"/>
      <c r="B887" s="14"/>
    </row>
    <row r="888" spans="1:2" x14ac:dyDescent="0.25">
      <c r="A888" s="13"/>
      <c r="B888" s="14"/>
    </row>
    <row r="889" spans="1:2" x14ac:dyDescent="0.25">
      <c r="A889" s="13"/>
      <c r="B889" s="14"/>
    </row>
    <row r="890" spans="1:2" x14ac:dyDescent="0.25">
      <c r="A890" s="13"/>
      <c r="B890" s="14"/>
    </row>
    <row r="891" spans="1:2" x14ac:dyDescent="0.25">
      <c r="A891" s="13"/>
      <c r="B891" s="14"/>
    </row>
    <row r="892" spans="1:2" x14ac:dyDescent="0.25">
      <c r="A892" s="13"/>
      <c r="B892" s="14"/>
    </row>
    <row r="893" spans="1:2" x14ac:dyDescent="0.25">
      <c r="A893" s="13"/>
      <c r="B893" s="14"/>
    </row>
    <row r="894" spans="1:2" x14ac:dyDescent="0.25">
      <c r="A894" s="13"/>
      <c r="B894" s="14"/>
    </row>
    <row r="895" spans="1:2" x14ac:dyDescent="0.25">
      <c r="A895" s="13"/>
      <c r="B895" s="14"/>
    </row>
    <row r="896" spans="1:2" x14ac:dyDescent="0.25">
      <c r="A896" s="13"/>
      <c r="B896" s="14"/>
    </row>
    <row r="897" spans="1:2" x14ac:dyDescent="0.25">
      <c r="A897" s="13"/>
      <c r="B897" s="14"/>
    </row>
    <row r="898" spans="1:2" x14ac:dyDescent="0.25">
      <c r="A898" s="13"/>
      <c r="B898" s="14"/>
    </row>
    <row r="899" spans="1:2" x14ac:dyDescent="0.25">
      <c r="A899" s="13"/>
      <c r="B899" s="14"/>
    </row>
    <row r="900" spans="1:2" x14ac:dyDescent="0.25">
      <c r="A900" s="13"/>
      <c r="B900" s="14"/>
    </row>
    <row r="901" spans="1:2" x14ac:dyDescent="0.25">
      <c r="A901" s="13"/>
      <c r="B901" s="14"/>
    </row>
    <row r="902" spans="1:2" x14ac:dyDescent="0.25">
      <c r="A902" s="13"/>
      <c r="B902" s="14"/>
    </row>
    <row r="903" spans="1:2" x14ac:dyDescent="0.25">
      <c r="A903" s="13"/>
      <c r="B903" s="14"/>
    </row>
    <row r="904" spans="1:2" x14ac:dyDescent="0.25">
      <c r="A904" s="13"/>
      <c r="B904" s="14"/>
    </row>
    <row r="905" spans="1:2" x14ac:dyDescent="0.25">
      <c r="A905" s="13"/>
      <c r="B905" s="14"/>
    </row>
    <row r="906" spans="1:2" x14ac:dyDescent="0.25">
      <c r="A906" s="13"/>
      <c r="B906" s="14"/>
    </row>
    <row r="907" spans="1:2" x14ac:dyDescent="0.25">
      <c r="A907" s="13"/>
      <c r="B907" s="14"/>
    </row>
    <row r="908" spans="1:2" x14ac:dyDescent="0.25">
      <c r="A908" s="13"/>
      <c r="B908" s="14"/>
    </row>
    <row r="909" spans="1:2" x14ac:dyDescent="0.25">
      <c r="A909" s="13"/>
      <c r="B909" s="14"/>
    </row>
    <row r="910" spans="1:2" x14ac:dyDescent="0.25">
      <c r="A910" s="13"/>
      <c r="B910" s="14"/>
    </row>
    <row r="911" spans="1:2" x14ac:dyDescent="0.25">
      <c r="A911" s="13"/>
      <c r="B911" s="14"/>
    </row>
    <row r="912" spans="1:2" x14ac:dyDescent="0.25">
      <c r="A912" s="13"/>
      <c r="B912" s="14"/>
    </row>
    <row r="913" spans="1:2" x14ac:dyDescent="0.25">
      <c r="A913" s="13"/>
      <c r="B913" s="14"/>
    </row>
    <row r="914" spans="1:2" x14ac:dyDescent="0.25">
      <c r="A914" s="13"/>
      <c r="B914" s="14"/>
    </row>
    <row r="915" spans="1:2" x14ac:dyDescent="0.25">
      <c r="A915" s="13"/>
      <c r="B915" s="14"/>
    </row>
    <row r="916" spans="1:2" x14ac:dyDescent="0.25">
      <c r="A916" s="13"/>
      <c r="B916" s="14"/>
    </row>
    <row r="917" spans="1:2" x14ac:dyDescent="0.25">
      <c r="A917" s="13"/>
      <c r="B917" s="14"/>
    </row>
    <row r="918" spans="1:2" x14ac:dyDescent="0.25">
      <c r="A918" s="13"/>
      <c r="B918" s="14"/>
    </row>
    <row r="919" spans="1:2" x14ac:dyDescent="0.25">
      <c r="A919" s="13"/>
      <c r="B919" s="14"/>
    </row>
    <row r="920" spans="1:2" x14ac:dyDescent="0.25">
      <c r="A920" s="13"/>
      <c r="B920" s="14"/>
    </row>
    <row r="921" spans="1:2" x14ac:dyDescent="0.25">
      <c r="A921" s="13"/>
      <c r="B921" s="14"/>
    </row>
    <row r="922" spans="1:2" x14ac:dyDescent="0.25">
      <c r="A922" s="13"/>
      <c r="B922" s="14"/>
    </row>
    <row r="923" spans="1:2" x14ac:dyDescent="0.25">
      <c r="A923" s="13"/>
      <c r="B923" s="14"/>
    </row>
    <row r="924" spans="1:2" x14ac:dyDescent="0.25">
      <c r="A924" s="13"/>
      <c r="B924" s="14"/>
    </row>
    <row r="925" spans="1:2" x14ac:dyDescent="0.25">
      <c r="A925" s="13"/>
      <c r="B925" s="14"/>
    </row>
    <row r="926" spans="1:2" x14ac:dyDescent="0.25">
      <c r="A926" s="13"/>
      <c r="B926" s="14"/>
    </row>
    <row r="927" spans="1:2" x14ac:dyDescent="0.25">
      <c r="A927" s="13"/>
      <c r="B927" s="14"/>
    </row>
    <row r="928" spans="1:2" x14ac:dyDescent="0.25">
      <c r="A928" s="13"/>
      <c r="B928" s="14"/>
    </row>
    <row r="929" spans="1:2" x14ac:dyDescent="0.25">
      <c r="A929" s="13"/>
      <c r="B929" s="14"/>
    </row>
    <row r="930" spans="1:2" x14ac:dyDescent="0.25">
      <c r="A930" s="13"/>
      <c r="B930" s="14"/>
    </row>
    <row r="931" spans="1:2" x14ac:dyDescent="0.25">
      <c r="A931" s="13"/>
      <c r="B931" s="14"/>
    </row>
    <row r="932" spans="1:2" x14ac:dyDescent="0.25">
      <c r="A932" s="13"/>
      <c r="B932" s="14"/>
    </row>
    <row r="933" spans="1:2" x14ac:dyDescent="0.25">
      <c r="A933" s="13"/>
      <c r="B933" s="14"/>
    </row>
    <row r="934" spans="1:2" x14ac:dyDescent="0.25">
      <c r="A934" s="13"/>
      <c r="B934" s="14"/>
    </row>
    <row r="935" spans="1:2" x14ac:dyDescent="0.25">
      <c r="A935" s="13"/>
      <c r="B935" s="14"/>
    </row>
    <row r="936" spans="1:2" x14ac:dyDescent="0.25">
      <c r="A936" s="13"/>
      <c r="B936" s="14"/>
    </row>
    <row r="937" spans="1:2" x14ac:dyDescent="0.25">
      <c r="A937" s="13"/>
      <c r="B937" s="14"/>
    </row>
    <row r="938" spans="1:2" x14ac:dyDescent="0.25">
      <c r="A938" s="13"/>
      <c r="B938" s="14"/>
    </row>
    <row r="939" spans="1:2" x14ac:dyDescent="0.25">
      <c r="A939" s="13"/>
      <c r="B939" s="14"/>
    </row>
    <row r="940" spans="1:2" x14ac:dyDescent="0.25">
      <c r="A940" s="13"/>
      <c r="B940" s="14"/>
    </row>
    <row r="941" spans="1:2" x14ac:dyDescent="0.25">
      <c r="A941" s="13"/>
      <c r="B941" s="14"/>
    </row>
    <row r="942" spans="1:2" x14ac:dyDescent="0.25">
      <c r="A942" s="13"/>
      <c r="B942" s="14"/>
    </row>
    <row r="943" spans="1:2" x14ac:dyDescent="0.25">
      <c r="A943" s="13"/>
      <c r="B943" s="14"/>
    </row>
    <row r="944" spans="1:2" x14ac:dyDescent="0.25">
      <c r="A944" s="13"/>
      <c r="B944" s="14"/>
    </row>
    <row r="945" spans="1:2" x14ac:dyDescent="0.25">
      <c r="A945" s="13"/>
      <c r="B945" s="14"/>
    </row>
    <row r="946" spans="1:2" x14ac:dyDescent="0.25">
      <c r="A946" s="13"/>
      <c r="B946" s="14"/>
    </row>
    <row r="947" spans="1:2" x14ac:dyDescent="0.25">
      <c r="A947" s="13"/>
      <c r="B947" s="14"/>
    </row>
    <row r="948" spans="1:2" x14ac:dyDescent="0.25">
      <c r="A948" s="13"/>
      <c r="B948" s="14"/>
    </row>
    <row r="949" spans="1:2" x14ac:dyDescent="0.25">
      <c r="A949" s="13"/>
      <c r="B949" s="14"/>
    </row>
    <row r="950" spans="1:2" x14ac:dyDescent="0.25">
      <c r="A950" s="13"/>
      <c r="B950" s="14"/>
    </row>
    <row r="951" spans="1:2" x14ac:dyDescent="0.25">
      <c r="A951" s="13"/>
      <c r="B951" s="14"/>
    </row>
    <row r="952" spans="1:2" x14ac:dyDescent="0.25">
      <c r="A952" s="13"/>
      <c r="B952" s="14"/>
    </row>
    <row r="953" spans="1:2" x14ac:dyDescent="0.25">
      <c r="A953" s="13"/>
      <c r="B953" s="14"/>
    </row>
    <row r="954" spans="1:2" x14ac:dyDescent="0.25">
      <c r="A954" s="13"/>
      <c r="B954" s="14"/>
    </row>
    <row r="955" spans="1:2" x14ac:dyDescent="0.25">
      <c r="A955" s="13"/>
      <c r="B955" s="14"/>
    </row>
    <row r="956" spans="1:2" x14ac:dyDescent="0.25">
      <c r="A956" s="13"/>
      <c r="B956" s="14"/>
    </row>
    <row r="957" spans="1:2" x14ac:dyDescent="0.25">
      <c r="A957" s="13"/>
      <c r="B957" s="14"/>
    </row>
    <row r="958" spans="1:2" x14ac:dyDescent="0.25">
      <c r="A958" s="13"/>
      <c r="B958" s="14"/>
    </row>
    <row r="959" spans="1:2" x14ac:dyDescent="0.25">
      <c r="A959" s="13"/>
      <c r="B959" s="14"/>
    </row>
    <row r="960" spans="1:2" x14ac:dyDescent="0.25">
      <c r="A960" s="13"/>
      <c r="B960" s="14"/>
    </row>
    <row r="961" spans="1:2" x14ac:dyDescent="0.25">
      <c r="A961" s="13"/>
      <c r="B961" s="14"/>
    </row>
    <row r="962" spans="1:2" x14ac:dyDescent="0.25">
      <c r="A962" s="13"/>
      <c r="B962" s="14"/>
    </row>
    <row r="963" spans="1:2" x14ac:dyDescent="0.25">
      <c r="A963" s="13"/>
      <c r="B963" s="14"/>
    </row>
    <row r="964" spans="1:2" x14ac:dyDescent="0.25">
      <c r="A964" s="13"/>
      <c r="B964" s="14"/>
    </row>
    <row r="965" spans="1:2" x14ac:dyDescent="0.25">
      <c r="A965" s="13"/>
      <c r="B965" s="14"/>
    </row>
    <row r="966" spans="1:2" x14ac:dyDescent="0.25">
      <c r="A966" s="13"/>
      <c r="B966" s="14"/>
    </row>
    <row r="967" spans="1:2" x14ac:dyDescent="0.25">
      <c r="A967" s="13"/>
      <c r="B967" s="14"/>
    </row>
    <row r="968" spans="1:2" x14ac:dyDescent="0.25">
      <c r="A968" s="13"/>
      <c r="B968" s="14"/>
    </row>
    <row r="969" spans="1:2" x14ac:dyDescent="0.25">
      <c r="A969" s="13"/>
      <c r="B969" s="14"/>
    </row>
    <row r="970" spans="1:2" x14ac:dyDescent="0.25">
      <c r="A970" s="13"/>
      <c r="B970" s="14"/>
    </row>
    <row r="971" spans="1:2" x14ac:dyDescent="0.25">
      <c r="A971" s="13"/>
      <c r="B971" s="14"/>
    </row>
    <row r="972" spans="1:2" x14ac:dyDescent="0.25">
      <c r="A972" s="13"/>
      <c r="B972" s="14"/>
    </row>
    <row r="973" spans="1:2" x14ac:dyDescent="0.25">
      <c r="A973" s="13"/>
      <c r="B973" s="14"/>
    </row>
    <row r="974" spans="1:2" x14ac:dyDescent="0.25">
      <c r="A974" s="13"/>
      <c r="B974" s="14"/>
    </row>
    <row r="975" spans="1:2" x14ac:dyDescent="0.25">
      <c r="A975" s="13"/>
      <c r="B975" s="14"/>
    </row>
    <row r="976" spans="1:2" x14ac:dyDescent="0.25">
      <c r="A976" s="13"/>
      <c r="B976" s="14"/>
    </row>
    <row r="977" spans="1:2" x14ac:dyDescent="0.25">
      <c r="A977" s="13"/>
      <c r="B977" s="14"/>
    </row>
    <row r="978" spans="1:2" x14ac:dyDescent="0.25">
      <c r="A978" s="13"/>
      <c r="B978" s="14"/>
    </row>
    <row r="979" spans="1:2" x14ac:dyDescent="0.25">
      <c r="A979" s="13"/>
      <c r="B979" s="14"/>
    </row>
    <row r="980" spans="1:2" x14ac:dyDescent="0.25">
      <c r="A980" s="13"/>
      <c r="B980" s="14"/>
    </row>
    <row r="981" spans="1:2" x14ac:dyDescent="0.25">
      <c r="A981" s="13"/>
      <c r="B981" s="14"/>
    </row>
    <row r="982" spans="1:2" x14ac:dyDescent="0.25">
      <c r="A982" s="13"/>
      <c r="B982" s="14"/>
    </row>
    <row r="983" spans="1:2" x14ac:dyDescent="0.25">
      <c r="A983" s="13"/>
      <c r="B983" s="14"/>
    </row>
    <row r="984" spans="1:2" x14ac:dyDescent="0.25">
      <c r="A984" s="13"/>
      <c r="B984" s="14"/>
    </row>
    <row r="985" spans="1:2" x14ac:dyDescent="0.25">
      <c r="A985" s="13"/>
      <c r="B985" s="14"/>
    </row>
    <row r="986" spans="1:2" x14ac:dyDescent="0.25">
      <c r="A986" s="13"/>
      <c r="B986" s="14"/>
    </row>
    <row r="987" spans="1:2" x14ac:dyDescent="0.25">
      <c r="A987" s="13"/>
      <c r="B987" s="14"/>
    </row>
    <row r="988" spans="1:2" x14ac:dyDescent="0.25">
      <c r="A988" s="13"/>
      <c r="B988" s="14"/>
    </row>
    <row r="989" spans="1:2" x14ac:dyDescent="0.25">
      <c r="A989" s="13"/>
      <c r="B989" s="14"/>
    </row>
    <row r="990" spans="1:2" x14ac:dyDescent="0.25">
      <c r="A990" s="13"/>
      <c r="B990" s="14"/>
    </row>
    <row r="991" spans="1:2" x14ac:dyDescent="0.25">
      <c r="A991" s="13"/>
      <c r="B991" s="14"/>
    </row>
    <row r="992" spans="1:2" x14ac:dyDescent="0.25">
      <c r="A992" s="13"/>
      <c r="B992" s="14"/>
    </row>
    <row r="993" spans="1:2" x14ac:dyDescent="0.25">
      <c r="A993" s="13"/>
      <c r="B993" s="14"/>
    </row>
    <row r="994" spans="1:2" x14ac:dyDescent="0.25">
      <c r="A994" s="13"/>
      <c r="B994" s="14"/>
    </row>
    <row r="995" spans="1:2" x14ac:dyDescent="0.25">
      <c r="A995" s="13"/>
      <c r="B995" s="14"/>
    </row>
    <row r="996" spans="1:2" x14ac:dyDescent="0.25">
      <c r="A996" s="13"/>
      <c r="B996" s="14"/>
    </row>
    <row r="997" spans="1:2" x14ac:dyDescent="0.25">
      <c r="A997" s="13"/>
      <c r="B997" s="14"/>
    </row>
    <row r="998" spans="1:2" x14ac:dyDescent="0.25">
      <c r="A998" s="13"/>
      <c r="B998" s="14"/>
    </row>
    <row r="999" spans="1:2" x14ac:dyDescent="0.25">
      <c r="A999" s="13"/>
      <c r="B999" s="14"/>
    </row>
    <row r="1000" spans="1:2" x14ac:dyDescent="0.25">
      <c r="A1000" s="13"/>
      <c r="B1000" s="14"/>
    </row>
  </sheetData>
  <sheetProtection pivotTables="0"/>
  <mergeCells count="15">
    <mergeCell ref="A19:B19"/>
    <mergeCell ref="A5:B5"/>
    <mergeCell ref="A7:B7"/>
    <mergeCell ref="A9:B9"/>
    <mergeCell ref="A11:B11"/>
    <mergeCell ref="A15:B15"/>
    <mergeCell ref="A13:B13"/>
    <mergeCell ref="A17:B17"/>
    <mergeCell ref="E14:E16"/>
    <mergeCell ref="F14:L16"/>
    <mergeCell ref="S7:T7"/>
    <mergeCell ref="E6:E8"/>
    <mergeCell ref="F6:L8"/>
    <mergeCell ref="E10:E12"/>
    <mergeCell ref="F10:L12"/>
  </mergeCells>
  <dataValidations count="1">
    <dataValidation type="list" sqref="S7" xr:uid="{35FBFD07-7189-4DC5-8A57-EEF03B99F8A3}">
      <formula1>"FullOuter,Inner,LeftOuter,LeftAnti,LeftOuter,RightAnti,RightOuter"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EFE39-CFB9-4127-9EFB-B39A3F2628D4}">
  <sheetPr codeName="Sheet5">
    <tabColor rgb="FF7030A0"/>
  </sheetPr>
  <dimension ref="A1:BZ1000"/>
  <sheetViews>
    <sheetView showGridLines="0" showRowColHeaders="0" workbookViewId="0">
      <selection activeCell="G18" sqref="G18"/>
    </sheetView>
  </sheetViews>
  <sheetFormatPr defaultRowHeight="15" x14ac:dyDescent="0.25"/>
  <cols>
    <col min="1" max="1" width="5" customWidth="1"/>
    <col min="2" max="2" width="13.28515625" customWidth="1"/>
    <col min="3" max="3" width="3.7109375" customWidth="1"/>
    <col min="4" max="4" width="31.5703125" bestFit="1" customWidth="1"/>
    <col min="5" max="5" width="9.5703125" bestFit="1" customWidth="1"/>
    <col min="6" max="6" width="13.28515625" bestFit="1" customWidth="1"/>
    <col min="7" max="7" width="10.140625" bestFit="1" customWidth="1"/>
    <col min="8" max="8" width="10" bestFit="1" customWidth="1"/>
    <col min="9" max="9" width="13.140625" bestFit="1" customWidth="1"/>
    <col min="10" max="10" width="9.42578125" bestFit="1" customWidth="1"/>
    <col min="11" max="11" width="27.42578125" bestFit="1" customWidth="1"/>
    <col min="12" max="12" width="41.7109375" bestFit="1" customWidth="1"/>
    <col min="13" max="13" width="20.28515625" bestFit="1" customWidth="1"/>
    <col min="14" max="14" width="17" bestFit="1" customWidth="1"/>
    <col min="15" max="20" width="8.28515625" bestFit="1" customWidth="1"/>
    <col min="21" max="21" width="3.7109375" customWidth="1"/>
  </cols>
  <sheetData>
    <row r="1" spans="1:78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</row>
    <row r="2" spans="1:78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</row>
    <row r="3" spans="1:78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</row>
    <row r="4" spans="1:78" x14ac:dyDescent="0.25">
      <c r="A4" s="30"/>
      <c r="B4" s="30"/>
    </row>
    <row r="5" spans="1:78" x14ac:dyDescent="0.25">
      <c r="A5" s="71" t="str">
        <f>HYPERLINK("#'Controls'!d4", "Controls")</f>
        <v>Controls</v>
      </c>
      <c r="B5" s="71"/>
      <c r="D5" t="s">
        <v>36</v>
      </c>
      <c r="E5" t="s">
        <v>3</v>
      </c>
      <c r="F5" t="s">
        <v>4</v>
      </c>
      <c r="G5" t="s">
        <v>5</v>
      </c>
      <c r="H5" t="s">
        <v>6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33</v>
      </c>
      <c r="R5" t="s">
        <v>15</v>
      </c>
      <c r="S5" t="s">
        <v>16</v>
      </c>
      <c r="T5" t="s">
        <v>37</v>
      </c>
    </row>
    <row r="6" spans="1:78" x14ac:dyDescent="0.25">
      <c r="A6" s="33"/>
      <c r="B6" s="34"/>
    </row>
    <row r="7" spans="1:78" x14ac:dyDescent="0.25">
      <c r="A7" s="71" t="str">
        <f>HYPERLINK("#'Line List'!d4", "Line List")</f>
        <v>Line List</v>
      </c>
      <c r="B7" s="71"/>
    </row>
    <row r="8" spans="1:78" x14ac:dyDescent="0.25">
      <c r="A8" s="33"/>
      <c r="B8" s="34"/>
    </row>
    <row r="9" spans="1:78" x14ac:dyDescent="0.25">
      <c r="A9" s="71" t="str">
        <f>HYPERLINK("#'Image Data'!D4", "Img Data")</f>
        <v>Img Data</v>
      </c>
      <c r="B9" s="71"/>
    </row>
    <row r="10" spans="1:78" x14ac:dyDescent="0.25">
      <c r="A10" s="33"/>
      <c r="B10" s="34"/>
    </row>
    <row r="11" spans="1:78" x14ac:dyDescent="0.25">
      <c r="A11" s="71" t="str">
        <f>HYPERLINK("#'Image Syle Not in Line List'!D4", "Img Style!=")</f>
        <v>Img Style!=</v>
      </c>
      <c r="B11" s="71"/>
    </row>
    <row r="12" spans="1:78" x14ac:dyDescent="0.25">
      <c r="A12" s="33"/>
      <c r="B12" s="34"/>
    </row>
    <row r="13" spans="1:78" x14ac:dyDescent="0.25">
      <c r="A13" s="71" t="str">
        <f>HYPERLINK("#'Images Not in Line List'!D4", "Img != List")</f>
        <v>Img != List</v>
      </c>
      <c r="B13" s="71"/>
    </row>
    <row r="14" spans="1:78" x14ac:dyDescent="0.25">
      <c r="A14" s="33"/>
      <c r="B14" s="34"/>
    </row>
    <row r="15" spans="1:78" x14ac:dyDescent="0.25">
      <c r="A15" s="71" t="str">
        <f>HYPERLINK("#'Line List Not in Images'!D4", "List != Img")</f>
        <v>List != Img</v>
      </c>
      <c r="B15" s="71"/>
    </row>
    <row r="16" spans="1:78" x14ac:dyDescent="0.25">
      <c r="A16" s="33"/>
      <c r="B16" s="34"/>
    </row>
    <row r="17" spans="1:2" x14ac:dyDescent="0.25">
      <c r="A17" s="71" t="str">
        <f>HYPERLINK("#'Renaming Data'!D4", "Renaming")</f>
        <v>Renaming</v>
      </c>
      <c r="B17" s="71"/>
    </row>
    <row r="18" spans="1:2" x14ac:dyDescent="0.25">
      <c r="A18" s="33"/>
      <c r="B18" s="34"/>
    </row>
    <row r="19" spans="1:2" x14ac:dyDescent="0.25">
      <c r="A19" s="71" t="str">
        <f>HYPERLINK("#'Execution Log'!D4", "Exec Log")</f>
        <v>Exec Log</v>
      </c>
      <c r="B19" s="71"/>
    </row>
    <row r="20" spans="1:2" x14ac:dyDescent="0.25">
      <c r="A20" s="13"/>
      <c r="B20" s="13"/>
    </row>
    <row r="21" spans="1:2" x14ac:dyDescent="0.25">
      <c r="A21" s="13"/>
      <c r="B21" s="13"/>
    </row>
    <row r="22" spans="1:2" x14ac:dyDescent="0.25">
      <c r="A22" s="13"/>
      <c r="B22" s="13"/>
    </row>
    <row r="23" spans="1:2" x14ac:dyDescent="0.25">
      <c r="A23" s="13"/>
      <c r="B23" s="13"/>
    </row>
    <row r="24" spans="1:2" x14ac:dyDescent="0.25">
      <c r="A24" s="13"/>
      <c r="B24" s="13"/>
    </row>
    <row r="25" spans="1:2" x14ac:dyDescent="0.25">
      <c r="A25" s="13"/>
      <c r="B25" s="13"/>
    </row>
    <row r="26" spans="1:2" x14ac:dyDescent="0.25">
      <c r="A26" s="13"/>
      <c r="B26" s="13"/>
    </row>
    <row r="27" spans="1:2" x14ac:dyDescent="0.25">
      <c r="A27" s="13"/>
      <c r="B27" s="13"/>
    </row>
    <row r="28" spans="1:2" x14ac:dyDescent="0.25">
      <c r="A28" s="13"/>
      <c r="B28" s="13"/>
    </row>
    <row r="29" spans="1:2" x14ac:dyDescent="0.25">
      <c r="A29" s="13"/>
      <c r="B29" s="13"/>
    </row>
    <row r="30" spans="1:2" x14ac:dyDescent="0.25">
      <c r="A30" s="13"/>
      <c r="B30" s="13"/>
    </row>
    <row r="31" spans="1:2" x14ac:dyDescent="0.25">
      <c r="A31" s="13"/>
      <c r="B31" s="13"/>
    </row>
    <row r="32" spans="1:2" x14ac:dyDescent="0.25">
      <c r="A32" s="13"/>
      <c r="B32" s="13"/>
    </row>
    <row r="33" spans="1:2" x14ac:dyDescent="0.25">
      <c r="A33" s="13"/>
      <c r="B33" s="13"/>
    </row>
    <row r="34" spans="1:2" x14ac:dyDescent="0.25">
      <c r="A34" s="13"/>
      <c r="B34" s="13"/>
    </row>
    <row r="35" spans="1:2" x14ac:dyDescent="0.25">
      <c r="A35" s="13"/>
      <c r="B35" s="13"/>
    </row>
    <row r="36" spans="1:2" x14ac:dyDescent="0.25">
      <c r="A36" s="13"/>
      <c r="B36" s="13"/>
    </row>
    <row r="37" spans="1:2" x14ac:dyDescent="0.25">
      <c r="A37" s="13"/>
      <c r="B37" s="13"/>
    </row>
    <row r="38" spans="1:2" x14ac:dyDescent="0.25">
      <c r="A38" s="13"/>
      <c r="B38" s="13"/>
    </row>
    <row r="39" spans="1:2" x14ac:dyDescent="0.25">
      <c r="A39" s="13"/>
      <c r="B39" s="13"/>
    </row>
    <row r="40" spans="1:2" x14ac:dyDescent="0.25">
      <c r="A40" s="13"/>
      <c r="B40" s="13"/>
    </row>
    <row r="41" spans="1:2" x14ac:dyDescent="0.25">
      <c r="A41" s="13"/>
      <c r="B41" s="13"/>
    </row>
    <row r="42" spans="1:2" x14ac:dyDescent="0.25">
      <c r="A42" s="13"/>
      <c r="B42" s="13"/>
    </row>
    <row r="43" spans="1:2" x14ac:dyDescent="0.25">
      <c r="A43" s="13"/>
      <c r="B43" s="13"/>
    </row>
    <row r="44" spans="1:2" x14ac:dyDescent="0.25">
      <c r="A44" s="13"/>
      <c r="B44" s="13"/>
    </row>
    <row r="45" spans="1:2" x14ac:dyDescent="0.25">
      <c r="A45" s="13"/>
      <c r="B45" s="13"/>
    </row>
    <row r="46" spans="1:2" x14ac:dyDescent="0.25">
      <c r="A46" s="13"/>
      <c r="B46" s="13"/>
    </row>
    <row r="47" spans="1:2" x14ac:dyDescent="0.25">
      <c r="A47" s="13"/>
      <c r="B47" s="13"/>
    </row>
    <row r="48" spans="1:2" x14ac:dyDescent="0.25">
      <c r="A48" s="13"/>
      <c r="B48" s="13"/>
    </row>
    <row r="49" spans="1:2" x14ac:dyDescent="0.25">
      <c r="A49" s="13"/>
      <c r="B49" s="13"/>
    </row>
    <row r="50" spans="1:2" x14ac:dyDescent="0.25">
      <c r="A50" s="13"/>
      <c r="B50" s="13"/>
    </row>
    <row r="51" spans="1:2" x14ac:dyDescent="0.25">
      <c r="A51" s="13"/>
      <c r="B51" s="13"/>
    </row>
    <row r="52" spans="1:2" x14ac:dyDescent="0.25">
      <c r="A52" s="13"/>
      <c r="B52" s="13"/>
    </row>
    <row r="53" spans="1:2" x14ac:dyDescent="0.25">
      <c r="A53" s="13"/>
      <c r="B53" s="13"/>
    </row>
    <row r="54" spans="1:2" x14ac:dyDescent="0.25">
      <c r="A54" s="13"/>
      <c r="B54" s="13"/>
    </row>
    <row r="55" spans="1:2" x14ac:dyDescent="0.25">
      <c r="A55" s="13"/>
      <c r="B55" s="13"/>
    </row>
    <row r="56" spans="1:2" x14ac:dyDescent="0.25">
      <c r="A56" s="13"/>
      <c r="B56" s="13"/>
    </row>
    <row r="57" spans="1:2" x14ac:dyDescent="0.25">
      <c r="A57" s="13"/>
      <c r="B57" s="13"/>
    </row>
    <row r="58" spans="1:2" x14ac:dyDescent="0.25">
      <c r="A58" s="13"/>
      <c r="B58" s="13"/>
    </row>
    <row r="59" spans="1:2" x14ac:dyDescent="0.25">
      <c r="A59" s="13"/>
      <c r="B59" s="13"/>
    </row>
    <row r="60" spans="1:2" x14ac:dyDescent="0.25">
      <c r="A60" s="13"/>
      <c r="B60" s="13"/>
    </row>
    <row r="61" spans="1:2" x14ac:dyDescent="0.25">
      <c r="A61" s="13"/>
      <c r="B61" s="13"/>
    </row>
    <row r="62" spans="1:2" x14ac:dyDescent="0.25">
      <c r="A62" s="13"/>
      <c r="B62" s="13"/>
    </row>
    <row r="63" spans="1:2" x14ac:dyDescent="0.25">
      <c r="A63" s="13"/>
      <c r="B63" s="13"/>
    </row>
    <row r="64" spans="1:2" x14ac:dyDescent="0.25">
      <c r="A64" s="13"/>
      <c r="B64" s="13"/>
    </row>
    <row r="65" spans="1:2" x14ac:dyDescent="0.25">
      <c r="A65" s="13"/>
      <c r="B65" s="13"/>
    </row>
    <row r="66" spans="1:2" x14ac:dyDescent="0.25">
      <c r="A66" s="13"/>
      <c r="B66" s="13"/>
    </row>
    <row r="67" spans="1:2" x14ac:dyDescent="0.25">
      <c r="A67" s="13"/>
      <c r="B67" s="13"/>
    </row>
    <row r="68" spans="1:2" x14ac:dyDescent="0.25">
      <c r="A68" s="13"/>
      <c r="B68" s="13"/>
    </row>
    <row r="69" spans="1:2" x14ac:dyDescent="0.25">
      <c r="A69" s="13"/>
      <c r="B69" s="13"/>
    </row>
    <row r="70" spans="1:2" x14ac:dyDescent="0.25">
      <c r="A70" s="13"/>
      <c r="B70" s="13"/>
    </row>
    <row r="71" spans="1:2" x14ac:dyDescent="0.25">
      <c r="A71" s="13"/>
      <c r="B71" s="13"/>
    </row>
    <row r="72" spans="1:2" x14ac:dyDescent="0.25">
      <c r="A72" s="13"/>
      <c r="B72" s="13"/>
    </row>
    <row r="73" spans="1:2" x14ac:dyDescent="0.25">
      <c r="A73" s="13"/>
      <c r="B73" s="13"/>
    </row>
    <row r="74" spans="1:2" x14ac:dyDescent="0.25">
      <c r="A74" s="13"/>
      <c r="B74" s="13"/>
    </row>
    <row r="75" spans="1:2" x14ac:dyDescent="0.25">
      <c r="A75" s="13"/>
      <c r="B75" s="13"/>
    </row>
    <row r="76" spans="1:2" x14ac:dyDescent="0.25">
      <c r="A76" s="13"/>
      <c r="B76" s="13"/>
    </row>
    <row r="77" spans="1:2" x14ac:dyDescent="0.25">
      <c r="A77" s="13"/>
      <c r="B77" s="13"/>
    </row>
    <row r="78" spans="1:2" x14ac:dyDescent="0.25">
      <c r="A78" s="13"/>
      <c r="B78" s="13"/>
    </row>
    <row r="79" spans="1:2" x14ac:dyDescent="0.25">
      <c r="A79" s="13"/>
      <c r="B79" s="13"/>
    </row>
    <row r="80" spans="1:2" x14ac:dyDescent="0.25">
      <c r="A80" s="13"/>
      <c r="B80" s="13"/>
    </row>
    <row r="81" spans="1:2" x14ac:dyDescent="0.25">
      <c r="A81" s="13"/>
      <c r="B81" s="13"/>
    </row>
    <row r="82" spans="1:2" x14ac:dyDescent="0.25">
      <c r="A82" s="13"/>
      <c r="B82" s="13"/>
    </row>
    <row r="83" spans="1:2" x14ac:dyDescent="0.25">
      <c r="A83" s="13"/>
      <c r="B83" s="13"/>
    </row>
    <row r="84" spans="1:2" x14ac:dyDescent="0.25">
      <c r="A84" s="13"/>
      <c r="B84" s="13"/>
    </row>
    <row r="85" spans="1:2" x14ac:dyDescent="0.25">
      <c r="A85" s="13"/>
      <c r="B85" s="13"/>
    </row>
    <row r="86" spans="1:2" x14ac:dyDescent="0.25">
      <c r="A86" s="13"/>
      <c r="B86" s="13"/>
    </row>
    <row r="87" spans="1:2" x14ac:dyDescent="0.25">
      <c r="A87" s="13"/>
      <c r="B87" s="13"/>
    </row>
    <row r="88" spans="1:2" x14ac:dyDescent="0.25">
      <c r="A88" s="13"/>
      <c r="B88" s="13"/>
    </row>
    <row r="89" spans="1:2" x14ac:dyDescent="0.25">
      <c r="A89" s="13"/>
      <c r="B89" s="13"/>
    </row>
    <row r="90" spans="1:2" x14ac:dyDescent="0.25">
      <c r="A90" s="13"/>
      <c r="B90" s="13"/>
    </row>
    <row r="91" spans="1:2" x14ac:dyDescent="0.25">
      <c r="A91" s="13"/>
      <c r="B91" s="13"/>
    </row>
    <row r="92" spans="1:2" x14ac:dyDescent="0.25">
      <c r="A92" s="13"/>
      <c r="B92" s="13"/>
    </row>
    <row r="93" spans="1:2" x14ac:dyDescent="0.25">
      <c r="A93" s="13"/>
      <c r="B93" s="13"/>
    </row>
    <row r="94" spans="1:2" x14ac:dyDescent="0.25">
      <c r="A94" s="13"/>
      <c r="B94" s="13"/>
    </row>
    <row r="95" spans="1:2" x14ac:dyDescent="0.25">
      <c r="A95" s="13"/>
      <c r="B95" s="13"/>
    </row>
    <row r="96" spans="1:2" x14ac:dyDescent="0.25">
      <c r="A96" s="13"/>
      <c r="B96" s="13"/>
    </row>
    <row r="97" spans="1:2" x14ac:dyDescent="0.25">
      <c r="A97" s="13"/>
      <c r="B97" s="13"/>
    </row>
    <row r="98" spans="1:2" x14ac:dyDescent="0.25">
      <c r="A98" s="13"/>
      <c r="B98" s="13"/>
    </row>
    <row r="99" spans="1:2" x14ac:dyDescent="0.25">
      <c r="A99" s="13"/>
      <c r="B99" s="13"/>
    </row>
    <row r="100" spans="1:2" x14ac:dyDescent="0.25">
      <c r="A100" s="13"/>
      <c r="B100" s="13"/>
    </row>
    <row r="101" spans="1:2" x14ac:dyDescent="0.25">
      <c r="A101" s="13"/>
      <c r="B101" s="13"/>
    </row>
    <row r="102" spans="1:2" x14ac:dyDescent="0.25">
      <c r="A102" s="13"/>
      <c r="B102" s="13"/>
    </row>
    <row r="103" spans="1:2" x14ac:dyDescent="0.25">
      <c r="A103" s="13"/>
      <c r="B103" s="13"/>
    </row>
    <row r="104" spans="1:2" x14ac:dyDescent="0.25">
      <c r="A104" s="13"/>
      <c r="B104" s="13"/>
    </row>
    <row r="105" spans="1:2" x14ac:dyDescent="0.25">
      <c r="A105" s="13"/>
      <c r="B105" s="13"/>
    </row>
    <row r="106" spans="1:2" x14ac:dyDescent="0.25">
      <c r="A106" s="13"/>
      <c r="B106" s="13"/>
    </row>
    <row r="107" spans="1:2" x14ac:dyDescent="0.25">
      <c r="A107" s="13"/>
      <c r="B107" s="13"/>
    </row>
    <row r="108" spans="1:2" x14ac:dyDescent="0.25">
      <c r="A108" s="13"/>
      <c r="B108" s="13"/>
    </row>
    <row r="109" spans="1:2" x14ac:dyDescent="0.25">
      <c r="A109" s="13"/>
      <c r="B109" s="13"/>
    </row>
    <row r="110" spans="1:2" x14ac:dyDescent="0.25">
      <c r="A110" s="13"/>
      <c r="B110" s="13"/>
    </row>
    <row r="111" spans="1:2" x14ac:dyDescent="0.25">
      <c r="A111" s="13"/>
      <c r="B111" s="13"/>
    </row>
    <row r="112" spans="1:2" x14ac:dyDescent="0.25">
      <c r="A112" s="13"/>
      <c r="B112" s="13"/>
    </row>
    <row r="113" spans="1:2" x14ac:dyDescent="0.25">
      <c r="A113" s="13"/>
      <c r="B113" s="13"/>
    </row>
    <row r="114" spans="1:2" x14ac:dyDescent="0.25">
      <c r="A114" s="13"/>
      <c r="B114" s="13"/>
    </row>
    <row r="115" spans="1:2" x14ac:dyDescent="0.25">
      <c r="A115" s="13"/>
      <c r="B115" s="13"/>
    </row>
    <row r="116" spans="1:2" x14ac:dyDescent="0.25">
      <c r="A116" s="13"/>
      <c r="B116" s="13"/>
    </row>
    <row r="117" spans="1:2" x14ac:dyDescent="0.25">
      <c r="A117" s="13"/>
      <c r="B117" s="13"/>
    </row>
    <row r="118" spans="1:2" x14ac:dyDescent="0.25">
      <c r="A118" s="13"/>
      <c r="B118" s="13"/>
    </row>
    <row r="119" spans="1:2" x14ac:dyDescent="0.25">
      <c r="A119" s="13"/>
      <c r="B119" s="13"/>
    </row>
    <row r="120" spans="1:2" x14ac:dyDescent="0.25">
      <c r="A120" s="13"/>
      <c r="B120" s="13"/>
    </row>
    <row r="121" spans="1:2" x14ac:dyDescent="0.25">
      <c r="A121" s="13"/>
      <c r="B121" s="13"/>
    </row>
    <row r="122" spans="1:2" x14ac:dyDescent="0.25">
      <c r="A122" s="13"/>
      <c r="B122" s="13"/>
    </row>
    <row r="123" spans="1:2" x14ac:dyDescent="0.25">
      <c r="A123" s="13"/>
      <c r="B123" s="13"/>
    </row>
    <row r="124" spans="1:2" x14ac:dyDescent="0.25">
      <c r="A124" s="13"/>
      <c r="B124" s="13"/>
    </row>
    <row r="125" spans="1:2" x14ac:dyDescent="0.25">
      <c r="A125" s="13"/>
      <c r="B125" s="13"/>
    </row>
    <row r="126" spans="1:2" x14ac:dyDescent="0.25">
      <c r="A126" s="13"/>
      <c r="B126" s="13"/>
    </row>
    <row r="127" spans="1:2" x14ac:dyDescent="0.25">
      <c r="A127" s="13"/>
      <c r="B127" s="13"/>
    </row>
    <row r="128" spans="1:2" x14ac:dyDescent="0.25">
      <c r="A128" s="13"/>
      <c r="B128" s="13"/>
    </row>
    <row r="129" spans="1:2" x14ac:dyDescent="0.25">
      <c r="A129" s="13"/>
      <c r="B129" s="13"/>
    </row>
    <row r="130" spans="1:2" x14ac:dyDescent="0.25">
      <c r="A130" s="13"/>
      <c r="B130" s="13"/>
    </row>
    <row r="131" spans="1:2" x14ac:dyDescent="0.25">
      <c r="A131" s="13"/>
      <c r="B131" s="13"/>
    </row>
    <row r="132" spans="1:2" x14ac:dyDescent="0.25">
      <c r="A132" s="13"/>
      <c r="B132" s="13"/>
    </row>
    <row r="133" spans="1:2" x14ac:dyDescent="0.25">
      <c r="A133" s="13"/>
      <c r="B133" s="13"/>
    </row>
    <row r="134" spans="1:2" x14ac:dyDescent="0.25">
      <c r="A134" s="13"/>
      <c r="B134" s="13"/>
    </row>
    <row r="135" spans="1:2" x14ac:dyDescent="0.25">
      <c r="A135" s="13"/>
      <c r="B135" s="13"/>
    </row>
    <row r="136" spans="1:2" x14ac:dyDescent="0.25">
      <c r="A136" s="13"/>
      <c r="B136" s="13"/>
    </row>
    <row r="137" spans="1:2" x14ac:dyDescent="0.25">
      <c r="A137" s="13"/>
      <c r="B137" s="13"/>
    </row>
    <row r="138" spans="1:2" x14ac:dyDescent="0.25">
      <c r="A138" s="13"/>
      <c r="B138" s="13"/>
    </row>
    <row r="139" spans="1:2" x14ac:dyDescent="0.25">
      <c r="A139" s="13"/>
      <c r="B139" s="13"/>
    </row>
    <row r="140" spans="1:2" x14ac:dyDescent="0.25">
      <c r="A140" s="13"/>
      <c r="B140" s="13"/>
    </row>
    <row r="141" spans="1:2" x14ac:dyDescent="0.25">
      <c r="A141" s="13"/>
      <c r="B141" s="13"/>
    </row>
    <row r="142" spans="1:2" x14ac:dyDescent="0.25">
      <c r="A142" s="13"/>
      <c r="B142" s="13"/>
    </row>
    <row r="143" spans="1:2" x14ac:dyDescent="0.25">
      <c r="A143" s="13"/>
      <c r="B143" s="13"/>
    </row>
    <row r="144" spans="1:2" x14ac:dyDescent="0.25">
      <c r="A144" s="13"/>
      <c r="B144" s="13"/>
    </row>
    <row r="145" spans="1:2" x14ac:dyDescent="0.25">
      <c r="A145" s="13"/>
      <c r="B145" s="13"/>
    </row>
    <row r="146" spans="1:2" x14ac:dyDescent="0.25">
      <c r="A146" s="13"/>
      <c r="B146" s="13"/>
    </row>
    <row r="147" spans="1:2" x14ac:dyDescent="0.25">
      <c r="A147" s="13"/>
      <c r="B147" s="13"/>
    </row>
    <row r="148" spans="1:2" x14ac:dyDescent="0.25">
      <c r="A148" s="13"/>
      <c r="B148" s="13"/>
    </row>
    <row r="149" spans="1:2" x14ac:dyDescent="0.25">
      <c r="A149" s="13"/>
      <c r="B149" s="13"/>
    </row>
    <row r="150" spans="1:2" x14ac:dyDescent="0.25">
      <c r="A150" s="13"/>
      <c r="B150" s="13"/>
    </row>
    <row r="151" spans="1:2" x14ac:dyDescent="0.25">
      <c r="A151" s="13"/>
      <c r="B151" s="13"/>
    </row>
    <row r="152" spans="1:2" x14ac:dyDescent="0.25">
      <c r="A152" s="13"/>
      <c r="B152" s="13"/>
    </row>
    <row r="153" spans="1:2" x14ac:dyDescent="0.25">
      <c r="A153" s="13"/>
      <c r="B153" s="13"/>
    </row>
    <row r="154" spans="1:2" x14ac:dyDescent="0.25">
      <c r="A154" s="13"/>
      <c r="B154" s="13"/>
    </row>
    <row r="155" spans="1:2" x14ac:dyDescent="0.25">
      <c r="A155" s="13"/>
      <c r="B155" s="13"/>
    </row>
    <row r="156" spans="1:2" x14ac:dyDescent="0.25">
      <c r="A156" s="13"/>
      <c r="B156" s="13"/>
    </row>
    <row r="157" spans="1:2" x14ac:dyDescent="0.25">
      <c r="A157" s="13"/>
      <c r="B157" s="13"/>
    </row>
    <row r="158" spans="1:2" x14ac:dyDescent="0.25">
      <c r="A158" s="13"/>
      <c r="B158" s="13"/>
    </row>
    <row r="159" spans="1:2" x14ac:dyDescent="0.25">
      <c r="A159" s="13"/>
      <c r="B159" s="13"/>
    </row>
    <row r="160" spans="1:2" x14ac:dyDescent="0.25">
      <c r="A160" s="13"/>
      <c r="B160" s="13"/>
    </row>
    <row r="161" spans="1:2" x14ac:dyDescent="0.25">
      <c r="A161" s="13"/>
      <c r="B161" s="13"/>
    </row>
    <row r="162" spans="1:2" x14ac:dyDescent="0.25">
      <c r="A162" s="13"/>
      <c r="B162" s="13"/>
    </row>
    <row r="163" spans="1:2" x14ac:dyDescent="0.25">
      <c r="A163" s="13"/>
      <c r="B163" s="13"/>
    </row>
    <row r="164" spans="1:2" x14ac:dyDescent="0.25">
      <c r="A164" s="13"/>
      <c r="B164" s="13"/>
    </row>
    <row r="165" spans="1:2" x14ac:dyDescent="0.25">
      <c r="A165" s="13"/>
      <c r="B165" s="13"/>
    </row>
    <row r="166" spans="1:2" x14ac:dyDescent="0.25">
      <c r="A166" s="13"/>
      <c r="B166" s="13"/>
    </row>
    <row r="167" spans="1:2" x14ac:dyDescent="0.25">
      <c r="A167" s="13"/>
      <c r="B167" s="13"/>
    </row>
    <row r="168" spans="1:2" x14ac:dyDescent="0.25">
      <c r="A168" s="13"/>
      <c r="B168" s="13"/>
    </row>
    <row r="169" spans="1:2" x14ac:dyDescent="0.25">
      <c r="A169" s="13"/>
      <c r="B169" s="13"/>
    </row>
    <row r="170" spans="1:2" x14ac:dyDescent="0.25">
      <c r="A170" s="13"/>
      <c r="B170" s="13"/>
    </row>
    <row r="171" spans="1:2" x14ac:dyDescent="0.25">
      <c r="A171" s="13"/>
      <c r="B171" s="13"/>
    </row>
    <row r="172" spans="1:2" x14ac:dyDescent="0.25">
      <c r="A172" s="13"/>
      <c r="B172" s="13"/>
    </row>
    <row r="173" spans="1:2" x14ac:dyDescent="0.25">
      <c r="A173" s="13"/>
      <c r="B173" s="13"/>
    </row>
    <row r="174" spans="1:2" x14ac:dyDescent="0.25">
      <c r="A174" s="13"/>
      <c r="B174" s="13"/>
    </row>
    <row r="175" spans="1:2" x14ac:dyDescent="0.25">
      <c r="A175" s="13"/>
      <c r="B175" s="13"/>
    </row>
    <row r="176" spans="1:2" x14ac:dyDescent="0.25">
      <c r="A176" s="13"/>
      <c r="B176" s="13"/>
    </row>
    <row r="177" spans="1:2" x14ac:dyDescent="0.25">
      <c r="A177" s="13"/>
      <c r="B177" s="13"/>
    </row>
    <row r="178" spans="1:2" x14ac:dyDescent="0.25">
      <c r="A178" s="13"/>
      <c r="B178" s="13"/>
    </row>
    <row r="179" spans="1:2" x14ac:dyDescent="0.25">
      <c r="A179" s="13"/>
      <c r="B179" s="13"/>
    </row>
    <row r="180" spans="1:2" x14ac:dyDescent="0.25">
      <c r="A180" s="13"/>
      <c r="B180" s="13"/>
    </row>
    <row r="181" spans="1:2" x14ac:dyDescent="0.25">
      <c r="A181" s="13"/>
      <c r="B181" s="13"/>
    </row>
    <row r="182" spans="1:2" x14ac:dyDescent="0.25">
      <c r="A182" s="13"/>
      <c r="B182" s="13"/>
    </row>
    <row r="183" spans="1:2" x14ac:dyDescent="0.25">
      <c r="A183" s="13"/>
      <c r="B183" s="13"/>
    </row>
    <row r="184" spans="1:2" x14ac:dyDescent="0.25">
      <c r="A184" s="13"/>
      <c r="B184" s="13"/>
    </row>
    <row r="185" spans="1:2" x14ac:dyDescent="0.25">
      <c r="A185" s="13"/>
      <c r="B185" s="13"/>
    </row>
    <row r="186" spans="1:2" x14ac:dyDescent="0.25">
      <c r="A186" s="13"/>
      <c r="B186" s="13"/>
    </row>
    <row r="187" spans="1:2" x14ac:dyDescent="0.25">
      <c r="A187" s="13"/>
      <c r="B187" s="13"/>
    </row>
    <row r="188" spans="1:2" x14ac:dyDescent="0.25">
      <c r="A188" s="13"/>
      <c r="B188" s="13"/>
    </row>
    <row r="189" spans="1:2" x14ac:dyDescent="0.25">
      <c r="A189" s="13"/>
      <c r="B189" s="13"/>
    </row>
    <row r="190" spans="1:2" x14ac:dyDescent="0.25">
      <c r="A190" s="13"/>
      <c r="B190" s="13"/>
    </row>
    <row r="191" spans="1:2" x14ac:dyDescent="0.25">
      <c r="A191" s="13"/>
      <c r="B191" s="13"/>
    </row>
    <row r="192" spans="1:2" x14ac:dyDescent="0.25">
      <c r="A192" s="13"/>
      <c r="B192" s="13"/>
    </row>
    <row r="193" spans="1:2" x14ac:dyDescent="0.25">
      <c r="A193" s="13"/>
      <c r="B193" s="13"/>
    </row>
    <row r="194" spans="1:2" x14ac:dyDescent="0.25">
      <c r="A194" s="13"/>
      <c r="B194" s="13"/>
    </row>
    <row r="195" spans="1:2" x14ac:dyDescent="0.25">
      <c r="A195" s="13"/>
      <c r="B195" s="13"/>
    </row>
    <row r="196" spans="1:2" x14ac:dyDescent="0.25">
      <c r="A196" s="13"/>
      <c r="B196" s="13"/>
    </row>
    <row r="197" spans="1:2" x14ac:dyDescent="0.25">
      <c r="A197" s="13"/>
      <c r="B197" s="13"/>
    </row>
    <row r="198" spans="1:2" x14ac:dyDescent="0.25">
      <c r="A198" s="13"/>
      <c r="B198" s="13"/>
    </row>
    <row r="199" spans="1:2" x14ac:dyDescent="0.25">
      <c r="A199" s="13"/>
      <c r="B199" s="13"/>
    </row>
    <row r="200" spans="1:2" x14ac:dyDescent="0.25">
      <c r="A200" s="13"/>
      <c r="B200" s="13"/>
    </row>
    <row r="201" spans="1:2" x14ac:dyDescent="0.25">
      <c r="A201" s="13"/>
      <c r="B201" s="13"/>
    </row>
    <row r="202" spans="1:2" x14ac:dyDescent="0.25">
      <c r="A202" s="13"/>
      <c r="B202" s="13"/>
    </row>
    <row r="203" spans="1:2" x14ac:dyDescent="0.25">
      <c r="A203" s="13"/>
      <c r="B203" s="13"/>
    </row>
    <row r="204" spans="1:2" x14ac:dyDescent="0.25">
      <c r="A204" s="13"/>
      <c r="B204" s="13"/>
    </row>
    <row r="205" spans="1:2" x14ac:dyDescent="0.25">
      <c r="A205" s="13"/>
      <c r="B205" s="13"/>
    </row>
    <row r="206" spans="1:2" x14ac:dyDescent="0.25">
      <c r="A206" s="13"/>
      <c r="B206" s="13"/>
    </row>
    <row r="207" spans="1:2" x14ac:dyDescent="0.25">
      <c r="A207" s="13"/>
      <c r="B207" s="13"/>
    </row>
    <row r="208" spans="1:2" x14ac:dyDescent="0.25">
      <c r="A208" s="13"/>
      <c r="B208" s="13"/>
    </row>
    <row r="209" spans="1:2" x14ac:dyDescent="0.25">
      <c r="A209" s="13"/>
      <c r="B209" s="13"/>
    </row>
    <row r="210" spans="1:2" x14ac:dyDescent="0.25">
      <c r="A210" s="13"/>
      <c r="B210" s="13"/>
    </row>
    <row r="211" spans="1:2" x14ac:dyDescent="0.25">
      <c r="A211" s="13"/>
      <c r="B211" s="13"/>
    </row>
    <row r="212" spans="1:2" x14ac:dyDescent="0.25">
      <c r="A212" s="13"/>
      <c r="B212" s="13"/>
    </row>
    <row r="213" spans="1:2" x14ac:dyDescent="0.25">
      <c r="A213" s="13"/>
      <c r="B213" s="13"/>
    </row>
    <row r="214" spans="1:2" x14ac:dyDescent="0.25">
      <c r="A214" s="13"/>
      <c r="B214" s="13"/>
    </row>
    <row r="215" spans="1:2" x14ac:dyDescent="0.25">
      <c r="A215" s="13"/>
      <c r="B215" s="13"/>
    </row>
    <row r="216" spans="1:2" x14ac:dyDescent="0.25">
      <c r="A216" s="13"/>
      <c r="B216" s="13"/>
    </row>
    <row r="217" spans="1:2" x14ac:dyDescent="0.25">
      <c r="A217" s="13"/>
      <c r="B217" s="13"/>
    </row>
    <row r="218" spans="1:2" x14ac:dyDescent="0.25">
      <c r="A218" s="13"/>
      <c r="B218" s="13"/>
    </row>
    <row r="219" spans="1:2" x14ac:dyDescent="0.25">
      <c r="A219" s="13"/>
      <c r="B219" s="13"/>
    </row>
    <row r="220" spans="1:2" x14ac:dyDescent="0.25">
      <c r="A220" s="13"/>
      <c r="B220" s="13"/>
    </row>
    <row r="221" spans="1:2" x14ac:dyDescent="0.25">
      <c r="A221" s="13"/>
      <c r="B221" s="13"/>
    </row>
    <row r="222" spans="1:2" x14ac:dyDescent="0.25">
      <c r="A222" s="13"/>
      <c r="B222" s="13"/>
    </row>
    <row r="223" spans="1:2" x14ac:dyDescent="0.25">
      <c r="A223" s="13"/>
      <c r="B223" s="13"/>
    </row>
    <row r="224" spans="1:2" x14ac:dyDescent="0.25">
      <c r="A224" s="13"/>
      <c r="B224" s="13"/>
    </row>
    <row r="225" spans="1:2" x14ac:dyDescent="0.25">
      <c r="A225" s="13"/>
      <c r="B225" s="13"/>
    </row>
    <row r="226" spans="1:2" x14ac:dyDescent="0.25">
      <c r="A226" s="13"/>
      <c r="B226" s="13"/>
    </row>
    <row r="227" spans="1:2" x14ac:dyDescent="0.25">
      <c r="A227" s="13"/>
      <c r="B227" s="13"/>
    </row>
    <row r="228" spans="1:2" x14ac:dyDescent="0.25">
      <c r="A228" s="13"/>
      <c r="B228" s="13"/>
    </row>
    <row r="229" spans="1:2" x14ac:dyDescent="0.25">
      <c r="A229" s="13"/>
      <c r="B229" s="13"/>
    </row>
    <row r="230" spans="1:2" x14ac:dyDescent="0.25">
      <c r="A230" s="13"/>
      <c r="B230" s="13"/>
    </row>
    <row r="231" spans="1:2" x14ac:dyDescent="0.25">
      <c r="A231" s="13"/>
      <c r="B231" s="13"/>
    </row>
    <row r="232" spans="1:2" x14ac:dyDescent="0.25">
      <c r="A232" s="13"/>
      <c r="B232" s="13"/>
    </row>
    <row r="233" spans="1:2" x14ac:dyDescent="0.25">
      <c r="A233" s="13"/>
      <c r="B233" s="13"/>
    </row>
    <row r="234" spans="1:2" x14ac:dyDescent="0.25">
      <c r="A234" s="13"/>
      <c r="B234" s="13"/>
    </row>
    <row r="235" spans="1:2" x14ac:dyDescent="0.25">
      <c r="A235" s="13"/>
      <c r="B235" s="13"/>
    </row>
    <row r="236" spans="1:2" x14ac:dyDescent="0.25">
      <c r="A236" s="13"/>
      <c r="B236" s="13"/>
    </row>
    <row r="237" spans="1:2" x14ac:dyDescent="0.25">
      <c r="A237" s="13"/>
      <c r="B237" s="13"/>
    </row>
    <row r="238" spans="1:2" x14ac:dyDescent="0.25">
      <c r="A238" s="13"/>
      <c r="B238" s="13"/>
    </row>
    <row r="239" spans="1:2" x14ac:dyDescent="0.25">
      <c r="A239" s="13"/>
      <c r="B239" s="13"/>
    </row>
    <row r="240" spans="1:2" x14ac:dyDescent="0.25">
      <c r="A240" s="13"/>
      <c r="B240" s="13"/>
    </row>
    <row r="241" spans="1:2" x14ac:dyDescent="0.25">
      <c r="A241" s="13"/>
      <c r="B241" s="13"/>
    </row>
    <row r="242" spans="1:2" x14ac:dyDescent="0.25">
      <c r="A242" s="13"/>
      <c r="B242" s="13"/>
    </row>
    <row r="243" spans="1:2" x14ac:dyDescent="0.25">
      <c r="A243" s="13"/>
      <c r="B243" s="13"/>
    </row>
    <row r="244" spans="1:2" x14ac:dyDescent="0.25">
      <c r="A244" s="13"/>
      <c r="B244" s="13"/>
    </row>
    <row r="245" spans="1:2" x14ac:dyDescent="0.25">
      <c r="A245" s="13"/>
      <c r="B245" s="13"/>
    </row>
    <row r="246" spans="1:2" x14ac:dyDescent="0.25">
      <c r="A246" s="13"/>
      <c r="B246" s="13"/>
    </row>
    <row r="247" spans="1:2" x14ac:dyDescent="0.25">
      <c r="A247" s="13"/>
      <c r="B247" s="13"/>
    </row>
    <row r="248" spans="1:2" x14ac:dyDescent="0.25">
      <c r="A248" s="13"/>
      <c r="B248" s="13"/>
    </row>
    <row r="249" spans="1:2" x14ac:dyDescent="0.25">
      <c r="A249" s="13"/>
      <c r="B249" s="13"/>
    </row>
    <row r="250" spans="1:2" x14ac:dyDescent="0.25">
      <c r="A250" s="13"/>
      <c r="B250" s="13"/>
    </row>
    <row r="251" spans="1:2" x14ac:dyDescent="0.25">
      <c r="A251" s="13"/>
      <c r="B251" s="13"/>
    </row>
    <row r="252" spans="1:2" x14ac:dyDescent="0.25">
      <c r="A252" s="13"/>
      <c r="B252" s="13"/>
    </row>
    <row r="253" spans="1:2" x14ac:dyDescent="0.25">
      <c r="A253" s="13"/>
      <c r="B253" s="13"/>
    </row>
    <row r="254" spans="1:2" x14ac:dyDescent="0.25">
      <c r="A254" s="13"/>
      <c r="B254" s="13"/>
    </row>
    <row r="255" spans="1:2" x14ac:dyDescent="0.25">
      <c r="A255" s="13"/>
      <c r="B255" s="13"/>
    </row>
    <row r="256" spans="1:2" x14ac:dyDescent="0.25">
      <c r="A256" s="13"/>
      <c r="B256" s="13"/>
    </row>
    <row r="257" spans="1:2" x14ac:dyDescent="0.25">
      <c r="A257" s="13"/>
      <c r="B257" s="13"/>
    </row>
    <row r="258" spans="1:2" x14ac:dyDescent="0.25">
      <c r="A258" s="13"/>
      <c r="B258" s="13"/>
    </row>
    <row r="259" spans="1:2" x14ac:dyDescent="0.25">
      <c r="A259" s="13"/>
      <c r="B259" s="13"/>
    </row>
    <row r="260" spans="1:2" x14ac:dyDescent="0.25">
      <c r="A260" s="13"/>
      <c r="B260" s="13"/>
    </row>
    <row r="261" spans="1:2" x14ac:dyDescent="0.25">
      <c r="A261" s="13"/>
      <c r="B261" s="13"/>
    </row>
    <row r="262" spans="1:2" x14ac:dyDescent="0.25">
      <c r="A262" s="13"/>
      <c r="B262" s="13"/>
    </row>
    <row r="263" spans="1:2" x14ac:dyDescent="0.25">
      <c r="A263" s="13"/>
      <c r="B263" s="13"/>
    </row>
    <row r="264" spans="1:2" x14ac:dyDescent="0.25">
      <c r="A264" s="13"/>
      <c r="B264" s="13"/>
    </row>
    <row r="265" spans="1:2" x14ac:dyDescent="0.25">
      <c r="A265" s="13"/>
      <c r="B265" s="13"/>
    </row>
    <row r="266" spans="1:2" x14ac:dyDescent="0.25">
      <c r="A266" s="13"/>
      <c r="B266" s="13"/>
    </row>
    <row r="267" spans="1:2" x14ac:dyDescent="0.25">
      <c r="A267" s="13"/>
      <c r="B267" s="13"/>
    </row>
    <row r="268" spans="1:2" x14ac:dyDescent="0.25">
      <c r="A268" s="13"/>
      <c r="B268" s="13"/>
    </row>
    <row r="269" spans="1:2" x14ac:dyDescent="0.25">
      <c r="A269" s="13"/>
      <c r="B269" s="13"/>
    </row>
    <row r="270" spans="1:2" x14ac:dyDescent="0.25">
      <c r="A270" s="13"/>
      <c r="B270" s="13"/>
    </row>
    <row r="271" spans="1:2" x14ac:dyDescent="0.25">
      <c r="A271" s="13"/>
      <c r="B271" s="13"/>
    </row>
    <row r="272" spans="1:2" x14ac:dyDescent="0.25">
      <c r="A272" s="13"/>
      <c r="B272" s="13"/>
    </row>
    <row r="273" spans="1:2" x14ac:dyDescent="0.25">
      <c r="A273" s="13"/>
      <c r="B273" s="13"/>
    </row>
    <row r="274" spans="1:2" x14ac:dyDescent="0.25">
      <c r="A274" s="13"/>
      <c r="B274" s="13"/>
    </row>
    <row r="275" spans="1:2" x14ac:dyDescent="0.25">
      <c r="A275" s="13"/>
      <c r="B275" s="13"/>
    </row>
    <row r="276" spans="1:2" x14ac:dyDescent="0.25">
      <c r="A276" s="13"/>
      <c r="B276" s="13"/>
    </row>
    <row r="277" spans="1:2" x14ac:dyDescent="0.25">
      <c r="A277" s="13"/>
      <c r="B277" s="13"/>
    </row>
    <row r="278" spans="1:2" x14ac:dyDescent="0.25">
      <c r="A278" s="13"/>
      <c r="B278" s="13"/>
    </row>
    <row r="279" spans="1:2" x14ac:dyDescent="0.25">
      <c r="A279" s="13"/>
      <c r="B279" s="13"/>
    </row>
    <row r="280" spans="1:2" x14ac:dyDescent="0.25">
      <c r="A280" s="13"/>
      <c r="B280" s="13"/>
    </row>
    <row r="281" spans="1:2" x14ac:dyDescent="0.25">
      <c r="A281" s="13"/>
      <c r="B281" s="13"/>
    </row>
    <row r="282" spans="1:2" x14ac:dyDescent="0.25">
      <c r="A282" s="13"/>
      <c r="B282" s="13"/>
    </row>
    <row r="283" spans="1:2" x14ac:dyDescent="0.25">
      <c r="A283" s="13"/>
      <c r="B283" s="13"/>
    </row>
    <row r="284" spans="1:2" x14ac:dyDescent="0.25">
      <c r="A284" s="13"/>
      <c r="B284" s="13"/>
    </row>
    <row r="285" spans="1:2" x14ac:dyDescent="0.25">
      <c r="A285" s="13"/>
      <c r="B285" s="13"/>
    </row>
    <row r="286" spans="1:2" x14ac:dyDescent="0.25">
      <c r="A286" s="13"/>
      <c r="B286" s="13"/>
    </row>
    <row r="287" spans="1:2" x14ac:dyDescent="0.25">
      <c r="A287" s="13"/>
      <c r="B287" s="13"/>
    </row>
    <row r="288" spans="1:2" x14ac:dyDescent="0.25">
      <c r="A288" s="13"/>
      <c r="B288" s="13"/>
    </row>
    <row r="289" spans="1:2" x14ac:dyDescent="0.25">
      <c r="A289" s="13"/>
      <c r="B289" s="13"/>
    </row>
    <row r="290" spans="1:2" x14ac:dyDescent="0.25">
      <c r="A290" s="13"/>
      <c r="B290" s="13"/>
    </row>
    <row r="291" spans="1:2" x14ac:dyDescent="0.25">
      <c r="A291" s="13"/>
      <c r="B291" s="13"/>
    </row>
    <row r="292" spans="1:2" x14ac:dyDescent="0.25">
      <c r="A292" s="13"/>
      <c r="B292" s="13"/>
    </row>
    <row r="293" spans="1:2" x14ac:dyDescent="0.25">
      <c r="A293" s="13"/>
      <c r="B293" s="13"/>
    </row>
    <row r="294" spans="1:2" x14ac:dyDescent="0.25">
      <c r="A294" s="13"/>
      <c r="B294" s="13"/>
    </row>
    <row r="295" spans="1:2" x14ac:dyDescent="0.25">
      <c r="A295" s="13"/>
      <c r="B295" s="13"/>
    </row>
    <row r="296" spans="1:2" x14ac:dyDescent="0.25">
      <c r="A296" s="13"/>
      <c r="B296" s="13"/>
    </row>
    <row r="297" spans="1:2" x14ac:dyDescent="0.25">
      <c r="A297" s="13"/>
      <c r="B297" s="13"/>
    </row>
    <row r="298" spans="1:2" x14ac:dyDescent="0.25">
      <c r="A298" s="13"/>
      <c r="B298" s="13"/>
    </row>
    <row r="299" spans="1:2" x14ac:dyDescent="0.25">
      <c r="A299" s="13"/>
      <c r="B299" s="13"/>
    </row>
    <row r="300" spans="1:2" x14ac:dyDescent="0.25">
      <c r="A300" s="13"/>
      <c r="B300" s="13"/>
    </row>
    <row r="301" spans="1:2" x14ac:dyDescent="0.25">
      <c r="A301" s="13"/>
      <c r="B301" s="13"/>
    </row>
    <row r="302" spans="1:2" x14ac:dyDescent="0.25">
      <c r="A302" s="13"/>
      <c r="B302" s="13"/>
    </row>
    <row r="303" spans="1:2" x14ac:dyDescent="0.25">
      <c r="A303" s="13"/>
      <c r="B303" s="13"/>
    </row>
    <row r="304" spans="1:2" x14ac:dyDescent="0.25">
      <c r="A304" s="13"/>
      <c r="B304" s="13"/>
    </row>
    <row r="305" spans="1:2" x14ac:dyDescent="0.25">
      <c r="A305" s="13"/>
      <c r="B305" s="13"/>
    </row>
    <row r="306" spans="1:2" x14ac:dyDescent="0.25">
      <c r="A306" s="13"/>
      <c r="B306" s="13"/>
    </row>
    <row r="307" spans="1:2" x14ac:dyDescent="0.25">
      <c r="A307" s="13"/>
      <c r="B307" s="13"/>
    </row>
    <row r="308" spans="1:2" x14ac:dyDescent="0.25">
      <c r="A308" s="13"/>
      <c r="B308" s="13"/>
    </row>
    <row r="309" spans="1:2" x14ac:dyDescent="0.25">
      <c r="A309" s="13"/>
      <c r="B309" s="13"/>
    </row>
    <row r="310" spans="1:2" x14ac:dyDescent="0.25">
      <c r="A310" s="13"/>
      <c r="B310" s="13"/>
    </row>
    <row r="311" spans="1:2" x14ac:dyDescent="0.25">
      <c r="A311" s="13"/>
      <c r="B311" s="13"/>
    </row>
    <row r="312" spans="1:2" x14ac:dyDescent="0.25">
      <c r="A312" s="13"/>
      <c r="B312" s="13"/>
    </row>
    <row r="313" spans="1:2" x14ac:dyDescent="0.25">
      <c r="A313" s="13"/>
      <c r="B313" s="13"/>
    </row>
    <row r="314" spans="1:2" x14ac:dyDescent="0.25">
      <c r="A314" s="13"/>
      <c r="B314" s="13"/>
    </row>
    <row r="315" spans="1:2" x14ac:dyDescent="0.25">
      <c r="A315" s="13"/>
      <c r="B315" s="13"/>
    </row>
    <row r="316" spans="1:2" x14ac:dyDescent="0.25">
      <c r="A316" s="13"/>
      <c r="B316" s="13"/>
    </row>
    <row r="317" spans="1:2" x14ac:dyDescent="0.25">
      <c r="A317" s="13"/>
      <c r="B317" s="13"/>
    </row>
    <row r="318" spans="1:2" x14ac:dyDescent="0.25">
      <c r="A318" s="13"/>
      <c r="B318" s="13"/>
    </row>
    <row r="319" spans="1:2" x14ac:dyDescent="0.25">
      <c r="A319" s="13"/>
      <c r="B319" s="13"/>
    </row>
    <row r="320" spans="1:2" x14ac:dyDescent="0.25">
      <c r="A320" s="13"/>
      <c r="B320" s="13"/>
    </row>
    <row r="321" spans="1:2" x14ac:dyDescent="0.25">
      <c r="A321" s="13"/>
      <c r="B321" s="13"/>
    </row>
    <row r="322" spans="1:2" x14ac:dyDescent="0.25">
      <c r="A322" s="13"/>
      <c r="B322" s="13"/>
    </row>
    <row r="323" spans="1:2" x14ac:dyDescent="0.25">
      <c r="A323" s="13"/>
      <c r="B323" s="13"/>
    </row>
    <row r="324" spans="1:2" x14ac:dyDescent="0.25">
      <c r="A324" s="13"/>
      <c r="B324" s="13"/>
    </row>
    <row r="325" spans="1:2" x14ac:dyDescent="0.25">
      <c r="A325" s="13"/>
      <c r="B325" s="13"/>
    </row>
    <row r="326" spans="1:2" x14ac:dyDescent="0.25">
      <c r="A326" s="13"/>
      <c r="B326" s="13"/>
    </row>
    <row r="327" spans="1:2" x14ac:dyDescent="0.25">
      <c r="A327" s="13"/>
      <c r="B327" s="13"/>
    </row>
    <row r="328" spans="1:2" x14ac:dyDescent="0.25">
      <c r="A328" s="13"/>
      <c r="B328" s="13"/>
    </row>
    <row r="329" spans="1:2" x14ac:dyDescent="0.25">
      <c r="A329" s="13"/>
      <c r="B329" s="13"/>
    </row>
    <row r="330" spans="1:2" x14ac:dyDescent="0.25">
      <c r="A330" s="13"/>
      <c r="B330" s="13"/>
    </row>
    <row r="331" spans="1:2" x14ac:dyDescent="0.25">
      <c r="A331" s="13"/>
      <c r="B331" s="13"/>
    </row>
    <row r="332" spans="1:2" x14ac:dyDescent="0.25">
      <c r="A332" s="13"/>
      <c r="B332" s="13"/>
    </row>
    <row r="333" spans="1:2" x14ac:dyDescent="0.25">
      <c r="A333" s="13"/>
      <c r="B333" s="13"/>
    </row>
    <row r="334" spans="1:2" x14ac:dyDescent="0.25">
      <c r="A334" s="13"/>
      <c r="B334" s="13"/>
    </row>
    <row r="335" spans="1:2" x14ac:dyDescent="0.25">
      <c r="A335" s="13"/>
      <c r="B335" s="13"/>
    </row>
    <row r="336" spans="1:2" x14ac:dyDescent="0.25">
      <c r="A336" s="13"/>
      <c r="B336" s="13"/>
    </row>
    <row r="337" spans="1:2" x14ac:dyDescent="0.25">
      <c r="A337" s="13"/>
      <c r="B337" s="13"/>
    </row>
    <row r="338" spans="1:2" x14ac:dyDescent="0.25">
      <c r="A338" s="13"/>
      <c r="B338" s="13"/>
    </row>
    <row r="339" spans="1:2" x14ac:dyDescent="0.25">
      <c r="A339" s="13"/>
      <c r="B339" s="13"/>
    </row>
    <row r="340" spans="1:2" x14ac:dyDescent="0.25">
      <c r="A340" s="13"/>
      <c r="B340" s="13"/>
    </row>
    <row r="341" spans="1:2" x14ac:dyDescent="0.25">
      <c r="A341" s="13"/>
      <c r="B341" s="13"/>
    </row>
    <row r="342" spans="1:2" x14ac:dyDescent="0.25">
      <c r="A342" s="13"/>
      <c r="B342" s="13"/>
    </row>
    <row r="343" spans="1:2" x14ac:dyDescent="0.25">
      <c r="A343" s="13"/>
      <c r="B343" s="13"/>
    </row>
    <row r="344" spans="1:2" x14ac:dyDescent="0.25">
      <c r="A344" s="13"/>
      <c r="B344" s="13"/>
    </row>
    <row r="345" spans="1:2" x14ac:dyDescent="0.25">
      <c r="A345" s="13"/>
      <c r="B345" s="13"/>
    </row>
    <row r="346" spans="1:2" x14ac:dyDescent="0.25">
      <c r="A346" s="13"/>
      <c r="B346" s="13"/>
    </row>
    <row r="347" spans="1:2" x14ac:dyDescent="0.25">
      <c r="A347" s="13"/>
      <c r="B347" s="13"/>
    </row>
    <row r="348" spans="1:2" x14ac:dyDescent="0.25">
      <c r="A348" s="13"/>
      <c r="B348" s="13"/>
    </row>
    <row r="349" spans="1:2" x14ac:dyDescent="0.25">
      <c r="A349" s="13"/>
      <c r="B349" s="13"/>
    </row>
    <row r="350" spans="1:2" x14ac:dyDescent="0.25">
      <c r="A350" s="13"/>
      <c r="B350" s="13"/>
    </row>
    <row r="351" spans="1:2" x14ac:dyDescent="0.25">
      <c r="A351" s="13"/>
      <c r="B351" s="13"/>
    </row>
    <row r="352" spans="1:2" x14ac:dyDescent="0.25">
      <c r="A352" s="13"/>
      <c r="B352" s="13"/>
    </row>
    <row r="353" spans="1:2" x14ac:dyDescent="0.25">
      <c r="A353" s="13"/>
      <c r="B353" s="13"/>
    </row>
    <row r="354" spans="1:2" x14ac:dyDescent="0.25">
      <c r="A354" s="13"/>
      <c r="B354" s="13"/>
    </row>
    <row r="355" spans="1:2" x14ac:dyDescent="0.25">
      <c r="A355" s="13"/>
      <c r="B355" s="13"/>
    </row>
    <row r="356" spans="1:2" x14ac:dyDescent="0.25">
      <c r="A356" s="13"/>
      <c r="B356" s="13"/>
    </row>
    <row r="357" spans="1:2" x14ac:dyDescent="0.25">
      <c r="A357" s="13"/>
      <c r="B357" s="13"/>
    </row>
    <row r="358" spans="1:2" x14ac:dyDescent="0.25">
      <c r="A358" s="13"/>
      <c r="B358" s="13"/>
    </row>
    <row r="359" spans="1:2" x14ac:dyDescent="0.25">
      <c r="A359" s="13"/>
      <c r="B359" s="13"/>
    </row>
    <row r="360" spans="1:2" x14ac:dyDescent="0.25">
      <c r="A360" s="13"/>
      <c r="B360" s="13"/>
    </row>
    <row r="361" spans="1:2" x14ac:dyDescent="0.25">
      <c r="A361" s="13"/>
      <c r="B361" s="13"/>
    </row>
    <row r="362" spans="1:2" x14ac:dyDescent="0.25">
      <c r="A362" s="13"/>
      <c r="B362" s="13"/>
    </row>
    <row r="363" spans="1:2" x14ac:dyDescent="0.25">
      <c r="A363" s="13"/>
      <c r="B363" s="13"/>
    </row>
    <row r="364" spans="1:2" x14ac:dyDescent="0.25">
      <c r="A364" s="13"/>
      <c r="B364" s="13"/>
    </row>
    <row r="365" spans="1:2" x14ac:dyDescent="0.25">
      <c r="A365" s="13"/>
      <c r="B365" s="13"/>
    </row>
    <row r="366" spans="1:2" x14ac:dyDescent="0.25">
      <c r="A366" s="13"/>
      <c r="B366" s="13"/>
    </row>
    <row r="367" spans="1:2" x14ac:dyDescent="0.25">
      <c r="A367" s="13"/>
      <c r="B367" s="13"/>
    </row>
    <row r="368" spans="1:2" x14ac:dyDescent="0.25">
      <c r="A368" s="13"/>
      <c r="B368" s="13"/>
    </row>
    <row r="369" spans="1:2" x14ac:dyDescent="0.25">
      <c r="A369" s="13"/>
      <c r="B369" s="13"/>
    </row>
    <row r="370" spans="1:2" x14ac:dyDescent="0.25">
      <c r="A370" s="13"/>
      <c r="B370" s="13"/>
    </row>
    <row r="371" spans="1:2" x14ac:dyDescent="0.25">
      <c r="A371" s="13"/>
      <c r="B371" s="13"/>
    </row>
    <row r="372" spans="1:2" x14ac:dyDescent="0.25">
      <c r="A372" s="13"/>
      <c r="B372" s="13"/>
    </row>
    <row r="373" spans="1:2" x14ac:dyDescent="0.25">
      <c r="A373" s="13"/>
      <c r="B373" s="13"/>
    </row>
    <row r="374" spans="1:2" x14ac:dyDescent="0.25">
      <c r="A374" s="13"/>
      <c r="B374" s="13"/>
    </row>
    <row r="375" spans="1:2" x14ac:dyDescent="0.25">
      <c r="A375" s="13"/>
      <c r="B375" s="13"/>
    </row>
    <row r="376" spans="1:2" x14ac:dyDescent="0.25">
      <c r="A376" s="13"/>
      <c r="B376" s="13"/>
    </row>
    <row r="377" spans="1:2" x14ac:dyDescent="0.25">
      <c r="A377" s="13"/>
      <c r="B377" s="13"/>
    </row>
    <row r="378" spans="1:2" x14ac:dyDescent="0.25">
      <c r="A378" s="13"/>
      <c r="B378" s="13"/>
    </row>
    <row r="379" spans="1:2" x14ac:dyDescent="0.25">
      <c r="A379" s="13"/>
      <c r="B379" s="13"/>
    </row>
    <row r="380" spans="1:2" x14ac:dyDescent="0.25">
      <c r="A380" s="13"/>
      <c r="B380" s="13"/>
    </row>
    <row r="381" spans="1:2" x14ac:dyDescent="0.25">
      <c r="A381" s="13"/>
      <c r="B381" s="13"/>
    </row>
    <row r="382" spans="1:2" x14ac:dyDescent="0.25">
      <c r="A382" s="13"/>
      <c r="B382" s="13"/>
    </row>
    <row r="383" spans="1:2" x14ac:dyDescent="0.25">
      <c r="A383" s="13"/>
      <c r="B383" s="13"/>
    </row>
    <row r="384" spans="1:2" x14ac:dyDescent="0.25">
      <c r="A384" s="13"/>
      <c r="B384" s="13"/>
    </row>
    <row r="385" spans="1:2" x14ac:dyDescent="0.25">
      <c r="A385" s="13"/>
      <c r="B385" s="13"/>
    </row>
    <row r="386" spans="1:2" x14ac:dyDescent="0.25">
      <c r="A386" s="13"/>
      <c r="B386" s="13"/>
    </row>
    <row r="387" spans="1:2" x14ac:dyDescent="0.25">
      <c r="A387" s="13"/>
      <c r="B387" s="13"/>
    </row>
    <row r="388" spans="1:2" x14ac:dyDescent="0.25">
      <c r="A388" s="13"/>
      <c r="B388" s="13"/>
    </row>
    <row r="389" spans="1:2" x14ac:dyDescent="0.25">
      <c r="A389" s="13"/>
      <c r="B389" s="13"/>
    </row>
    <row r="390" spans="1:2" x14ac:dyDescent="0.25">
      <c r="A390" s="13"/>
      <c r="B390" s="13"/>
    </row>
    <row r="391" spans="1:2" x14ac:dyDescent="0.25">
      <c r="A391" s="13"/>
      <c r="B391" s="13"/>
    </row>
    <row r="392" spans="1:2" x14ac:dyDescent="0.25">
      <c r="A392" s="13"/>
      <c r="B392" s="13"/>
    </row>
    <row r="393" spans="1:2" x14ac:dyDescent="0.25">
      <c r="A393" s="13"/>
      <c r="B393" s="13"/>
    </row>
    <row r="394" spans="1:2" x14ac:dyDescent="0.25">
      <c r="A394" s="13"/>
      <c r="B394" s="13"/>
    </row>
    <row r="395" spans="1:2" x14ac:dyDescent="0.25">
      <c r="A395" s="13"/>
      <c r="B395" s="13"/>
    </row>
    <row r="396" spans="1:2" x14ac:dyDescent="0.25">
      <c r="A396" s="13"/>
      <c r="B396" s="13"/>
    </row>
    <row r="397" spans="1:2" x14ac:dyDescent="0.25">
      <c r="A397" s="13"/>
      <c r="B397" s="13"/>
    </row>
    <row r="398" spans="1:2" x14ac:dyDescent="0.25">
      <c r="A398" s="13"/>
      <c r="B398" s="13"/>
    </row>
    <row r="399" spans="1:2" x14ac:dyDescent="0.25">
      <c r="A399" s="13"/>
      <c r="B399" s="13"/>
    </row>
    <row r="400" spans="1:2" x14ac:dyDescent="0.25">
      <c r="A400" s="13"/>
      <c r="B400" s="13"/>
    </row>
    <row r="401" spans="1:2" x14ac:dyDescent="0.25">
      <c r="A401" s="13"/>
      <c r="B401" s="13"/>
    </row>
    <row r="402" spans="1:2" x14ac:dyDescent="0.25">
      <c r="A402" s="13"/>
      <c r="B402" s="13"/>
    </row>
    <row r="403" spans="1:2" x14ac:dyDescent="0.25">
      <c r="A403" s="13"/>
      <c r="B403" s="13"/>
    </row>
    <row r="404" spans="1:2" x14ac:dyDescent="0.25">
      <c r="A404" s="13"/>
      <c r="B404" s="13"/>
    </row>
    <row r="405" spans="1:2" x14ac:dyDescent="0.25">
      <c r="A405" s="13"/>
      <c r="B405" s="13"/>
    </row>
    <row r="406" spans="1:2" x14ac:dyDescent="0.25">
      <c r="A406" s="13"/>
      <c r="B406" s="13"/>
    </row>
    <row r="407" spans="1:2" x14ac:dyDescent="0.25">
      <c r="A407" s="13"/>
      <c r="B407" s="13"/>
    </row>
    <row r="408" spans="1:2" x14ac:dyDescent="0.25">
      <c r="A408" s="13"/>
      <c r="B408" s="13"/>
    </row>
    <row r="409" spans="1:2" x14ac:dyDescent="0.25">
      <c r="A409" s="13"/>
      <c r="B409" s="13"/>
    </row>
    <row r="410" spans="1:2" x14ac:dyDescent="0.25">
      <c r="A410" s="13"/>
      <c r="B410" s="13"/>
    </row>
    <row r="411" spans="1:2" x14ac:dyDescent="0.25">
      <c r="A411" s="13"/>
      <c r="B411" s="13"/>
    </row>
    <row r="412" spans="1:2" x14ac:dyDescent="0.25">
      <c r="A412" s="13"/>
      <c r="B412" s="13"/>
    </row>
    <row r="413" spans="1:2" x14ac:dyDescent="0.25">
      <c r="A413" s="13"/>
      <c r="B413" s="13"/>
    </row>
    <row r="414" spans="1:2" x14ac:dyDescent="0.25">
      <c r="A414" s="13"/>
      <c r="B414" s="13"/>
    </row>
    <row r="415" spans="1:2" x14ac:dyDescent="0.25">
      <c r="A415" s="13"/>
      <c r="B415" s="13"/>
    </row>
    <row r="416" spans="1:2" x14ac:dyDescent="0.25">
      <c r="A416" s="13"/>
      <c r="B416" s="13"/>
    </row>
    <row r="417" spans="1:2" x14ac:dyDescent="0.25">
      <c r="A417" s="13"/>
      <c r="B417" s="13"/>
    </row>
    <row r="418" spans="1:2" x14ac:dyDescent="0.25">
      <c r="A418" s="13"/>
      <c r="B418" s="13"/>
    </row>
    <row r="419" spans="1:2" x14ac:dyDescent="0.25">
      <c r="A419" s="13"/>
      <c r="B419" s="13"/>
    </row>
    <row r="420" spans="1:2" x14ac:dyDescent="0.25">
      <c r="A420" s="13"/>
      <c r="B420" s="13"/>
    </row>
    <row r="421" spans="1:2" x14ac:dyDescent="0.25">
      <c r="A421" s="13"/>
      <c r="B421" s="13"/>
    </row>
    <row r="422" spans="1:2" x14ac:dyDescent="0.25">
      <c r="A422" s="13"/>
      <c r="B422" s="13"/>
    </row>
    <row r="423" spans="1:2" x14ac:dyDescent="0.25">
      <c r="A423" s="13"/>
      <c r="B423" s="13"/>
    </row>
    <row r="424" spans="1:2" x14ac:dyDescent="0.25">
      <c r="A424" s="13"/>
      <c r="B424" s="13"/>
    </row>
    <row r="425" spans="1:2" x14ac:dyDescent="0.25">
      <c r="A425" s="13"/>
      <c r="B425" s="13"/>
    </row>
    <row r="426" spans="1:2" x14ac:dyDescent="0.25">
      <c r="A426" s="13"/>
      <c r="B426" s="13"/>
    </row>
    <row r="427" spans="1:2" x14ac:dyDescent="0.25">
      <c r="A427" s="13"/>
      <c r="B427" s="13"/>
    </row>
    <row r="428" spans="1:2" x14ac:dyDescent="0.25">
      <c r="A428" s="13"/>
      <c r="B428" s="13"/>
    </row>
    <row r="429" spans="1:2" x14ac:dyDescent="0.25">
      <c r="A429" s="13"/>
      <c r="B429" s="13"/>
    </row>
    <row r="430" spans="1:2" x14ac:dyDescent="0.25">
      <c r="A430" s="13"/>
      <c r="B430" s="13"/>
    </row>
    <row r="431" spans="1:2" x14ac:dyDescent="0.25">
      <c r="A431" s="13"/>
      <c r="B431" s="13"/>
    </row>
    <row r="432" spans="1:2" x14ac:dyDescent="0.25">
      <c r="A432" s="13"/>
      <c r="B432" s="13"/>
    </row>
    <row r="433" spans="1:2" x14ac:dyDescent="0.25">
      <c r="A433" s="13"/>
      <c r="B433" s="13"/>
    </row>
    <row r="434" spans="1:2" x14ac:dyDescent="0.25">
      <c r="A434" s="13"/>
      <c r="B434" s="13"/>
    </row>
    <row r="435" spans="1:2" x14ac:dyDescent="0.25">
      <c r="A435" s="13"/>
      <c r="B435" s="13"/>
    </row>
    <row r="436" spans="1:2" x14ac:dyDescent="0.25">
      <c r="A436" s="13"/>
      <c r="B436" s="13"/>
    </row>
    <row r="437" spans="1:2" x14ac:dyDescent="0.25">
      <c r="A437" s="13"/>
      <c r="B437" s="13"/>
    </row>
    <row r="438" spans="1:2" x14ac:dyDescent="0.25">
      <c r="A438" s="13"/>
      <c r="B438" s="13"/>
    </row>
    <row r="439" spans="1:2" x14ac:dyDescent="0.25">
      <c r="A439" s="13"/>
      <c r="B439" s="13"/>
    </row>
    <row r="440" spans="1:2" x14ac:dyDescent="0.25">
      <c r="A440" s="13"/>
      <c r="B440" s="13"/>
    </row>
    <row r="441" spans="1:2" x14ac:dyDescent="0.25">
      <c r="A441" s="13"/>
      <c r="B441" s="13"/>
    </row>
    <row r="442" spans="1:2" x14ac:dyDescent="0.25">
      <c r="A442" s="13"/>
      <c r="B442" s="13"/>
    </row>
    <row r="443" spans="1:2" x14ac:dyDescent="0.25">
      <c r="A443" s="13"/>
      <c r="B443" s="13"/>
    </row>
    <row r="444" spans="1:2" x14ac:dyDescent="0.25">
      <c r="A444" s="13"/>
      <c r="B444" s="13"/>
    </row>
    <row r="445" spans="1:2" x14ac:dyDescent="0.25">
      <c r="A445" s="13"/>
      <c r="B445" s="13"/>
    </row>
    <row r="446" spans="1:2" x14ac:dyDescent="0.25">
      <c r="A446" s="13"/>
      <c r="B446" s="13"/>
    </row>
    <row r="447" spans="1:2" x14ac:dyDescent="0.25">
      <c r="A447" s="13"/>
      <c r="B447" s="13"/>
    </row>
    <row r="448" spans="1:2" x14ac:dyDescent="0.25">
      <c r="A448" s="13"/>
      <c r="B448" s="13"/>
    </row>
    <row r="449" spans="1:2" x14ac:dyDescent="0.25">
      <c r="A449" s="13"/>
      <c r="B449" s="13"/>
    </row>
    <row r="450" spans="1:2" x14ac:dyDescent="0.25">
      <c r="A450" s="13"/>
      <c r="B450" s="13"/>
    </row>
    <row r="451" spans="1:2" x14ac:dyDescent="0.25">
      <c r="A451" s="13"/>
      <c r="B451" s="13"/>
    </row>
    <row r="452" spans="1:2" x14ac:dyDescent="0.25">
      <c r="A452" s="13"/>
      <c r="B452" s="13"/>
    </row>
    <row r="453" spans="1:2" x14ac:dyDescent="0.25">
      <c r="A453" s="13"/>
      <c r="B453" s="13"/>
    </row>
    <row r="454" spans="1:2" x14ac:dyDescent="0.25">
      <c r="A454" s="13"/>
      <c r="B454" s="13"/>
    </row>
    <row r="455" spans="1:2" x14ac:dyDescent="0.25">
      <c r="A455" s="13"/>
      <c r="B455" s="13"/>
    </row>
    <row r="456" spans="1:2" x14ac:dyDescent="0.25">
      <c r="A456" s="13"/>
      <c r="B456" s="13"/>
    </row>
    <row r="457" spans="1:2" x14ac:dyDescent="0.25">
      <c r="A457" s="13"/>
      <c r="B457" s="13"/>
    </row>
    <row r="458" spans="1:2" x14ac:dyDescent="0.25">
      <c r="A458" s="13"/>
      <c r="B458" s="13"/>
    </row>
    <row r="459" spans="1:2" x14ac:dyDescent="0.25">
      <c r="A459" s="13"/>
      <c r="B459" s="13"/>
    </row>
    <row r="460" spans="1:2" x14ac:dyDescent="0.25">
      <c r="A460" s="13"/>
      <c r="B460" s="13"/>
    </row>
    <row r="461" spans="1:2" x14ac:dyDescent="0.25">
      <c r="A461" s="13"/>
      <c r="B461" s="13"/>
    </row>
    <row r="462" spans="1:2" x14ac:dyDescent="0.25">
      <c r="A462" s="13"/>
      <c r="B462" s="13"/>
    </row>
    <row r="463" spans="1:2" x14ac:dyDescent="0.25">
      <c r="A463" s="13"/>
      <c r="B463" s="13"/>
    </row>
    <row r="464" spans="1:2" x14ac:dyDescent="0.25">
      <c r="A464" s="13"/>
      <c r="B464" s="13"/>
    </row>
    <row r="465" spans="1:2" x14ac:dyDescent="0.25">
      <c r="A465" s="13"/>
      <c r="B465" s="13"/>
    </row>
    <row r="466" spans="1:2" x14ac:dyDescent="0.25">
      <c r="A466" s="13"/>
      <c r="B466" s="13"/>
    </row>
    <row r="467" spans="1:2" x14ac:dyDescent="0.25">
      <c r="A467" s="13"/>
      <c r="B467" s="13"/>
    </row>
    <row r="468" spans="1:2" x14ac:dyDescent="0.25">
      <c r="A468" s="13"/>
      <c r="B468" s="13"/>
    </row>
    <row r="469" spans="1:2" x14ac:dyDescent="0.25">
      <c r="A469" s="13"/>
      <c r="B469" s="13"/>
    </row>
    <row r="470" spans="1:2" x14ac:dyDescent="0.25">
      <c r="A470" s="13"/>
      <c r="B470" s="13"/>
    </row>
    <row r="471" spans="1:2" x14ac:dyDescent="0.25">
      <c r="A471" s="13"/>
      <c r="B471" s="13"/>
    </row>
    <row r="472" spans="1:2" x14ac:dyDescent="0.25">
      <c r="A472" s="13"/>
      <c r="B472" s="13"/>
    </row>
    <row r="473" spans="1:2" x14ac:dyDescent="0.25">
      <c r="A473" s="13"/>
      <c r="B473" s="13"/>
    </row>
    <row r="474" spans="1:2" x14ac:dyDescent="0.25">
      <c r="A474" s="13"/>
      <c r="B474" s="13"/>
    </row>
    <row r="475" spans="1:2" x14ac:dyDescent="0.25">
      <c r="A475" s="13"/>
      <c r="B475" s="13"/>
    </row>
    <row r="476" spans="1:2" x14ac:dyDescent="0.25">
      <c r="A476" s="13"/>
      <c r="B476" s="13"/>
    </row>
    <row r="477" spans="1:2" x14ac:dyDescent="0.25">
      <c r="A477" s="13"/>
      <c r="B477" s="13"/>
    </row>
    <row r="478" spans="1:2" x14ac:dyDescent="0.25">
      <c r="A478" s="13"/>
      <c r="B478" s="13"/>
    </row>
    <row r="479" spans="1:2" x14ac:dyDescent="0.25">
      <c r="A479" s="13"/>
      <c r="B479" s="13"/>
    </row>
    <row r="480" spans="1:2" x14ac:dyDescent="0.25">
      <c r="A480" s="13"/>
      <c r="B480" s="13"/>
    </row>
    <row r="481" spans="1:2" x14ac:dyDescent="0.25">
      <c r="A481" s="13"/>
      <c r="B481" s="13"/>
    </row>
    <row r="482" spans="1:2" x14ac:dyDescent="0.25">
      <c r="A482" s="13"/>
      <c r="B482" s="13"/>
    </row>
    <row r="483" spans="1:2" x14ac:dyDescent="0.25">
      <c r="A483" s="13"/>
      <c r="B483" s="13"/>
    </row>
    <row r="484" spans="1:2" x14ac:dyDescent="0.25">
      <c r="A484" s="13"/>
      <c r="B484" s="13"/>
    </row>
    <row r="485" spans="1:2" x14ac:dyDescent="0.25">
      <c r="A485" s="13"/>
      <c r="B485" s="13"/>
    </row>
    <row r="486" spans="1:2" x14ac:dyDescent="0.25">
      <c r="A486" s="13"/>
      <c r="B486" s="13"/>
    </row>
    <row r="487" spans="1:2" x14ac:dyDescent="0.25">
      <c r="A487" s="13"/>
      <c r="B487" s="13"/>
    </row>
    <row r="488" spans="1:2" x14ac:dyDescent="0.25">
      <c r="A488" s="13"/>
      <c r="B488" s="13"/>
    </row>
    <row r="489" spans="1:2" x14ac:dyDescent="0.25">
      <c r="A489" s="13"/>
      <c r="B489" s="13"/>
    </row>
    <row r="490" spans="1:2" x14ac:dyDescent="0.25">
      <c r="A490" s="13"/>
      <c r="B490" s="13"/>
    </row>
    <row r="491" spans="1:2" x14ac:dyDescent="0.25">
      <c r="A491" s="13"/>
      <c r="B491" s="13"/>
    </row>
    <row r="492" spans="1:2" x14ac:dyDescent="0.25">
      <c r="A492" s="13"/>
      <c r="B492" s="13"/>
    </row>
    <row r="493" spans="1:2" x14ac:dyDescent="0.25">
      <c r="A493" s="13"/>
      <c r="B493" s="13"/>
    </row>
    <row r="494" spans="1:2" x14ac:dyDescent="0.25">
      <c r="A494" s="13"/>
      <c r="B494" s="13"/>
    </row>
    <row r="495" spans="1:2" x14ac:dyDescent="0.25">
      <c r="A495" s="13"/>
      <c r="B495" s="13"/>
    </row>
    <row r="496" spans="1:2" x14ac:dyDescent="0.25">
      <c r="A496" s="13"/>
      <c r="B496" s="13"/>
    </row>
    <row r="497" spans="1:2" x14ac:dyDescent="0.25">
      <c r="A497" s="13"/>
      <c r="B497" s="13"/>
    </row>
    <row r="498" spans="1:2" x14ac:dyDescent="0.25">
      <c r="A498" s="13"/>
      <c r="B498" s="13"/>
    </row>
    <row r="499" spans="1:2" x14ac:dyDescent="0.25">
      <c r="A499" s="13"/>
      <c r="B499" s="13"/>
    </row>
    <row r="500" spans="1:2" x14ac:dyDescent="0.25">
      <c r="A500" s="13"/>
      <c r="B500" s="13"/>
    </row>
    <row r="501" spans="1:2" x14ac:dyDescent="0.25">
      <c r="A501" s="13"/>
      <c r="B501" s="13"/>
    </row>
    <row r="502" spans="1:2" x14ac:dyDescent="0.25">
      <c r="A502" s="13"/>
      <c r="B502" s="13"/>
    </row>
    <row r="503" spans="1:2" x14ac:dyDescent="0.25">
      <c r="A503" s="13"/>
      <c r="B503" s="13"/>
    </row>
    <row r="504" spans="1:2" x14ac:dyDescent="0.25">
      <c r="A504" s="13"/>
      <c r="B504" s="13"/>
    </row>
    <row r="505" spans="1:2" x14ac:dyDescent="0.25">
      <c r="A505" s="13"/>
      <c r="B505" s="13"/>
    </row>
    <row r="506" spans="1:2" x14ac:dyDescent="0.25">
      <c r="A506" s="13"/>
      <c r="B506" s="13"/>
    </row>
    <row r="507" spans="1:2" x14ac:dyDescent="0.25">
      <c r="A507" s="13"/>
      <c r="B507" s="13"/>
    </row>
    <row r="508" spans="1:2" x14ac:dyDescent="0.25">
      <c r="A508" s="13"/>
      <c r="B508" s="13"/>
    </row>
    <row r="509" spans="1:2" x14ac:dyDescent="0.25">
      <c r="A509" s="13"/>
      <c r="B509" s="13"/>
    </row>
    <row r="510" spans="1:2" x14ac:dyDescent="0.25">
      <c r="A510" s="13"/>
      <c r="B510" s="13"/>
    </row>
    <row r="511" spans="1:2" x14ac:dyDescent="0.25">
      <c r="A511" s="13"/>
      <c r="B511" s="13"/>
    </row>
    <row r="512" spans="1:2" x14ac:dyDescent="0.25">
      <c r="A512" s="13"/>
      <c r="B512" s="13"/>
    </row>
    <row r="513" spans="1:2" x14ac:dyDescent="0.25">
      <c r="A513" s="13"/>
      <c r="B513" s="13"/>
    </row>
    <row r="514" spans="1:2" x14ac:dyDescent="0.25">
      <c r="A514" s="13"/>
      <c r="B514" s="13"/>
    </row>
    <row r="515" spans="1:2" x14ac:dyDescent="0.25">
      <c r="A515" s="13"/>
      <c r="B515" s="13"/>
    </row>
    <row r="516" spans="1:2" x14ac:dyDescent="0.25">
      <c r="A516" s="13"/>
      <c r="B516" s="13"/>
    </row>
    <row r="517" spans="1:2" x14ac:dyDescent="0.25">
      <c r="A517" s="13"/>
      <c r="B517" s="13"/>
    </row>
    <row r="518" spans="1:2" x14ac:dyDescent="0.25">
      <c r="A518" s="13"/>
      <c r="B518" s="13"/>
    </row>
    <row r="519" spans="1:2" x14ac:dyDescent="0.25">
      <c r="A519" s="13"/>
      <c r="B519" s="13"/>
    </row>
    <row r="520" spans="1:2" x14ac:dyDescent="0.25">
      <c r="A520" s="13"/>
      <c r="B520" s="13"/>
    </row>
    <row r="521" spans="1:2" x14ac:dyDescent="0.25">
      <c r="A521" s="13"/>
      <c r="B521" s="13"/>
    </row>
    <row r="522" spans="1:2" x14ac:dyDescent="0.25">
      <c r="A522" s="13"/>
      <c r="B522" s="13"/>
    </row>
    <row r="523" spans="1:2" x14ac:dyDescent="0.25">
      <c r="A523" s="13"/>
      <c r="B523" s="13"/>
    </row>
    <row r="524" spans="1:2" x14ac:dyDescent="0.25">
      <c r="A524" s="13"/>
      <c r="B524" s="13"/>
    </row>
    <row r="525" spans="1:2" x14ac:dyDescent="0.25">
      <c r="A525" s="13"/>
      <c r="B525" s="13"/>
    </row>
    <row r="526" spans="1:2" x14ac:dyDescent="0.25">
      <c r="A526" s="13"/>
      <c r="B526" s="13"/>
    </row>
    <row r="527" spans="1:2" x14ac:dyDescent="0.25">
      <c r="A527" s="13"/>
      <c r="B527" s="13"/>
    </row>
    <row r="528" spans="1:2" x14ac:dyDescent="0.25">
      <c r="A528" s="13"/>
      <c r="B528" s="13"/>
    </row>
    <row r="529" spans="1:2" x14ac:dyDescent="0.25">
      <c r="A529" s="13"/>
      <c r="B529" s="13"/>
    </row>
    <row r="530" spans="1:2" x14ac:dyDescent="0.25">
      <c r="A530" s="13"/>
      <c r="B530" s="13"/>
    </row>
    <row r="531" spans="1:2" x14ac:dyDescent="0.25">
      <c r="A531" s="13"/>
      <c r="B531" s="13"/>
    </row>
    <row r="532" spans="1:2" x14ac:dyDescent="0.25">
      <c r="A532" s="13"/>
      <c r="B532" s="13"/>
    </row>
    <row r="533" spans="1:2" x14ac:dyDescent="0.25">
      <c r="A533" s="13"/>
      <c r="B533" s="13"/>
    </row>
    <row r="534" spans="1:2" x14ac:dyDescent="0.25">
      <c r="A534" s="13"/>
      <c r="B534" s="13"/>
    </row>
    <row r="535" spans="1:2" x14ac:dyDescent="0.25">
      <c r="A535" s="13"/>
      <c r="B535" s="13"/>
    </row>
    <row r="536" spans="1:2" x14ac:dyDescent="0.25">
      <c r="A536" s="13"/>
      <c r="B536" s="13"/>
    </row>
    <row r="537" spans="1:2" x14ac:dyDescent="0.25">
      <c r="A537" s="13"/>
      <c r="B537" s="13"/>
    </row>
    <row r="538" spans="1:2" x14ac:dyDescent="0.25">
      <c r="A538" s="13"/>
      <c r="B538" s="13"/>
    </row>
    <row r="539" spans="1:2" x14ac:dyDescent="0.25">
      <c r="A539" s="13"/>
      <c r="B539" s="13"/>
    </row>
    <row r="540" spans="1:2" x14ac:dyDescent="0.25">
      <c r="A540" s="13"/>
      <c r="B540" s="13"/>
    </row>
    <row r="541" spans="1:2" x14ac:dyDescent="0.25">
      <c r="A541" s="13"/>
      <c r="B541" s="13"/>
    </row>
    <row r="542" spans="1:2" x14ac:dyDescent="0.25">
      <c r="A542" s="13"/>
      <c r="B542" s="13"/>
    </row>
    <row r="543" spans="1:2" x14ac:dyDescent="0.25">
      <c r="A543" s="13"/>
      <c r="B543" s="13"/>
    </row>
    <row r="544" spans="1:2" x14ac:dyDescent="0.25">
      <c r="A544" s="13"/>
      <c r="B544" s="13"/>
    </row>
    <row r="545" spans="1:2" x14ac:dyDescent="0.25">
      <c r="A545" s="13"/>
      <c r="B545" s="13"/>
    </row>
    <row r="546" spans="1:2" x14ac:dyDescent="0.25">
      <c r="A546" s="13"/>
      <c r="B546" s="13"/>
    </row>
    <row r="547" spans="1:2" x14ac:dyDescent="0.25">
      <c r="A547" s="13"/>
      <c r="B547" s="13"/>
    </row>
    <row r="548" spans="1:2" x14ac:dyDescent="0.25">
      <c r="A548" s="13"/>
      <c r="B548" s="13"/>
    </row>
    <row r="549" spans="1:2" x14ac:dyDescent="0.25">
      <c r="A549" s="13"/>
      <c r="B549" s="13"/>
    </row>
    <row r="550" spans="1:2" x14ac:dyDescent="0.25">
      <c r="A550" s="13"/>
      <c r="B550" s="13"/>
    </row>
    <row r="551" spans="1:2" x14ac:dyDescent="0.25">
      <c r="A551" s="13"/>
      <c r="B551" s="13"/>
    </row>
    <row r="552" spans="1:2" x14ac:dyDescent="0.25">
      <c r="A552" s="13"/>
      <c r="B552" s="13"/>
    </row>
    <row r="553" spans="1:2" x14ac:dyDescent="0.25">
      <c r="A553" s="13"/>
      <c r="B553" s="13"/>
    </row>
    <row r="554" spans="1:2" x14ac:dyDescent="0.25">
      <c r="A554" s="13"/>
      <c r="B554" s="13"/>
    </row>
    <row r="555" spans="1:2" x14ac:dyDescent="0.25">
      <c r="A555" s="13"/>
      <c r="B555" s="13"/>
    </row>
    <row r="556" spans="1:2" x14ac:dyDescent="0.25">
      <c r="A556" s="13"/>
      <c r="B556" s="13"/>
    </row>
    <row r="557" spans="1:2" x14ac:dyDescent="0.25">
      <c r="A557" s="13"/>
      <c r="B557" s="13"/>
    </row>
    <row r="558" spans="1:2" x14ac:dyDescent="0.25">
      <c r="A558" s="13"/>
      <c r="B558" s="13"/>
    </row>
    <row r="559" spans="1:2" x14ac:dyDescent="0.25">
      <c r="A559" s="13"/>
      <c r="B559" s="13"/>
    </row>
    <row r="560" spans="1:2" x14ac:dyDescent="0.25">
      <c r="A560" s="13"/>
      <c r="B560" s="13"/>
    </row>
    <row r="561" spans="1:2" x14ac:dyDescent="0.25">
      <c r="A561" s="13"/>
      <c r="B561" s="13"/>
    </row>
    <row r="562" spans="1:2" x14ac:dyDescent="0.25">
      <c r="A562" s="13"/>
      <c r="B562" s="13"/>
    </row>
    <row r="563" spans="1:2" x14ac:dyDescent="0.25">
      <c r="A563" s="13"/>
      <c r="B563" s="13"/>
    </row>
    <row r="564" spans="1:2" x14ac:dyDescent="0.25">
      <c r="A564" s="13"/>
      <c r="B564" s="13"/>
    </row>
    <row r="565" spans="1:2" x14ac:dyDescent="0.25">
      <c r="A565" s="13"/>
      <c r="B565" s="13"/>
    </row>
    <row r="566" spans="1:2" x14ac:dyDescent="0.25">
      <c r="A566" s="13"/>
      <c r="B566" s="13"/>
    </row>
    <row r="567" spans="1:2" x14ac:dyDescent="0.25">
      <c r="A567" s="13"/>
      <c r="B567" s="13"/>
    </row>
    <row r="568" spans="1:2" x14ac:dyDescent="0.25">
      <c r="A568" s="13"/>
      <c r="B568" s="13"/>
    </row>
    <row r="569" spans="1:2" x14ac:dyDescent="0.25">
      <c r="A569" s="13"/>
      <c r="B569" s="13"/>
    </row>
    <row r="570" spans="1:2" x14ac:dyDescent="0.25">
      <c r="A570" s="13"/>
      <c r="B570" s="13"/>
    </row>
    <row r="571" spans="1:2" x14ac:dyDescent="0.25">
      <c r="A571" s="13"/>
      <c r="B571" s="13"/>
    </row>
    <row r="572" spans="1:2" x14ac:dyDescent="0.25">
      <c r="A572" s="13"/>
      <c r="B572" s="13"/>
    </row>
    <row r="573" spans="1:2" x14ac:dyDescent="0.25">
      <c r="A573" s="13"/>
      <c r="B573" s="13"/>
    </row>
    <row r="574" spans="1:2" x14ac:dyDescent="0.25">
      <c r="A574" s="13"/>
      <c r="B574" s="13"/>
    </row>
    <row r="575" spans="1:2" x14ac:dyDescent="0.25">
      <c r="A575" s="13"/>
      <c r="B575" s="13"/>
    </row>
    <row r="576" spans="1:2" x14ac:dyDescent="0.25">
      <c r="A576" s="13"/>
      <c r="B576" s="13"/>
    </row>
    <row r="577" spans="1:2" x14ac:dyDescent="0.25">
      <c r="A577" s="13"/>
      <c r="B577" s="13"/>
    </row>
    <row r="578" spans="1:2" x14ac:dyDescent="0.25">
      <c r="A578" s="13"/>
      <c r="B578" s="13"/>
    </row>
    <row r="579" spans="1:2" x14ac:dyDescent="0.25">
      <c r="A579" s="13"/>
      <c r="B579" s="13"/>
    </row>
    <row r="580" spans="1:2" x14ac:dyDescent="0.25">
      <c r="A580" s="13"/>
      <c r="B580" s="13"/>
    </row>
    <row r="581" spans="1:2" x14ac:dyDescent="0.25">
      <c r="A581" s="13"/>
      <c r="B581" s="13"/>
    </row>
    <row r="582" spans="1:2" x14ac:dyDescent="0.25">
      <c r="A582" s="13"/>
      <c r="B582" s="13"/>
    </row>
    <row r="583" spans="1:2" x14ac:dyDescent="0.25">
      <c r="A583" s="13"/>
      <c r="B583" s="13"/>
    </row>
    <row r="584" spans="1:2" x14ac:dyDescent="0.25">
      <c r="A584" s="13"/>
      <c r="B584" s="13"/>
    </row>
    <row r="585" spans="1:2" x14ac:dyDescent="0.25">
      <c r="A585" s="13"/>
      <c r="B585" s="13"/>
    </row>
    <row r="586" spans="1:2" x14ac:dyDescent="0.25">
      <c r="A586" s="13"/>
      <c r="B586" s="13"/>
    </row>
    <row r="587" spans="1:2" x14ac:dyDescent="0.25">
      <c r="A587" s="13"/>
      <c r="B587" s="13"/>
    </row>
    <row r="588" spans="1:2" x14ac:dyDescent="0.25">
      <c r="A588" s="13"/>
      <c r="B588" s="13"/>
    </row>
    <row r="589" spans="1:2" x14ac:dyDescent="0.25">
      <c r="A589" s="13"/>
      <c r="B589" s="13"/>
    </row>
    <row r="590" spans="1:2" x14ac:dyDescent="0.25">
      <c r="A590" s="13"/>
      <c r="B590" s="13"/>
    </row>
    <row r="591" spans="1:2" x14ac:dyDescent="0.25">
      <c r="A591" s="13"/>
      <c r="B591" s="13"/>
    </row>
    <row r="592" spans="1:2" x14ac:dyDescent="0.25">
      <c r="A592" s="13"/>
      <c r="B592" s="13"/>
    </row>
    <row r="593" spans="1:2" x14ac:dyDescent="0.25">
      <c r="A593" s="13"/>
      <c r="B593" s="13"/>
    </row>
    <row r="594" spans="1:2" x14ac:dyDescent="0.25">
      <c r="A594" s="13"/>
      <c r="B594" s="13"/>
    </row>
    <row r="595" spans="1:2" x14ac:dyDescent="0.25">
      <c r="A595" s="13"/>
      <c r="B595" s="13"/>
    </row>
    <row r="596" spans="1:2" x14ac:dyDescent="0.25">
      <c r="A596" s="13"/>
      <c r="B596" s="13"/>
    </row>
    <row r="597" spans="1:2" x14ac:dyDescent="0.25">
      <c r="A597" s="13"/>
      <c r="B597" s="13"/>
    </row>
    <row r="598" spans="1:2" x14ac:dyDescent="0.25">
      <c r="A598" s="13"/>
      <c r="B598" s="13"/>
    </row>
    <row r="599" spans="1:2" x14ac:dyDescent="0.25">
      <c r="A599" s="13"/>
      <c r="B599" s="13"/>
    </row>
    <row r="600" spans="1:2" x14ac:dyDescent="0.25">
      <c r="A600" s="13"/>
      <c r="B600" s="13"/>
    </row>
    <row r="601" spans="1:2" x14ac:dyDescent="0.25">
      <c r="A601" s="13"/>
      <c r="B601" s="13"/>
    </row>
    <row r="602" spans="1:2" x14ac:dyDescent="0.25">
      <c r="A602" s="13"/>
      <c r="B602" s="13"/>
    </row>
    <row r="603" spans="1:2" x14ac:dyDescent="0.25">
      <c r="A603" s="13"/>
      <c r="B603" s="13"/>
    </row>
    <row r="604" spans="1:2" x14ac:dyDescent="0.25">
      <c r="A604" s="13"/>
      <c r="B604" s="13"/>
    </row>
    <row r="605" spans="1:2" x14ac:dyDescent="0.25">
      <c r="A605" s="13"/>
      <c r="B605" s="13"/>
    </row>
    <row r="606" spans="1:2" x14ac:dyDescent="0.25">
      <c r="A606" s="13"/>
      <c r="B606" s="13"/>
    </row>
    <row r="607" spans="1:2" x14ac:dyDescent="0.25">
      <c r="A607" s="13"/>
      <c r="B607" s="13"/>
    </row>
    <row r="608" spans="1:2" x14ac:dyDescent="0.25">
      <c r="A608" s="13"/>
      <c r="B608" s="13"/>
    </row>
    <row r="609" spans="1:2" x14ac:dyDescent="0.25">
      <c r="A609" s="13"/>
      <c r="B609" s="13"/>
    </row>
    <row r="610" spans="1:2" x14ac:dyDescent="0.25">
      <c r="A610" s="13"/>
      <c r="B610" s="13"/>
    </row>
    <row r="611" spans="1:2" x14ac:dyDescent="0.25">
      <c r="A611" s="13"/>
      <c r="B611" s="13"/>
    </row>
    <row r="612" spans="1:2" x14ac:dyDescent="0.25">
      <c r="A612" s="13"/>
      <c r="B612" s="13"/>
    </row>
    <row r="613" spans="1:2" x14ac:dyDescent="0.25">
      <c r="A613" s="13"/>
      <c r="B613" s="13"/>
    </row>
    <row r="614" spans="1:2" x14ac:dyDescent="0.25">
      <c r="A614" s="13"/>
      <c r="B614" s="13"/>
    </row>
    <row r="615" spans="1:2" x14ac:dyDescent="0.25">
      <c r="A615" s="13"/>
      <c r="B615" s="13"/>
    </row>
    <row r="616" spans="1:2" x14ac:dyDescent="0.25">
      <c r="A616" s="13"/>
      <c r="B616" s="13"/>
    </row>
    <row r="617" spans="1:2" x14ac:dyDescent="0.25">
      <c r="A617" s="13"/>
      <c r="B617" s="13"/>
    </row>
    <row r="618" spans="1:2" x14ac:dyDescent="0.25">
      <c r="A618" s="13"/>
      <c r="B618" s="13"/>
    </row>
    <row r="619" spans="1:2" x14ac:dyDescent="0.25">
      <c r="A619" s="13"/>
      <c r="B619" s="13"/>
    </row>
    <row r="620" spans="1:2" x14ac:dyDescent="0.25">
      <c r="A620" s="13"/>
      <c r="B620" s="13"/>
    </row>
    <row r="621" spans="1:2" x14ac:dyDescent="0.25">
      <c r="A621" s="13"/>
      <c r="B621" s="13"/>
    </row>
    <row r="622" spans="1:2" x14ac:dyDescent="0.25">
      <c r="A622" s="13"/>
      <c r="B622" s="13"/>
    </row>
    <row r="623" spans="1:2" x14ac:dyDescent="0.25">
      <c r="A623" s="13"/>
      <c r="B623" s="13"/>
    </row>
    <row r="624" spans="1:2" x14ac:dyDescent="0.25">
      <c r="A624" s="13"/>
      <c r="B624" s="13"/>
    </row>
    <row r="625" spans="1:2" x14ac:dyDescent="0.25">
      <c r="A625" s="13"/>
      <c r="B625" s="13"/>
    </row>
    <row r="626" spans="1:2" x14ac:dyDescent="0.25">
      <c r="A626" s="13"/>
      <c r="B626" s="13"/>
    </row>
    <row r="627" spans="1:2" x14ac:dyDescent="0.25">
      <c r="A627" s="13"/>
      <c r="B627" s="13"/>
    </row>
    <row r="628" spans="1:2" x14ac:dyDescent="0.25">
      <c r="A628" s="13"/>
      <c r="B628" s="13"/>
    </row>
    <row r="629" spans="1:2" x14ac:dyDescent="0.25">
      <c r="A629" s="13"/>
      <c r="B629" s="13"/>
    </row>
    <row r="630" spans="1:2" x14ac:dyDescent="0.25">
      <c r="A630" s="13"/>
      <c r="B630" s="13"/>
    </row>
    <row r="631" spans="1:2" x14ac:dyDescent="0.25">
      <c r="A631" s="13"/>
      <c r="B631" s="13"/>
    </row>
    <row r="632" spans="1:2" x14ac:dyDescent="0.25">
      <c r="A632" s="13"/>
      <c r="B632" s="13"/>
    </row>
    <row r="633" spans="1:2" x14ac:dyDescent="0.25">
      <c r="A633" s="13"/>
      <c r="B633" s="13"/>
    </row>
    <row r="634" spans="1:2" x14ac:dyDescent="0.25">
      <c r="A634" s="13"/>
      <c r="B634" s="13"/>
    </row>
    <row r="635" spans="1:2" x14ac:dyDescent="0.25">
      <c r="A635" s="13"/>
      <c r="B635" s="13"/>
    </row>
    <row r="636" spans="1:2" x14ac:dyDescent="0.25">
      <c r="A636" s="13"/>
      <c r="B636" s="13"/>
    </row>
    <row r="637" spans="1:2" x14ac:dyDescent="0.25">
      <c r="A637" s="13"/>
      <c r="B637" s="13"/>
    </row>
    <row r="638" spans="1:2" x14ac:dyDescent="0.25">
      <c r="A638" s="13"/>
      <c r="B638" s="13"/>
    </row>
    <row r="639" spans="1:2" x14ac:dyDescent="0.25">
      <c r="A639" s="13"/>
      <c r="B639" s="13"/>
    </row>
    <row r="640" spans="1:2" x14ac:dyDescent="0.25">
      <c r="A640" s="13"/>
      <c r="B640" s="13"/>
    </row>
    <row r="641" spans="1:2" x14ac:dyDescent="0.25">
      <c r="A641" s="13"/>
      <c r="B641" s="13"/>
    </row>
    <row r="642" spans="1:2" x14ac:dyDescent="0.25">
      <c r="A642" s="13"/>
      <c r="B642" s="13"/>
    </row>
    <row r="643" spans="1:2" x14ac:dyDescent="0.25">
      <c r="A643" s="13"/>
      <c r="B643" s="13"/>
    </row>
    <row r="644" spans="1:2" x14ac:dyDescent="0.25">
      <c r="A644" s="13"/>
      <c r="B644" s="13"/>
    </row>
    <row r="645" spans="1:2" x14ac:dyDescent="0.25">
      <c r="A645" s="13"/>
      <c r="B645" s="13"/>
    </row>
    <row r="646" spans="1:2" x14ac:dyDescent="0.25">
      <c r="A646" s="13"/>
      <c r="B646" s="13"/>
    </row>
    <row r="647" spans="1:2" x14ac:dyDescent="0.25">
      <c r="A647" s="13"/>
      <c r="B647" s="13"/>
    </row>
    <row r="648" spans="1:2" x14ac:dyDescent="0.25">
      <c r="A648" s="13"/>
      <c r="B648" s="13"/>
    </row>
    <row r="649" spans="1:2" x14ac:dyDescent="0.25">
      <c r="A649" s="13"/>
      <c r="B649" s="13"/>
    </row>
    <row r="650" spans="1:2" x14ac:dyDescent="0.25">
      <c r="A650" s="13"/>
      <c r="B650" s="13"/>
    </row>
    <row r="651" spans="1:2" x14ac:dyDescent="0.25">
      <c r="A651" s="13"/>
      <c r="B651" s="13"/>
    </row>
    <row r="652" spans="1:2" x14ac:dyDescent="0.25">
      <c r="A652" s="13"/>
      <c r="B652" s="13"/>
    </row>
    <row r="653" spans="1:2" x14ac:dyDescent="0.25">
      <c r="A653" s="13"/>
      <c r="B653" s="13"/>
    </row>
    <row r="654" spans="1:2" x14ac:dyDescent="0.25">
      <c r="A654" s="13"/>
      <c r="B654" s="13"/>
    </row>
    <row r="655" spans="1:2" x14ac:dyDescent="0.25">
      <c r="A655" s="13"/>
      <c r="B655" s="13"/>
    </row>
    <row r="656" spans="1:2" x14ac:dyDescent="0.25">
      <c r="A656" s="13"/>
      <c r="B656" s="13"/>
    </row>
    <row r="657" spans="1:2" x14ac:dyDescent="0.25">
      <c r="A657" s="13"/>
      <c r="B657" s="13"/>
    </row>
    <row r="658" spans="1:2" x14ac:dyDescent="0.25">
      <c r="A658" s="13"/>
      <c r="B658" s="13"/>
    </row>
    <row r="659" spans="1:2" x14ac:dyDescent="0.25">
      <c r="A659" s="13"/>
      <c r="B659" s="13"/>
    </row>
    <row r="660" spans="1:2" x14ac:dyDescent="0.25">
      <c r="A660" s="13"/>
      <c r="B660" s="13"/>
    </row>
    <row r="661" spans="1:2" x14ac:dyDescent="0.25">
      <c r="A661" s="13"/>
      <c r="B661" s="13"/>
    </row>
    <row r="662" spans="1:2" x14ac:dyDescent="0.25">
      <c r="A662" s="13"/>
      <c r="B662" s="13"/>
    </row>
    <row r="663" spans="1:2" x14ac:dyDescent="0.25">
      <c r="A663" s="13"/>
      <c r="B663" s="13"/>
    </row>
    <row r="664" spans="1:2" x14ac:dyDescent="0.25">
      <c r="A664" s="13"/>
      <c r="B664" s="13"/>
    </row>
    <row r="665" spans="1:2" x14ac:dyDescent="0.25">
      <c r="A665" s="13"/>
      <c r="B665" s="13"/>
    </row>
    <row r="666" spans="1:2" x14ac:dyDescent="0.25">
      <c r="A666" s="13"/>
      <c r="B666" s="13"/>
    </row>
    <row r="667" spans="1:2" x14ac:dyDescent="0.25">
      <c r="A667" s="13"/>
      <c r="B667" s="13"/>
    </row>
    <row r="668" spans="1:2" x14ac:dyDescent="0.25">
      <c r="A668" s="13"/>
      <c r="B668" s="13"/>
    </row>
    <row r="669" spans="1:2" x14ac:dyDescent="0.25">
      <c r="A669" s="13"/>
      <c r="B669" s="13"/>
    </row>
    <row r="670" spans="1:2" x14ac:dyDescent="0.25">
      <c r="A670" s="13"/>
      <c r="B670" s="13"/>
    </row>
    <row r="671" spans="1:2" x14ac:dyDescent="0.25">
      <c r="A671" s="13"/>
      <c r="B671" s="13"/>
    </row>
    <row r="672" spans="1:2" x14ac:dyDescent="0.25">
      <c r="A672" s="13"/>
      <c r="B672" s="13"/>
    </row>
    <row r="673" spans="1:2" x14ac:dyDescent="0.25">
      <c r="A673" s="13"/>
      <c r="B673" s="13"/>
    </row>
    <row r="674" spans="1:2" x14ac:dyDescent="0.25">
      <c r="A674" s="13"/>
      <c r="B674" s="13"/>
    </row>
    <row r="675" spans="1:2" x14ac:dyDescent="0.25">
      <c r="A675" s="13"/>
      <c r="B675" s="13"/>
    </row>
    <row r="676" spans="1:2" x14ac:dyDescent="0.25">
      <c r="A676" s="13"/>
      <c r="B676" s="13"/>
    </row>
    <row r="677" spans="1:2" x14ac:dyDescent="0.25">
      <c r="A677" s="13"/>
      <c r="B677" s="13"/>
    </row>
    <row r="678" spans="1:2" x14ac:dyDescent="0.25">
      <c r="A678" s="13"/>
      <c r="B678" s="13"/>
    </row>
    <row r="679" spans="1:2" x14ac:dyDescent="0.25">
      <c r="A679" s="13"/>
      <c r="B679" s="13"/>
    </row>
    <row r="680" spans="1:2" x14ac:dyDescent="0.25">
      <c r="A680" s="13"/>
      <c r="B680" s="13"/>
    </row>
    <row r="681" spans="1:2" x14ac:dyDescent="0.25">
      <c r="A681" s="13"/>
      <c r="B681" s="13"/>
    </row>
    <row r="682" spans="1:2" x14ac:dyDescent="0.25">
      <c r="A682" s="13"/>
      <c r="B682" s="13"/>
    </row>
    <row r="683" spans="1:2" x14ac:dyDescent="0.25">
      <c r="A683" s="13"/>
      <c r="B683" s="13"/>
    </row>
    <row r="684" spans="1:2" x14ac:dyDescent="0.25">
      <c r="A684" s="13"/>
      <c r="B684" s="13"/>
    </row>
    <row r="685" spans="1:2" x14ac:dyDescent="0.25">
      <c r="A685" s="13"/>
      <c r="B685" s="13"/>
    </row>
    <row r="686" spans="1:2" x14ac:dyDescent="0.25">
      <c r="A686" s="13"/>
      <c r="B686" s="13"/>
    </row>
    <row r="687" spans="1:2" x14ac:dyDescent="0.25">
      <c r="A687" s="13"/>
      <c r="B687" s="13"/>
    </row>
    <row r="688" spans="1:2" x14ac:dyDescent="0.25">
      <c r="A688" s="13"/>
      <c r="B688" s="13"/>
    </row>
    <row r="689" spans="1:2" x14ac:dyDescent="0.25">
      <c r="A689" s="13"/>
      <c r="B689" s="13"/>
    </row>
    <row r="690" spans="1:2" x14ac:dyDescent="0.25">
      <c r="A690" s="13"/>
      <c r="B690" s="13"/>
    </row>
    <row r="691" spans="1:2" x14ac:dyDescent="0.25">
      <c r="A691" s="13"/>
      <c r="B691" s="13"/>
    </row>
    <row r="692" spans="1:2" x14ac:dyDescent="0.25">
      <c r="A692" s="13"/>
      <c r="B692" s="13"/>
    </row>
    <row r="693" spans="1:2" x14ac:dyDescent="0.25">
      <c r="A693" s="13"/>
      <c r="B693" s="13"/>
    </row>
    <row r="694" spans="1:2" x14ac:dyDescent="0.25">
      <c r="A694" s="13"/>
      <c r="B694" s="13"/>
    </row>
    <row r="695" spans="1:2" x14ac:dyDescent="0.25">
      <c r="A695" s="13"/>
      <c r="B695" s="13"/>
    </row>
    <row r="696" spans="1:2" x14ac:dyDescent="0.25">
      <c r="A696" s="13"/>
      <c r="B696" s="13"/>
    </row>
    <row r="697" spans="1:2" x14ac:dyDescent="0.25">
      <c r="A697" s="13"/>
      <c r="B697" s="13"/>
    </row>
    <row r="698" spans="1:2" x14ac:dyDescent="0.25">
      <c r="A698" s="13"/>
      <c r="B698" s="13"/>
    </row>
    <row r="699" spans="1:2" x14ac:dyDescent="0.25">
      <c r="A699" s="13"/>
      <c r="B699" s="13"/>
    </row>
    <row r="700" spans="1:2" x14ac:dyDescent="0.25">
      <c r="A700" s="13"/>
      <c r="B700" s="13"/>
    </row>
    <row r="701" spans="1:2" x14ac:dyDescent="0.25">
      <c r="A701" s="13"/>
      <c r="B701" s="13"/>
    </row>
    <row r="702" spans="1:2" x14ac:dyDescent="0.25">
      <c r="A702" s="13"/>
      <c r="B702" s="13"/>
    </row>
    <row r="703" spans="1:2" x14ac:dyDescent="0.25">
      <c r="A703" s="13"/>
      <c r="B703" s="13"/>
    </row>
    <row r="704" spans="1:2" x14ac:dyDescent="0.25">
      <c r="A704" s="13"/>
      <c r="B704" s="13"/>
    </row>
    <row r="705" spans="1:2" x14ac:dyDescent="0.25">
      <c r="A705" s="13"/>
      <c r="B705" s="13"/>
    </row>
    <row r="706" spans="1:2" x14ac:dyDescent="0.25">
      <c r="A706" s="13"/>
      <c r="B706" s="13"/>
    </row>
    <row r="707" spans="1:2" x14ac:dyDescent="0.25">
      <c r="A707" s="13"/>
      <c r="B707" s="13"/>
    </row>
    <row r="708" spans="1:2" x14ac:dyDescent="0.25">
      <c r="A708" s="13"/>
      <c r="B708" s="13"/>
    </row>
    <row r="709" spans="1:2" x14ac:dyDescent="0.25">
      <c r="A709" s="13"/>
      <c r="B709" s="13"/>
    </row>
    <row r="710" spans="1:2" x14ac:dyDescent="0.25">
      <c r="A710" s="13"/>
      <c r="B710" s="13"/>
    </row>
    <row r="711" spans="1:2" x14ac:dyDescent="0.25">
      <c r="A711" s="13"/>
      <c r="B711" s="13"/>
    </row>
    <row r="712" spans="1:2" x14ac:dyDescent="0.25">
      <c r="A712" s="13"/>
      <c r="B712" s="13"/>
    </row>
    <row r="713" spans="1:2" x14ac:dyDescent="0.25">
      <c r="A713" s="13"/>
      <c r="B713" s="13"/>
    </row>
    <row r="714" spans="1:2" x14ac:dyDescent="0.25">
      <c r="A714" s="13"/>
      <c r="B714" s="13"/>
    </row>
    <row r="715" spans="1:2" x14ac:dyDescent="0.25">
      <c r="A715" s="13"/>
      <c r="B715" s="13"/>
    </row>
    <row r="716" spans="1:2" x14ac:dyDescent="0.25">
      <c r="A716" s="13"/>
      <c r="B716" s="13"/>
    </row>
    <row r="717" spans="1:2" x14ac:dyDescent="0.25">
      <c r="A717" s="13"/>
      <c r="B717" s="13"/>
    </row>
    <row r="718" spans="1:2" x14ac:dyDescent="0.25">
      <c r="A718" s="13"/>
      <c r="B718" s="13"/>
    </row>
    <row r="719" spans="1:2" x14ac:dyDescent="0.25">
      <c r="A719" s="13"/>
      <c r="B719" s="13"/>
    </row>
    <row r="720" spans="1:2" x14ac:dyDescent="0.25">
      <c r="A720" s="13"/>
      <c r="B720" s="13"/>
    </row>
    <row r="721" spans="1:2" x14ac:dyDescent="0.25">
      <c r="A721" s="13"/>
      <c r="B721" s="13"/>
    </row>
    <row r="722" spans="1:2" x14ac:dyDescent="0.25">
      <c r="A722" s="13"/>
      <c r="B722" s="13"/>
    </row>
    <row r="723" spans="1:2" x14ac:dyDescent="0.25">
      <c r="A723" s="13"/>
      <c r="B723" s="13"/>
    </row>
    <row r="724" spans="1:2" x14ac:dyDescent="0.25">
      <c r="A724" s="13"/>
      <c r="B724" s="13"/>
    </row>
    <row r="725" spans="1:2" x14ac:dyDescent="0.25">
      <c r="A725" s="13"/>
      <c r="B725" s="13"/>
    </row>
    <row r="726" spans="1:2" x14ac:dyDescent="0.25">
      <c r="A726" s="13"/>
      <c r="B726" s="13"/>
    </row>
    <row r="727" spans="1:2" x14ac:dyDescent="0.25">
      <c r="A727" s="13"/>
      <c r="B727" s="13"/>
    </row>
    <row r="728" spans="1:2" x14ac:dyDescent="0.25">
      <c r="A728" s="13"/>
      <c r="B728" s="13"/>
    </row>
    <row r="729" spans="1:2" x14ac:dyDescent="0.25">
      <c r="A729" s="13"/>
      <c r="B729" s="13"/>
    </row>
    <row r="730" spans="1:2" x14ac:dyDescent="0.25">
      <c r="A730" s="13"/>
      <c r="B730" s="13"/>
    </row>
    <row r="731" spans="1:2" x14ac:dyDescent="0.25">
      <c r="A731" s="13"/>
      <c r="B731" s="13"/>
    </row>
    <row r="732" spans="1:2" x14ac:dyDescent="0.25">
      <c r="A732" s="13"/>
      <c r="B732" s="13"/>
    </row>
    <row r="733" spans="1:2" x14ac:dyDescent="0.25">
      <c r="A733" s="13"/>
      <c r="B733" s="13"/>
    </row>
    <row r="734" spans="1:2" x14ac:dyDescent="0.25">
      <c r="A734" s="13"/>
      <c r="B734" s="13"/>
    </row>
    <row r="735" spans="1:2" x14ac:dyDescent="0.25">
      <c r="A735" s="13"/>
      <c r="B735" s="13"/>
    </row>
    <row r="736" spans="1:2" x14ac:dyDescent="0.25">
      <c r="A736" s="13"/>
      <c r="B736" s="13"/>
    </row>
    <row r="737" spans="1:2" x14ac:dyDescent="0.25">
      <c r="A737" s="13"/>
      <c r="B737" s="13"/>
    </row>
    <row r="738" spans="1:2" x14ac:dyDescent="0.25">
      <c r="A738" s="13"/>
      <c r="B738" s="13"/>
    </row>
    <row r="739" spans="1:2" x14ac:dyDescent="0.25">
      <c r="A739" s="13"/>
      <c r="B739" s="13"/>
    </row>
    <row r="740" spans="1:2" x14ac:dyDescent="0.25">
      <c r="A740" s="13"/>
      <c r="B740" s="13"/>
    </row>
    <row r="741" spans="1:2" x14ac:dyDescent="0.25">
      <c r="A741" s="13"/>
      <c r="B741" s="13"/>
    </row>
    <row r="742" spans="1:2" x14ac:dyDescent="0.25">
      <c r="A742" s="13"/>
      <c r="B742" s="13"/>
    </row>
    <row r="743" spans="1:2" x14ac:dyDescent="0.25">
      <c r="A743" s="13"/>
      <c r="B743" s="13"/>
    </row>
    <row r="744" spans="1:2" x14ac:dyDescent="0.25">
      <c r="A744" s="13"/>
      <c r="B744" s="13"/>
    </row>
    <row r="745" spans="1:2" x14ac:dyDescent="0.25">
      <c r="A745" s="13"/>
      <c r="B745" s="13"/>
    </row>
    <row r="746" spans="1:2" x14ac:dyDescent="0.25">
      <c r="A746" s="13"/>
      <c r="B746" s="13"/>
    </row>
    <row r="747" spans="1:2" x14ac:dyDescent="0.25">
      <c r="A747" s="13"/>
      <c r="B747" s="13"/>
    </row>
    <row r="748" spans="1:2" x14ac:dyDescent="0.25">
      <c r="A748" s="13"/>
      <c r="B748" s="13"/>
    </row>
    <row r="749" spans="1:2" x14ac:dyDescent="0.25">
      <c r="A749" s="13"/>
      <c r="B749" s="13"/>
    </row>
    <row r="750" spans="1:2" x14ac:dyDescent="0.25">
      <c r="A750" s="13"/>
      <c r="B750" s="13"/>
    </row>
    <row r="751" spans="1:2" x14ac:dyDescent="0.25">
      <c r="A751" s="13"/>
      <c r="B751" s="13"/>
    </row>
    <row r="752" spans="1:2" x14ac:dyDescent="0.25">
      <c r="A752" s="13"/>
      <c r="B752" s="13"/>
    </row>
    <row r="753" spans="1:2" x14ac:dyDescent="0.25">
      <c r="A753" s="13"/>
      <c r="B753" s="13"/>
    </row>
    <row r="754" spans="1:2" x14ac:dyDescent="0.25">
      <c r="A754" s="13"/>
      <c r="B754" s="13"/>
    </row>
    <row r="755" spans="1:2" x14ac:dyDescent="0.25">
      <c r="A755" s="13"/>
      <c r="B755" s="13"/>
    </row>
    <row r="756" spans="1:2" x14ac:dyDescent="0.25">
      <c r="A756" s="13"/>
      <c r="B756" s="13"/>
    </row>
    <row r="757" spans="1:2" x14ac:dyDescent="0.25">
      <c r="A757" s="13"/>
      <c r="B757" s="13"/>
    </row>
    <row r="758" spans="1:2" x14ac:dyDescent="0.25">
      <c r="A758" s="13"/>
      <c r="B758" s="13"/>
    </row>
    <row r="759" spans="1:2" x14ac:dyDescent="0.25">
      <c r="A759" s="13"/>
      <c r="B759" s="13"/>
    </row>
    <row r="760" spans="1:2" x14ac:dyDescent="0.25">
      <c r="A760" s="13"/>
      <c r="B760" s="13"/>
    </row>
    <row r="761" spans="1:2" x14ac:dyDescent="0.25">
      <c r="A761" s="13"/>
      <c r="B761" s="13"/>
    </row>
    <row r="762" spans="1:2" x14ac:dyDescent="0.25">
      <c r="A762" s="13"/>
      <c r="B762" s="13"/>
    </row>
    <row r="763" spans="1:2" x14ac:dyDescent="0.25">
      <c r="A763" s="13"/>
      <c r="B763" s="13"/>
    </row>
    <row r="764" spans="1:2" x14ac:dyDescent="0.25">
      <c r="A764" s="13"/>
      <c r="B764" s="13"/>
    </row>
    <row r="765" spans="1:2" x14ac:dyDescent="0.25">
      <c r="A765" s="13"/>
      <c r="B765" s="13"/>
    </row>
    <row r="766" spans="1:2" x14ac:dyDescent="0.25">
      <c r="A766" s="13"/>
      <c r="B766" s="13"/>
    </row>
    <row r="767" spans="1:2" x14ac:dyDescent="0.25">
      <c r="A767" s="13"/>
      <c r="B767" s="13"/>
    </row>
    <row r="768" spans="1:2" x14ac:dyDescent="0.25">
      <c r="A768" s="13"/>
      <c r="B768" s="13"/>
    </row>
    <row r="769" spans="1:2" x14ac:dyDescent="0.25">
      <c r="A769" s="13"/>
      <c r="B769" s="13"/>
    </row>
    <row r="770" spans="1:2" x14ac:dyDescent="0.25">
      <c r="A770" s="13"/>
      <c r="B770" s="13"/>
    </row>
    <row r="771" spans="1:2" x14ac:dyDescent="0.25">
      <c r="A771" s="13"/>
      <c r="B771" s="13"/>
    </row>
    <row r="772" spans="1:2" x14ac:dyDescent="0.25">
      <c r="A772" s="13"/>
      <c r="B772" s="13"/>
    </row>
    <row r="773" spans="1:2" x14ac:dyDescent="0.25">
      <c r="A773" s="13"/>
      <c r="B773" s="13"/>
    </row>
    <row r="774" spans="1:2" x14ac:dyDescent="0.25">
      <c r="A774" s="13"/>
      <c r="B774" s="13"/>
    </row>
    <row r="775" spans="1:2" x14ac:dyDescent="0.25">
      <c r="A775" s="13"/>
      <c r="B775" s="13"/>
    </row>
    <row r="776" spans="1:2" x14ac:dyDescent="0.25">
      <c r="A776" s="13"/>
      <c r="B776" s="13"/>
    </row>
    <row r="777" spans="1:2" x14ac:dyDescent="0.25">
      <c r="A777" s="13"/>
      <c r="B777" s="13"/>
    </row>
    <row r="778" spans="1:2" x14ac:dyDescent="0.25">
      <c r="A778" s="13"/>
      <c r="B778" s="13"/>
    </row>
    <row r="779" spans="1:2" x14ac:dyDescent="0.25">
      <c r="A779" s="13"/>
      <c r="B779" s="13"/>
    </row>
    <row r="780" spans="1:2" x14ac:dyDescent="0.25">
      <c r="A780" s="13"/>
      <c r="B780" s="13"/>
    </row>
    <row r="781" spans="1:2" x14ac:dyDescent="0.25">
      <c r="A781" s="13"/>
      <c r="B781" s="13"/>
    </row>
    <row r="782" spans="1:2" x14ac:dyDescent="0.25">
      <c r="A782" s="13"/>
      <c r="B782" s="13"/>
    </row>
    <row r="783" spans="1:2" x14ac:dyDescent="0.25">
      <c r="A783" s="13"/>
      <c r="B783" s="13"/>
    </row>
    <row r="784" spans="1:2" x14ac:dyDescent="0.25">
      <c r="A784" s="13"/>
      <c r="B784" s="13"/>
    </row>
    <row r="785" spans="1:2" x14ac:dyDescent="0.25">
      <c r="A785" s="13"/>
      <c r="B785" s="13"/>
    </row>
    <row r="786" spans="1:2" x14ac:dyDescent="0.25">
      <c r="A786" s="13"/>
      <c r="B786" s="13"/>
    </row>
    <row r="787" spans="1:2" x14ac:dyDescent="0.25">
      <c r="A787" s="13"/>
      <c r="B787" s="13"/>
    </row>
    <row r="788" spans="1:2" x14ac:dyDescent="0.25">
      <c r="A788" s="13"/>
      <c r="B788" s="13"/>
    </row>
    <row r="789" spans="1:2" x14ac:dyDescent="0.25">
      <c r="A789" s="13"/>
      <c r="B789" s="13"/>
    </row>
    <row r="790" spans="1:2" x14ac:dyDescent="0.25">
      <c r="A790" s="13"/>
      <c r="B790" s="13"/>
    </row>
    <row r="791" spans="1:2" x14ac:dyDescent="0.25">
      <c r="A791" s="13"/>
      <c r="B791" s="13"/>
    </row>
    <row r="792" spans="1:2" x14ac:dyDescent="0.25">
      <c r="A792" s="13"/>
      <c r="B792" s="13"/>
    </row>
    <row r="793" spans="1:2" x14ac:dyDescent="0.25">
      <c r="A793" s="13"/>
      <c r="B793" s="13"/>
    </row>
    <row r="794" spans="1:2" x14ac:dyDescent="0.25">
      <c r="A794" s="13"/>
      <c r="B794" s="13"/>
    </row>
    <row r="795" spans="1:2" x14ac:dyDescent="0.25">
      <c r="A795" s="13"/>
      <c r="B795" s="13"/>
    </row>
    <row r="796" spans="1:2" x14ac:dyDescent="0.25">
      <c r="A796" s="13"/>
      <c r="B796" s="13"/>
    </row>
    <row r="797" spans="1:2" x14ac:dyDescent="0.25">
      <c r="A797" s="13"/>
      <c r="B797" s="13"/>
    </row>
    <row r="798" spans="1:2" x14ac:dyDescent="0.25">
      <c r="A798" s="13"/>
      <c r="B798" s="13"/>
    </row>
    <row r="799" spans="1:2" x14ac:dyDescent="0.25">
      <c r="A799" s="13"/>
      <c r="B799" s="13"/>
    </row>
    <row r="800" spans="1:2" x14ac:dyDescent="0.25">
      <c r="A800" s="13"/>
      <c r="B800" s="13"/>
    </row>
    <row r="801" spans="1:2" x14ac:dyDescent="0.25">
      <c r="A801" s="13"/>
      <c r="B801" s="13"/>
    </row>
    <row r="802" spans="1:2" x14ac:dyDescent="0.25">
      <c r="A802" s="13"/>
      <c r="B802" s="13"/>
    </row>
    <row r="803" spans="1:2" x14ac:dyDescent="0.25">
      <c r="A803" s="13"/>
      <c r="B803" s="13"/>
    </row>
    <row r="804" spans="1:2" x14ac:dyDescent="0.25">
      <c r="A804" s="13"/>
      <c r="B804" s="13"/>
    </row>
    <row r="805" spans="1:2" x14ac:dyDescent="0.25">
      <c r="A805" s="13"/>
      <c r="B805" s="13"/>
    </row>
    <row r="806" spans="1:2" x14ac:dyDescent="0.25">
      <c r="A806" s="13"/>
      <c r="B806" s="13"/>
    </row>
    <row r="807" spans="1:2" x14ac:dyDescent="0.25">
      <c r="A807" s="13"/>
      <c r="B807" s="13"/>
    </row>
    <row r="808" spans="1:2" x14ac:dyDescent="0.25">
      <c r="A808" s="13"/>
      <c r="B808" s="13"/>
    </row>
    <row r="809" spans="1:2" x14ac:dyDescent="0.25">
      <c r="A809" s="13"/>
      <c r="B809" s="13"/>
    </row>
    <row r="810" spans="1:2" x14ac:dyDescent="0.25">
      <c r="A810" s="13"/>
      <c r="B810" s="13"/>
    </row>
    <row r="811" spans="1:2" x14ac:dyDescent="0.25">
      <c r="A811" s="13"/>
      <c r="B811" s="13"/>
    </row>
    <row r="812" spans="1:2" x14ac:dyDescent="0.25">
      <c r="A812" s="13"/>
      <c r="B812" s="13"/>
    </row>
    <row r="813" spans="1:2" x14ac:dyDescent="0.25">
      <c r="A813" s="13"/>
      <c r="B813" s="13"/>
    </row>
    <row r="814" spans="1:2" x14ac:dyDescent="0.25">
      <c r="A814" s="13"/>
      <c r="B814" s="13"/>
    </row>
    <row r="815" spans="1:2" x14ac:dyDescent="0.25">
      <c r="A815" s="13"/>
      <c r="B815" s="13"/>
    </row>
    <row r="816" spans="1:2" x14ac:dyDescent="0.25">
      <c r="A816" s="13"/>
      <c r="B816" s="13"/>
    </row>
    <row r="817" spans="1:2" x14ac:dyDescent="0.25">
      <c r="A817" s="13"/>
      <c r="B817" s="13"/>
    </row>
    <row r="818" spans="1:2" x14ac:dyDescent="0.25">
      <c r="A818" s="13"/>
      <c r="B818" s="13"/>
    </row>
    <row r="819" spans="1:2" x14ac:dyDescent="0.25">
      <c r="A819" s="13"/>
      <c r="B819" s="13"/>
    </row>
    <row r="820" spans="1:2" x14ac:dyDescent="0.25">
      <c r="A820" s="13"/>
      <c r="B820" s="13"/>
    </row>
    <row r="821" spans="1:2" x14ac:dyDescent="0.25">
      <c r="A821" s="13"/>
      <c r="B821" s="13"/>
    </row>
    <row r="822" spans="1:2" x14ac:dyDescent="0.25">
      <c r="A822" s="13"/>
      <c r="B822" s="13"/>
    </row>
    <row r="823" spans="1:2" x14ac:dyDescent="0.25">
      <c r="A823" s="13"/>
      <c r="B823" s="13"/>
    </row>
    <row r="824" spans="1:2" x14ac:dyDescent="0.25">
      <c r="A824" s="13"/>
      <c r="B824" s="13"/>
    </row>
    <row r="825" spans="1:2" x14ac:dyDescent="0.25">
      <c r="A825" s="13"/>
      <c r="B825" s="13"/>
    </row>
    <row r="826" spans="1:2" x14ac:dyDescent="0.25">
      <c r="A826" s="13"/>
      <c r="B826" s="13"/>
    </row>
    <row r="827" spans="1:2" x14ac:dyDescent="0.25">
      <c r="A827" s="13"/>
      <c r="B827" s="13"/>
    </row>
    <row r="828" spans="1:2" x14ac:dyDescent="0.25">
      <c r="A828" s="13"/>
      <c r="B828" s="13"/>
    </row>
    <row r="829" spans="1:2" x14ac:dyDescent="0.25">
      <c r="A829" s="13"/>
      <c r="B829" s="13"/>
    </row>
    <row r="830" spans="1:2" x14ac:dyDescent="0.25">
      <c r="A830" s="13"/>
      <c r="B830" s="13"/>
    </row>
    <row r="831" spans="1:2" x14ac:dyDescent="0.25">
      <c r="A831" s="13"/>
      <c r="B831" s="13"/>
    </row>
    <row r="832" spans="1:2" x14ac:dyDescent="0.25">
      <c r="A832" s="13"/>
      <c r="B832" s="13"/>
    </row>
    <row r="833" spans="1:2" x14ac:dyDescent="0.25">
      <c r="A833" s="13"/>
      <c r="B833" s="13"/>
    </row>
    <row r="834" spans="1:2" x14ac:dyDescent="0.25">
      <c r="A834" s="13"/>
      <c r="B834" s="13"/>
    </row>
    <row r="835" spans="1:2" x14ac:dyDescent="0.25">
      <c r="A835" s="13"/>
      <c r="B835" s="13"/>
    </row>
    <row r="836" spans="1:2" x14ac:dyDescent="0.25">
      <c r="A836" s="13"/>
      <c r="B836" s="13"/>
    </row>
    <row r="837" spans="1:2" x14ac:dyDescent="0.25">
      <c r="A837" s="13"/>
      <c r="B837" s="13"/>
    </row>
    <row r="838" spans="1:2" x14ac:dyDescent="0.25">
      <c r="A838" s="13"/>
      <c r="B838" s="13"/>
    </row>
    <row r="839" spans="1:2" x14ac:dyDescent="0.25">
      <c r="A839" s="13"/>
      <c r="B839" s="13"/>
    </row>
    <row r="840" spans="1:2" x14ac:dyDescent="0.25">
      <c r="A840" s="13"/>
      <c r="B840" s="13"/>
    </row>
    <row r="841" spans="1:2" x14ac:dyDescent="0.25">
      <c r="A841" s="13"/>
      <c r="B841" s="13"/>
    </row>
    <row r="842" spans="1:2" x14ac:dyDescent="0.25">
      <c r="A842" s="13"/>
      <c r="B842" s="13"/>
    </row>
    <row r="843" spans="1:2" x14ac:dyDescent="0.25">
      <c r="A843" s="13"/>
      <c r="B843" s="13"/>
    </row>
    <row r="844" spans="1:2" x14ac:dyDescent="0.25">
      <c r="A844" s="13"/>
      <c r="B844" s="13"/>
    </row>
    <row r="845" spans="1:2" x14ac:dyDescent="0.25">
      <c r="A845" s="13"/>
      <c r="B845" s="13"/>
    </row>
    <row r="846" spans="1:2" x14ac:dyDescent="0.25">
      <c r="A846" s="13"/>
      <c r="B846" s="13"/>
    </row>
    <row r="847" spans="1:2" x14ac:dyDescent="0.25">
      <c r="A847" s="13"/>
      <c r="B847" s="13"/>
    </row>
    <row r="848" spans="1:2" x14ac:dyDescent="0.25">
      <c r="A848" s="13"/>
      <c r="B848" s="13"/>
    </row>
    <row r="849" spans="1:2" x14ac:dyDescent="0.25">
      <c r="A849" s="13"/>
      <c r="B849" s="13"/>
    </row>
    <row r="850" spans="1:2" x14ac:dyDescent="0.25">
      <c r="A850" s="13"/>
      <c r="B850" s="13"/>
    </row>
    <row r="851" spans="1:2" x14ac:dyDescent="0.25">
      <c r="A851" s="13"/>
      <c r="B851" s="13"/>
    </row>
    <row r="852" spans="1:2" x14ac:dyDescent="0.25">
      <c r="A852" s="13"/>
      <c r="B852" s="13"/>
    </row>
    <row r="853" spans="1:2" x14ac:dyDescent="0.25">
      <c r="A853" s="13"/>
      <c r="B853" s="13"/>
    </row>
    <row r="854" spans="1:2" x14ac:dyDescent="0.25">
      <c r="A854" s="13"/>
      <c r="B854" s="13"/>
    </row>
    <row r="855" spans="1:2" x14ac:dyDescent="0.25">
      <c r="A855" s="13"/>
      <c r="B855" s="13"/>
    </row>
    <row r="856" spans="1:2" x14ac:dyDescent="0.25">
      <c r="A856" s="13"/>
      <c r="B856" s="13"/>
    </row>
    <row r="857" spans="1:2" x14ac:dyDescent="0.25">
      <c r="A857" s="13"/>
      <c r="B857" s="13"/>
    </row>
    <row r="858" spans="1:2" x14ac:dyDescent="0.25">
      <c r="A858" s="13"/>
      <c r="B858" s="13"/>
    </row>
    <row r="859" spans="1:2" x14ac:dyDescent="0.25">
      <c r="A859" s="13"/>
      <c r="B859" s="13"/>
    </row>
    <row r="860" spans="1:2" x14ac:dyDescent="0.25">
      <c r="A860" s="13"/>
      <c r="B860" s="13"/>
    </row>
    <row r="861" spans="1:2" x14ac:dyDescent="0.25">
      <c r="A861" s="13"/>
      <c r="B861" s="13"/>
    </row>
    <row r="862" spans="1:2" x14ac:dyDescent="0.25">
      <c r="A862" s="13"/>
      <c r="B862" s="13"/>
    </row>
    <row r="863" spans="1:2" x14ac:dyDescent="0.25">
      <c r="A863" s="13"/>
      <c r="B863" s="13"/>
    </row>
    <row r="864" spans="1:2" x14ac:dyDescent="0.25">
      <c r="A864" s="13"/>
      <c r="B864" s="13"/>
    </row>
    <row r="865" spans="1:2" x14ac:dyDescent="0.25">
      <c r="A865" s="13"/>
      <c r="B865" s="13"/>
    </row>
    <row r="866" spans="1:2" x14ac:dyDescent="0.25">
      <c r="A866" s="13"/>
      <c r="B866" s="13"/>
    </row>
    <row r="867" spans="1:2" x14ac:dyDescent="0.25">
      <c r="A867" s="13"/>
      <c r="B867" s="13"/>
    </row>
    <row r="868" spans="1:2" x14ac:dyDescent="0.25">
      <c r="A868" s="13"/>
      <c r="B868" s="13"/>
    </row>
    <row r="869" spans="1:2" x14ac:dyDescent="0.25">
      <c r="A869" s="13"/>
      <c r="B869" s="13"/>
    </row>
    <row r="870" spans="1:2" x14ac:dyDescent="0.25">
      <c r="A870" s="13"/>
      <c r="B870" s="13"/>
    </row>
    <row r="871" spans="1:2" x14ac:dyDescent="0.25">
      <c r="A871" s="13"/>
      <c r="B871" s="13"/>
    </row>
    <row r="872" spans="1:2" x14ac:dyDescent="0.25">
      <c r="A872" s="13"/>
      <c r="B872" s="13"/>
    </row>
    <row r="873" spans="1:2" x14ac:dyDescent="0.25">
      <c r="A873" s="13"/>
      <c r="B873" s="13"/>
    </row>
    <row r="874" spans="1:2" x14ac:dyDescent="0.25">
      <c r="A874" s="13"/>
      <c r="B874" s="13"/>
    </row>
    <row r="875" spans="1:2" x14ac:dyDescent="0.25">
      <c r="A875" s="13"/>
      <c r="B875" s="13"/>
    </row>
    <row r="876" spans="1:2" x14ac:dyDescent="0.25">
      <c r="A876" s="13"/>
      <c r="B876" s="13"/>
    </row>
    <row r="877" spans="1:2" x14ac:dyDescent="0.25">
      <c r="A877" s="13"/>
      <c r="B877" s="13"/>
    </row>
    <row r="878" spans="1:2" x14ac:dyDescent="0.25">
      <c r="A878" s="13"/>
      <c r="B878" s="13"/>
    </row>
    <row r="879" spans="1:2" x14ac:dyDescent="0.25">
      <c r="A879" s="13"/>
      <c r="B879" s="13"/>
    </row>
    <row r="880" spans="1:2" x14ac:dyDescent="0.25">
      <c r="A880" s="13"/>
      <c r="B880" s="13"/>
    </row>
    <row r="881" spans="1:2" x14ac:dyDescent="0.25">
      <c r="A881" s="13"/>
      <c r="B881" s="13"/>
    </row>
    <row r="882" spans="1:2" x14ac:dyDescent="0.25">
      <c r="A882" s="13"/>
      <c r="B882" s="13"/>
    </row>
    <row r="883" spans="1:2" x14ac:dyDescent="0.25">
      <c r="A883" s="13"/>
      <c r="B883" s="13"/>
    </row>
    <row r="884" spans="1:2" x14ac:dyDescent="0.25">
      <c r="A884" s="13"/>
      <c r="B884" s="13"/>
    </row>
    <row r="885" spans="1:2" x14ac:dyDescent="0.25">
      <c r="A885" s="13"/>
      <c r="B885" s="13"/>
    </row>
    <row r="886" spans="1:2" x14ac:dyDescent="0.25">
      <c r="A886" s="13"/>
      <c r="B886" s="13"/>
    </row>
    <row r="887" spans="1:2" x14ac:dyDescent="0.25">
      <c r="A887" s="13"/>
      <c r="B887" s="13"/>
    </row>
    <row r="888" spans="1:2" x14ac:dyDescent="0.25">
      <c r="A888" s="13"/>
      <c r="B888" s="13"/>
    </row>
    <row r="889" spans="1:2" x14ac:dyDescent="0.25">
      <c r="A889" s="13"/>
      <c r="B889" s="13"/>
    </row>
    <row r="890" spans="1:2" x14ac:dyDescent="0.25">
      <c r="A890" s="13"/>
      <c r="B890" s="13"/>
    </row>
    <row r="891" spans="1:2" x14ac:dyDescent="0.25">
      <c r="A891" s="13"/>
      <c r="B891" s="13"/>
    </row>
    <row r="892" spans="1:2" x14ac:dyDescent="0.25">
      <c r="A892" s="13"/>
      <c r="B892" s="13"/>
    </row>
    <row r="893" spans="1:2" x14ac:dyDescent="0.25">
      <c r="A893" s="13"/>
      <c r="B893" s="13"/>
    </row>
    <row r="894" spans="1:2" x14ac:dyDescent="0.25">
      <c r="A894" s="13"/>
      <c r="B894" s="13"/>
    </row>
    <row r="895" spans="1:2" x14ac:dyDescent="0.25">
      <c r="A895" s="13"/>
      <c r="B895" s="13"/>
    </row>
    <row r="896" spans="1:2" x14ac:dyDescent="0.25">
      <c r="A896" s="13"/>
      <c r="B896" s="13"/>
    </row>
    <row r="897" spans="1:2" x14ac:dyDescent="0.25">
      <c r="A897" s="13"/>
      <c r="B897" s="13"/>
    </row>
    <row r="898" spans="1:2" x14ac:dyDescent="0.25">
      <c r="A898" s="13"/>
      <c r="B898" s="13"/>
    </row>
    <row r="899" spans="1:2" x14ac:dyDescent="0.25">
      <c r="A899" s="13"/>
      <c r="B899" s="13"/>
    </row>
    <row r="900" spans="1:2" x14ac:dyDescent="0.25">
      <c r="A900" s="13"/>
      <c r="B900" s="13"/>
    </row>
    <row r="901" spans="1:2" x14ac:dyDescent="0.25">
      <c r="A901" s="13"/>
      <c r="B901" s="13"/>
    </row>
    <row r="902" spans="1:2" x14ac:dyDescent="0.25">
      <c r="A902" s="13"/>
      <c r="B902" s="13"/>
    </row>
    <row r="903" spans="1:2" x14ac:dyDescent="0.25">
      <c r="A903" s="13"/>
      <c r="B903" s="13"/>
    </row>
    <row r="904" spans="1:2" x14ac:dyDescent="0.25">
      <c r="A904" s="13"/>
      <c r="B904" s="13"/>
    </row>
    <row r="905" spans="1:2" x14ac:dyDescent="0.25">
      <c r="A905" s="13"/>
      <c r="B905" s="13"/>
    </row>
    <row r="906" spans="1:2" x14ac:dyDescent="0.25">
      <c r="A906" s="13"/>
      <c r="B906" s="13"/>
    </row>
    <row r="907" spans="1:2" x14ac:dyDescent="0.25">
      <c r="A907" s="13"/>
      <c r="B907" s="13"/>
    </row>
    <row r="908" spans="1:2" x14ac:dyDescent="0.25">
      <c r="A908" s="13"/>
      <c r="B908" s="13"/>
    </row>
    <row r="909" spans="1:2" x14ac:dyDescent="0.25">
      <c r="A909" s="13"/>
      <c r="B909" s="13"/>
    </row>
    <row r="910" spans="1:2" x14ac:dyDescent="0.25">
      <c r="A910" s="13"/>
      <c r="B910" s="13"/>
    </row>
    <row r="911" spans="1:2" x14ac:dyDescent="0.25">
      <c r="A911" s="13"/>
      <c r="B911" s="13"/>
    </row>
    <row r="912" spans="1:2" x14ac:dyDescent="0.25">
      <c r="A912" s="13"/>
      <c r="B912" s="13"/>
    </row>
    <row r="913" spans="1:2" x14ac:dyDescent="0.25">
      <c r="A913" s="13"/>
      <c r="B913" s="13"/>
    </row>
    <row r="914" spans="1:2" x14ac:dyDescent="0.25">
      <c r="A914" s="13"/>
      <c r="B914" s="13"/>
    </row>
    <row r="915" spans="1:2" x14ac:dyDescent="0.25">
      <c r="A915" s="13"/>
      <c r="B915" s="13"/>
    </row>
    <row r="916" spans="1:2" x14ac:dyDescent="0.25">
      <c r="A916" s="13"/>
      <c r="B916" s="13"/>
    </row>
    <row r="917" spans="1:2" x14ac:dyDescent="0.25">
      <c r="A917" s="13"/>
      <c r="B917" s="13"/>
    </row>
    <row r="918" spans="1:2" x14ac:dyDescent="0.25">
      <c r="A918" s="13"/>
      <c r="B918" s="13"/>
    </row>
    <row r="919" spans="1:2" x14ac:dyDescent="0.25">
      <c r="A919" s="13"/>
      <c r="B919" s="13"/>
    </row>
    <row r="920" spans="1:2" x14ac:dyDescent="0.25">
      <c r="A920" s="13"/>
      <c r="B920" s="13"/>
    </row>
    <row r="921" spans="1:2" x14ac:dyDescent="0.25">
      <c r="A921" s="13"/>
      <c r="B921" s="13"/>
    </row>
    <row r="922" spans="1:2" x14ac:dyDescent="0.25">
      <c r="A922" s="13"/>
      <c r="B922" s="13"/>
    </row>
    <row r="923" spans="1:2" x14ac:dyDescent="0.25">
      <c r="A923" s="13"/>
      <c r="B923" s="13"/>
    </row>
    <row r="924" spans="1:2" x14ac:dyDescent="0.25">
      <c r="A924" s="13"/>
      <c r="B924" s="13"/>
    </row>
    <row r="925" spans="1:2" x14ac:dyDescent="0.25">
      <c r="A925" s="13"/>
      <c r="B925" s="13"/>
    </row>
    <row r="926" spans="1:2" x14ac:dyDescent="0.25">
      <c r="A926" s="13"/>
      <c r="B926" s="13"/>
    </row>
    <row r="927" spans="1:2" x14ac:dyDescent="0.25">
      <c r="A927" s="13"/>
      <c r="B927" s="13"/>
    </row>
    <row r="928" spans="1:2" x14ac:dyDescent="0.25">
      <c r="A928" s="13"/>
      <c r="B928" s="13"/>
    </row>
    <row r="929" spans="1:2" x14ac:dyDescent="0.25">
      <c r="A929" s="13"/>
      <c r="B929" s="13"/>
    </row>
    <row r="930" spans="1:2" x14ac:dyDescent="0.25">
      <c r="A930" s="13"/>
      <c r="B930" s="13"/>
    </row>
    <row r="931" spans="1:2" x14ac:dyDescent="0.25">
      <c r="A931" s="13"/>
      <c r="B931" s="13"/>
    </row>
    <row r="932" spans="1:2" x14ac:dyDescent="0.25">
      <c r="A932" s="13"/>
      <c r="B932" s="13"/>
    </row>
    <row r="933" spans="1:2" x14ac:dyDescent="0.25">
      <c r="A933" s="13"/>
      <c r="B933" s="13"/>
    </row>
    <row r="934" spans="1:2" x14ac:dyDescent="0.25">
      <c r="A934" s="13"/>
      <c r="B934" s="13"/>
    </row>
    <row r="935" spans="1:2" x14ac:dyDescent="0.25">
      <c r="A935" s="13"/>
      <c r="B935" s="13"/>
    </row>
    <row r="936" spans="1:2" x14ac:dyDescent="0.25">
      <c r="A936" s="13"/>
      <c r="B936" s="13"/>
    </row>
    <row r="937" spans="1:2" x14ac:dyDescent="0.25">
      <c r="A937" s="13"/>
      <c r="B937" s="13"/>
    </row>
    <row r="938" spans="1:2" x14ac:dyDescent="0.25">
      <c r="A938" s="13"/>
      <c r="B938" s="13"/>
    </row>
    <row r="939" spans="1:2" x14ac:dyDescent="0.25">
      <c r="A939" s="13"/>
      <c r="B939" s="13"/>
    </row>
    <row r="940" spans="1:2" x14ac:dyDescent="0.25">
      <c r="A940" s="13"/>
      <c r="B940" s="13"/>
    </row>
    <row r="941" spans="1:2" x14ac:dyDescent="0.25">
      <c r="A941" s="13"/>
      <c r="B941" s="13"/>
    </row>
    <row r="942" spans="1:2" x14ac:dyDescent="0.25">
      <c r="A942" s="13"/>
      <c r="B942" s="13"/>
    </row>
    <row r="943" spans="1:2" x14ac:dyDescent="0.25">
      <c r="A943" s="13"/>
      <c r="B943" s="13"/>
    </row>
    <row r="944" spans="1:2" x14ac:dyDescent="0.25">
      <c r="A944" s="13"/>
      <c r="B944" s="13"/>
    </row>
    <row r="945" spans="1:2" x14ac:dyDescent="0.25">
      <c r="A945" s="13"/>
      <c r="B945" s="13"/>
    </row>
    <row r="946" spans="1:2" x14ac:dyDescent="0.25">
      <c r="A946" s="13"/>
      <c r="B946" s="13"/>
    </row>
    <row r="947" spans="1:2" x14ac:dyDescent="0.25">
      <c r="A947" s="13"/>
      <c r="B947" s="13"/>
    </row>
    <row r="948" spans="1:2" x14ac:dyDescent="0.25">
      <c r="A948" s="13"/>
      <c r="B948" s="13"/>
    </row>
    <row r="949" spans="1:2" x14ac:dyDescent="0.25">
      <c r="A949" s="13"/>
      <c r="B949" s="13"/>
    </row>
    <row r="950" spans="1:2" x14ac:dyDescent="0.25">
      <c r="A950" s="13"/>
      <c r="B950" s="13"/>
    </row>
    <row r="951" spans="1:2" x14ac:dyDescent="0.25">
      <c r="A951" s="13"/>
      <c r="B951" s="13"/>
    </row>
    <row r="952" spans="1:2" x14ac:dyDescent="0.25">
      <c r="A952" s="13"/>
      <c r="B952" s="13"/>
    </row>
    <row r="953" spans="1:2" x14ac:dyDescent="0.25">
      <c r="A953" s="13"/>
      <c r="B953" s="13"/>
    </row>
    <row r="954" spans="1:2" x14ac:dyDescent="0.25">
      <c r="A954" s="13"/>
      <c r="B954" s="13"/>
    </row>
    <row r="955" spans="1:2" x14ac:dyDescent="0.25">
      <c r="A955" s="13"/>
      <c r="B955" s="13"/>
    </row>
    <row r="956" spans="1:2" x14ac:dyDescent="0.25">
      <c r="A956" s="13"/>
      <c r="B956" s="13"/>
    </row>
    <row r="957" spans="1:2" x14ac:dyDescent="0.25">
      <c r="A957" s="13"/>
      <c r="B957" s="13"/>
    </row>
    <row r="958" spans="1:2" x14ac:dyDescent="0.25">
      <c r="A958" s="13"/>
      <c r="B958" s="13"/>
    </row>
    <row r="959" spans="1:2" x14ac:dyDescent="0.25">
      <c r="A959" s="13"/>
      <c r="B959" s="13"/>
    </row>
    <row r="960" spans="1:2" x14ac:dyDescent="0.25">
      <c r="A960" s="13"/>
      <c r="B960" s="13"/>
    </row>
    <row r="961" spans="1:2" x14ac:dyDescent="0.25">
      <c r="A961" s="13"/>
      <c r="B961" s="13"/>
    </row>
    <row r="962" spans="1:2" x14ac:dyDescent="0.25">
      <c r="A962" s="13"/>
      <c r="B962" s="13"/>
    </row>
    <row r="963" spans="1:2" x14ac:dyDescent="0.25">
      <c r="A963" s="13"/>
      <c r="B963" s="13"/>
    </row>
    <row r="964" spans="1:2" x14ac:dyDescent="0.25">
      <c r="A964" s="13"/>
      <c r="B964" s="13"/>
    </row>
    <row r="965" spans="1:2" x14ac:dyDescent="0.25">
      <c r="A965" s="13"/>
      <c r="B965" s="13"/>
    </row>
    <row r="966" spans="1:2" x14ac:dyDescent="0.25">
      <c r="A966" s="13"/>
      <c r="B966" s="13"/>
    </row>
    <row r="967" spans="1:2" x14ac:dyDescent="0.25">
      <c r="A967" s="13"/>
      <c r="B967" s="13"/>
    </row>
    <row r="968" spans="1:2" x14ac:dyDescent="0.25">
      <c r="A968" s="13"/>
      <c r="B968" s="13"/>
    </row>
    <row r="969" spans="1:2" x14ac:dyDescent="0.25">
      <c r="A969" s="13"/>
      <c r="B969" s="13"/>
    </row>
    <row r="970" spans="1:2" x14ac:dyDescent="0.25">
      <c r="A970" s="13"/>
      <c r="B970" s="13"/>
    </row>
    <row r="971" spans="1:2" x14ac:dyDescent="0.25">
      <c r="A971" s="13"/>
      <c r="B971" s="13"/>
    </row>
    <row r="972" spans="1:2" x14ac:dyDescent="0.25">
      <c r="A972" s="13"/>
      <c r="B972" s="13"/>
    </row>
    <row r="973" spans="1:2" x14ac:dyDescent="0.25">
      <c r="A973" s="13"/>
      <c r="B973" s="13"/>
    </row>
    <row r="974" spans="1:2" x14ac:dyDescent="0.25">
      <c r="A974" s="13"/>
      <c r="B974" s="13"/>
    </row>
    <row r="975" spans="1:2" x14ac:dyDescent="0.25">
      <c r="A975" s="13"/>
      <c r="B975" s="13"/>
    </row>
    <row r="976" spans="1:2" x14ac:dyDescent="0.25">
      <c r="A976" s="13"/>
      <c r="B976" s="13"/>
    </row>
    <row r="977" spans="1:2" x14ac:dyDescent="0.25">
      <c r="A977" s="13"/>
      <c r="B977" s="13"/>
    </row>
    <row r="978" spans="1:2" x14ac:dyDescent="0.25">
      <c r="A978" s="13"/>
      <c r="B978" s="13"/>
    </row>
    <row r="979" spans="1:2" x14ac:dyDescent="0.25">
      <c r="A979" s="13"/>
      <c r="B979" s="13"/>
    </row>
    <row r="980" spans="1:2" x14ac:dyDescent="0.25">
      <c r="A980" s="13"/>
      <c r="B980" s="13"/>
    </row>
    <row r="981" spans="1:2" x14ac:dyDescent="0.25">
      <c r="A981" s="13"/>
      <c r="B981" s="13"/>
    </row>
    <row r="982" spans="1:2" x14ac:dyDescent="0.25">
      <c r="A982" s="13"/>
      <c r="B982" s="13"/>
    </row>
    <row r="983" spans="1:2" x14ac:dyDescent="0.25">
      <c r="A983" s="13"/>
      <c r="B983" s="13"/>
    </row>
    <row r="984" spans="1:2" x14ac:dyDescent="0.25">
      <c r="A984" s="13"/>
      <c r="B984" s="13"/>
    </row>
    <row r="985" spans="1:2" x14ac:dyDescent="0.25">
      <c r="A985" s="13"/>
      <c r="B985" s="13"/>
    </row>
    <row r="986" spans="1:2" x14ac:dyDescent="0.25">
      <c r="A986" s="13"/>
      <c r="B986" s="13"/>
    </row>
    <row r="987" spans="1:2" x14ac:dyDescent="0.25">
      <c r="A987" s="13"/>
      <c r="B987" s="13"/>
    </row>
    <row r="988" spans="1:2" x14ac:dyDescent="0.25">
      <c r="A988" s="13"/>
      <c r="B988" s="13"/>
    </row>
    <row r="989" spans="1:2" x14ac:dyDescent="0.25">
      <c r="A989" s="13"/>
      <c r="B989" s="13"/>
    </row>
    <row r="990" spans="1:2" x14ac:dyDescent="0.25">
      <c r="A990" s="13"/>
      <c r="B990" s="13"/>
    </row>
    <row r="991" spans="1:2" x14ac:dyDescent="0.25">
      <c r="A991" s="13"/>
      <c r="B991" s="13"/>
    </row>
    <row r="992" spans="1:2" x14ac:dyDescent="0.25">
      <c r="A992" s="13"/>
      <c r="B992" s="13"/>
    </row>
    <row r="993" spans="1:2" x14ac:dyDescent="0.25">
      <c r="A993" s="13"/>
      <c r="B993" s="13"/>
    </row>
    <row r="994" spans="1:2" x14ac:dyDescent="0.25">
      <c r="A994" s="13"/>
      <c r="B994" s="13"/>
    </row>
    <row r="995" spans="1:2" x14ac:dyDescent="0.25">
      <c r="A995" s="13"/>
      <c r="B995" s="13"/>
    </row>
    <row r="996" spans="1:2" x14ac:dyDescent="0.25">
      <c r="A996" s="13"/>
      <c r="B996" s="13"/>
    </row>
    <row r="997" spans="1:2" x14ac:dyDescent="0.25">
      <c r="A997" s="13"/>
      <c r="B997" s="13"/>
    </row>
    <row r="998" spans="1:2" x14ac:dyDescent="0.25">
      <c r="A998" s="13"/>
      <c r="B998" s="13"/>
    </row>
    <row r="999" spans="1:2" x14ac:dyDescent="0.25">
      <c r="A999" s="13"/>
      <c r="B999" s="13"/>
    </row>
    <row r="1000" spans="1:2" x14ac:dyDescent="0.25">
      <c r="A1000" s="13"/>
      <c r="B1000" s="13"/>
    </row>
  </sheetData>
  <mergeCells count="8">
    <mergeCell ref="A19:B19"/>
    <mergeCell ref="A15:B15"/>
    <mergeCell ref="A17:B17"/>
    <mergeCell ref="A5:B5"/>
    <mergeCell ref="A7:B7"/>
    <mergeCell ref="A9:B9"/>
    <mergeCell ref="A11:B11"/>
    <mergeCell ref="A13:B13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D7F4C-A3B0-4ACF-B61F-3713BD08C4EC}">
  <sheetPr codeName="Sheet6">
    <tabColor rgb="FF7030A0"/>
  </sheetPr>
  <dimension ref="A1:BZ2000"/>
  <sheetViews>
    <sheetView showGridLines="0" showRowColHeaders="0" workbookViewId="0">
      <selection activeCell="D13" sqref="D13"/>
    </sheetView>
  </sheetViews>
  <sheetFormatPr defaultRowHeight="15" x14ac:dyDescent="0.25"/>
  <cols>
    <col min="1" max="1" width="5" customWidth="1"/>
    <col min="2" max="2" width="13.28515625" customWidth="1"/>
    <col min="3" max="3" width="3.7109375" customWidth="1"/>
    <col min="4" max="4" width="31.5703125" bestFit="1" customWidth="1"/>
    <col min="5" max="5" width="37" bestFit="1" customWidth="1"/>
    <col min="6" max="6" width="7.28515625" bestFit="1" customWidth="1"/>
    <col min="7" max="7" width="11" bestFit="1" customWidth="1"/>
    <col min="8" max="8" width="3.7109375" customWidth="1"/>
    <col min="9" max="9" width="13.28515625" bestFit="1" customWidth="1"/>
    <col min="10" max="10" width="8.42578125" bestFit="1" customWidth="1"/>
    <col min="11" max="11" width="10" bestFit="1" customWidth="1"/>
    <col min="12" max="12" width="12.7109375" bestFit="1" customWidth="1"/>
    <col min="13" max="13" width="9.42578125" bestFit="1" customWidth="1"/>
    <col min="14" max="14" width="13.42578125" bestFit="1" customWidth="1"/>
    <col min="15" max="15" width="14.85546875" bestFit="1" customWidth="1"/>
    <col min="17" max="23" width="8.28515625" bestFit="1" customWidth="1"/>
  </cols>
  <sheetData>
    <row r="1" spans="1:78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</row>
    <row r="2" spans="1:78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</row>
    <row r="3" spans="1:78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</row>
    <row r="4" spans="1:78" x14ac:dyDescent="0.25">
      <c r="A4" s="13"/>
      <c r="B4" s="13"/>
    </row>
    <row r="5" spans="1:78" x14ac:dyDescent="0.25">
      <c r="A5" s="71" t="str">
        <f>HYPERLINK("#'Controls'!d4", "Controls")</f>
        <v>Controls</v>
      </c>
      <c r="B5" s="71"/>
      <c r="D5" t="s">
        <v>36</v>
      </c>
      <c r="E5" t="s">
        <v>41</v>
      </c>
      <c r="F5" t="s">
        <v>42</v>
      </c>
      <c r="G5" t="s">
        <v>40</v>
      </c>
    </row>
    <row r="6" spans="1:78" x14ac:dyDescent="0.25">
      <c r="A6" s="33"/>
      <c r="B6" s="34"/>
      <c r="G6" s="12"/>
    </row>
    <row r="7" spans="1:78" x14ac:dyDescent="0.25">
      <c r="A7" s="71" t="str">
        <f>HYPERLINK("#'Line List'!d4", "Line List")</f>
        <v>Line List</v>
      </c>
      <c r="B7" s="71"/>
    </row>
    <row r="8" spans="1:78" x14ac:dyDescent="0.25">
      <c r="A8" s="33"/>
      <c r="B8" s="34"/>
    </row>
    <row r="9" spans="1:78" x14ac:dyDescent="0.25">
      <c r="A9" s="71" t="str">
        <f>HYPERLINK("#'Image Data'!D4", "Img Data")</f>
        <v>Img Data</v>
      </c>
      <c r="B9" s="71"/>
    </row>
    <row r="10" spans="1:78" x14ac:dyDescent="0.25">
      <c r="A10" s="33"/>
      <c r="B10" s="34"/>
    </row>
    <row r="11" spans="1:78" x14ac:dyDescent="0.25">
      <c r="A11" s="71" t="str">
        <f>HYPERLINK("#'Image Syle Not in Line List'!D4", "Img Style!=")</f>
        <v>Img Style!=</v>
      </c>
      <c r="B11" s="71"/>
    </row>
    <row r="12" spans="1:78" x14ac:dyDescent="0.25">
      <c r="A12" s="33"/>
      <c r="B12" s="34"/>
    </row>
    <row r="13" spans="1:78" x14ac:dyDescent="0.25">
      <c r="A13" s="71" t="str">
        <f>HYPERLINK("#'Images Not in Line List'!D4", "Img != List")</f>
        <v>Img != List</v>
      </c>
      <c r="B13" s="71"/>
    </row>
    <row r="14" spans="1:78" x14ac:dyDescent="0.25">
      <c r="A14" s="33"/>
      <c r="B14" s="34"/>
    </row>
    <row r="15" spans="1:78" x14ac:dyDescent="0.25">
      <c r="A15" s="71" t="str">
        <f>HYPERLINK("#'Line List Not in Images'!D4", "List != Img")</f>
        <v>List != Img</v>
      </c>
      <c r="B15" s="71"/>
    </row>
    <row r="16" spans="1:78" x14ac:dyDescent="0.25">
      <c r="A16" s="33"/>
      <c r="B16" s="34"/>
    </row>
    <row r="17" spans="1:2" x14ac:dyDescent="0.25">
      <c r="A17" s="71" t="str">
        <f>HYPERLINK("#'Renaming Data'!D4", "Renaming")</f>
        <v>Renaming</v>
      </c>
      <c r="B17" s="71"/>
    </row>
    <row r="18" spans="1:2" x14ac:dyDescent="0.25">
      <c r="A18" s="33"/>
      <c r="B18" s="34"/>
    </row>
    <row r="19" spans="1:2" x14ac:dyDescent="0.25">
      <c r="A19" s="71" t="str">
        <f>HYPERLINK("#'Execution Log'!D4", "Exec Log")</f>
        <v>Exec Log</v>
      </c>
      <c r="B19" s="71"/>
    </row>
    <row r="20" spans="1:2" x14ac:dyDescent="0.25">
      <c r="A20" s="13"/>
      <c r="B20" s="13"/>
    </row>
    <row r="21" spans="1:2" x14ac:dyDescent="0.25">
      <c r="A21" s="13"/>
      <c r="B21" s="13"/>
    </row>
    <row r="22" spans="1:2" x14ac:dyDescent="0.25">
      <c r="A22" s="13"/>
      <c r="B22" s="13"/>
    </row>
    <row r="23" spans="1:2" x14ac:dyDescent="0.25">
      <c r="A23" s="13"/>
      <c r="B23" s="13"/>
    </row>
    <row r="24" spans="1:2" x14ac:dyDescent="0.25">
      <c r="A24" s="13"/>
      <c r="B24" s="13"/>
    </row>
    <row r="25" spans="1:2" x14ac:dyDescent="0.25">
      <c r="A25" s="13"/>
      <c r="B25" s="13"/>
    </row>
    <row r="26" spans="1:2" x14ac:dyDescent="0.25">
      <c r="A26" s="13"/>
      <c r="B26" s="13"/>
    </row>
    <row r="27" spans="1:2" x14ac:dyDescent="0.25">
      <c r="A27" s="13"/>
      <c r="B27" s="13"/>
    </row>
    <row r="28" spans="1:2" x14ac:dyDescent="0.25">
      <c r="A28" s="13"/>
      <c r="B28" s="13"/>
    </row>
    <row r="29" spans="1:2" x14ac:dyDescent="0.25">
      <c r="A29" s="13"/>
      <c r="B29" s="13"/>
    </row>
    <row r="30" spans="1:2" x14ac:dyDescent="0.25">
      <c r="A30" s="13"/>
      <c r="B30" s="13"/>
    </row>
    <row r="31" spans="1:2" x14ac:dyDescent="0.25">
      <c r="A31" s="13"/>
      <c r="B31" s="13"/>
    </row>
    <row r="32" spans="1:2" x14ac:dyDescent="0.25">
      <c r="A32" s="13"/>
      <c r="B32" s="13"/>
    </row>
    <row r="33" spans="1:2" x14ac:dyDescent="0.25">
      <c r="A33" s="13"/>
      <c r="B33" s="13"/>
    </row>
    <row r="34" spans="1:2" x14ac:dyDescent="0.25">
      <c r="A34" s="13"/>
      <c r="B34" s="13"/>
    </row>
    <row r="35" spans="1:2" x14ac:dyDescent="0.25">
      <c r="A35" s="13"/>
      <c r="B35" s="13"/>
    </row>
    <row r="36" spans="1:2" x14ac:dyDescent="0.25">
      <c r="A36" s="13"/>
      <c r="B36" s="13"/>
    </row>
    <row r="37" spans="1:2" x14ac:dyDescent="0.25">
      <c r="A37" s="13"/>
      <c r="B37" s="13"/>
    </row>
    <row r="38" spans="1:2" x14ac:dyDescent="0.25">
      <c r="A38" s="13"/>
      <c r="B38" s="13"/>
    </row>
    <row r="39" spans="1:2" x14ac:dyDescent="0.25">
      <c r="A39" s="13"/>
      <c r="B39" s="13"/>
    </row>
    <row r="40" spans="1:2" x14ac:dyDescent="0.25">
      <c r="A40" s="13"/>
      <c r="B40" s="13"/>
    </row>
    <row r="41" spans="1:2" x14ac:dyDescent="0.25">
      <c r="A41" s="13"/>
      <c r="B41" s="13"/>
    </row>
    <row r="42" spans="1:2" x14ac:dyDescent="0.25">
      <c r="A42" s="13"/>
      <c r="B42" s="13"/>
    </row>
    <row r="43" spans="1:2" x14ac:dyDescent="0.25">
      <c r="A43" s="13"/>
      <c r="B43" s="13"/>
    </row>
    <row r="44" spans="1:2" x14ac:dyDescent="0.25">
      <c r="A44" s="13"/>
      <c r="B44" s="13"/>
    </row>
    <row r="45" spans="1:2" x14ac:dyDescent="0.25">
      <c r="A45" s="13"/>
      <c r="B45" s="13"/>
    </row>
    <row r="46" spans="1:2" x14ac:dyDescent="0.25">
      <c r="A46" s="13"/>
      <c r="B46" s="13"/>
    </row>
    <row r="47" spans="1:2" x14ac:dyDescent="0.25">
      <c r="A47" s="13"/>
      <c r="B47" s="13"/>
    </row>
    <row r="48" spans="1:2" x14ac:dyDescent="0.25">
      <c r="A48" s="13"/>
      <c r="B48" s="13"/>
    </row>
    <row r="49" spans="1:2" x14ac:dyDescent="0.25">
      <c r="A49" s="13"/>
      <c r="B49" s="13"/>
    </row>
    <row r="50" spans="1:2" x14ac:dyDescent="0.25">
      <c r="A50" s="13"/>
      <c r="B50" s="13"/>
    </row>
    <row r="51" spans="1:2" x14ac:dyDescent="0.25">
      <c r="A51" s="13"/>
      <c r="B51" s="13"/>
    </row>
    <row r="52" spans="1:2" x14ac:dyDescent="0.25">
      <c r="A52" s="13"/>
      <c r="B52" s="13"/>
    </row>
    <row r="53" spans="1:2" x14ac:dyDescent="0.25">
      <c r="A53" s="13"/>
      <c r="B53" s="13"/>
    </row>
    <row r="54" spans="1:2" x14ac:dyDescent="0.25">
      <c r="A54" s="13"/>
      <c r="B54" s="13"/>
    </row>
    <row r="55" spans="1:2" x14ac:dyDescent="0.25">
      <c r="A55" s="13"/>
      <c r="B55" s="13"/>
    </row>
    <row r="56" spans="1:2" x14ac:dyDescent="0.25">
      <c r="A56" s="13"/>
      <c r="B56" s="13"/>
    </row>
    <row r="57" spans="1:2" x14ac:dyDescent="0.25">
      <c r="A57" s="13"/>
      <c r="B57" s="13"/>
    </row>
    <row r="58" spans="1:2" x14ac:dyDescent="0.25">
      <c r="A58" s="13"/>
      <c r="B58" s="13"/>
    </row>
    <row r="59" spans="1:2" x14ac:dyDescent="0.25">
      <c r="A59" s="13"/>
      <c r="B59" s="13"/>
    </row>
    <row r="60" spans="1:2" x14ac:dyDescent="0.25">
      <c r="A60" s="13"/>
      <c r="B60" s="13"/>
    </row>
    <row r="61" spans="1:2" x14ac:dyDescent="0.25">
      <c r="A61" s="13"/>
      <c r="B61" s="13"/>
    </row>
    <row r="62" spans="1:2" x14ac:dyDescent="0.25">
      <c r="A62" s="13"/>
      <c r="B62" s="13"/>
    </row>
    <row r="63" spans="1:2" x14ac:dyDescent="0.25">
      <c r="A63" s="13"/>
      <c r="B63" s="13"/>
    </row>
    <row r="64" spans="1:2" x14ac:dyDescent="0.25">
      <c r="A64" s="13"/>
      <c r="B64" s="13"/>
    </row>
    <row r="65" spans="1:2" x14ac:dyDescent="0.25">
      <c r="A65" s="13"/>
      <c r="B65" s="13"/>
    </row>
    <row r="66" spans="1:2" x14ac:dyDescent="0.25">
      <c r="A66" s="13"/>
      <c r="B66" s="13"/>
    </row>
    <row r="67" spans="1:2" x14ac:dyDescent="0.25">
      <c r="A67" s="13"/>
      <c r="B67" s="13"/>
    </row>
    <row r="68" spans="1:2" x14ac:dyDescent="0.25">
      <c r="A68" s="13"/>
      <c r="B68" s="13"/>
    </row>
    <row r="69" spans="1:2" x14ac:dyDescent="0.25">
      <c r="A69" s="13"/>
      <c r="B69" s="13"/>
    </row>
    <row r="70" spans="1:2" x14ac:dyDescent="0.25">
      <c r="A70" s="13"/>
      <c r="B70" s="13"/>
    </row>
    <row r="71" spans="1:2" x14ac:dyDescent="0.25">
      <c r="A71" s="13"/>
      <c r="B71" s="13"/>
    </row>
    <row r="72" spans="1:2" x14ac:dyDescent="0.25">
      <c r="A72" s="13"/>
      <c r="B72" s="13"/>
    </row>
    <row r="73" spans="1:2" x14ac:dyDescent="0.25">
      <c r="A73" s="13"/>
      <c r="B73" s="13"/>
    </row>
    <row r="74" spans="1:2" x14ac:dyDescent="0.25">
      <c r="A74" s="13"/>
      <c r="B74" s="13"/>
    </row>
    <row r="75" spans="1:2" x14ac:dyDescent="0.25">
      <c r="A75" s="13"/>
      <c r="B75" s="13"/>
    </row>
    <row r="76" spans="1:2" x14ac:dyDescent="0.25">
      <c r="A76" s="13"/>
      <c r="B76" s="13"/>
    </row>
    <row r="77" spans="1:2" x14ac:dyDescent="0.25">
      <c r="A77" s="13"/>
      <c r="B77" s="13"/>
    </row>
    <row r="78" spans="1:2" x14ac:dyDescent="0.25">
      <c r="A78" s="13"/>
      <c r="B78" s="13"/>
    </row>
    <row r="79" spans="1:2" x14ac:dyDescent="0.25">
      <c r="A79" s="13"/>
      <c r="B79" s="13"/>
    </row>
    <row r="80" spans="1:2" x14ac:dyDescent="0.25">
      <c r="A80" s="13"/>
      <c r="B80" s="13"/>
    </row>
    <row r="81" spans="1:2" x14ac:dyDescent="0.25">
      <c r="A81" s="13"/>
      <c r="B81" s="13"/>
    </row>
    <row r="82" spans="1:2" x14ac:dyDescent="0.25">
      <c r="A82" s="13"/>
      <c r="B82" s="13"/>
    </row>
    <row r="83" spans="1:2" x14ac:dyDescent="0.25">
      <c r="A83" s="13"/>
      <c r="B83" s="13"/>
    </row>
    <row r="84" spans="1:2" x14ac:dyDescent="0.25">
      <c r="A84" s="13"/>
      <c r="B84" s="13"/>
    </row>
    <row r="85" spans="1:2" x14ac:dyDescent="0.25">
      <c r="A85" s="13"/>
      <c r="B85" s="13"/>
    </row>
    <row r="86" spans="1:2" x14ac:dyDescent="0.25">
      <c r="A86" s="13"/>
      <c r="B86" s="13"/>
    </row>
    <row r="87" spans="1:2" x14ac:dyDescent="0.25">
      <c r="A87" s="13"/>
      <c r="B87" s="13"/>
    </row>
    <row r="88" spans="1:2" x14ac:dyDescent="0.25">
      <c r="A88" s="13"/>
      <c r="B88" s="13"/>
    </row>
    <row r="89" spans="1:2" x14ac:dyDescent="0.25">
      <c r="A89" s="13"/>
      <c r="B89" s="13"/>
    </row>
    <row r="90" spans="1:2" x14ac:dyDescent="0.25">
      <c r="A90" s="13"/>
      <c r="B90" s="13"/>
    </row>
    <row r="91" spans="1:2" x14ac:dyDescent="0.25">
      <c r="A91" s="13"/>
      <c r="B91" s="13"/>
    </row>
    <row r="92" spans="1:2" x14ac:dyDescent="0.25">
      <c r="A92" s="13"/>
      <c r="B92" s="13"/>
    </row>
    <row r="93" spans="1:2" x14ac:dyDescent="0.25">
      <c r="A93" s="13"/>
      <c r="B93" s="13"/>
    </row>
    <row r="94" spans="1:2" x14ac:dyDescent="0.25">
      <c r="A94" s="13"/>
      <c r="B94" s="13"/>
    </row>
    <row r="95" spans="1:2" x14ac:dyDescent="0.25">
      <c r="A95" s="13"/>
      <c r="B95" s="13"/>
    </row>
    <row r="96" spans="1:2" x14ac:dyDescent="0.25">
      <c r="A96" s="13"/>
      <c r="B96" s="13"/>
    </row>
    <row r="97" spans="1:2" x14ac:dyDescent="0.25">
      <c r="A97" s="13"/>
      <c r="B97" s="13"/>
    </row>
    <row r="98" spans="1:2" x14ac:dyDescent="0.25">
      <c r="A98" s="13"/>
      <c r="B98" s="13"/>
    </row>
    <row r="99" spans="1:2" x14ac:dyDescent="0.25">
      <c r="A99" s="13"/>
      <c r="B99" s="13"/>
    </row>
    <row r="100" spans="1:2" x14ac:dyDescent="0.25">
      <c r="A100" s="13"/>
      <c r="B100" s="13"/>
    </row>
    <row r="101" spans="1:2" x14ac:dyDescent="0.25">
      <c r="A101" s="13"/>
      <c r="B101" s="13"/>
    </row>
    <row r="102" spans="1:2" x14ac:dyDescent="0.25">
      <c r="A102" s="13"/>
      <c r="B102" s="13"/>
    </row>
    <row r="103" spans="1:2" x14ac:dyDescent="0.25">
      <c r="A103" s="13"/>
      <c r="B103" s="13"/>
    </row>
    <row r="104" spans="1:2" x14ac:dyDescent="0.25">
      <c r="A104" s="13"/>
      <c r="B104" s="13"/>
    </row>
    <row r="105" spans="1:2" x14ac:dyDescent="0.25">
      <c r="A105" s="13"/>
      <c r="B105" s="13"/>
    </row>
    <row r="106" spans="1:2" x14ac:dyDescent="0.25">
      <c r="A106" s="13"/>
      <c r="B106" s="13"/>
    </row>
    <row r="107" spans="1:2" x14ac:dyDescent="0.25">
      <c r="A107" s="13"/>
      <c r="B107" s="13"/>
    </row>
    <row r="108" spans="1:2" x14ac:dyDescent="0.25">
      <c r="A108" s="13"/>
      <c r="B108" s="13"/>
    </row>
    <row r="109" spans="1:2" x14ac:dyDescent="0.25">
      <c r="A109" s="13"/>
      <c r="B109" s="13"/>
    </row>
    <row r="110" spans="1:2" x14ac:dyDescent="0.25">
      <c r="A110" s="13"/>
      <c r="B110" s="13"/>
    </row>
    <row r="111" spans="1:2" x14ac:dyDescent="0.25">
      <c r="A111" s="13"/>
      <c r="B111" s="13"/>
    </row>
    <row r="112" spans="1:2" x14ac:dyDescent="0.25">
      <c r="A112" s="13"/>
      <c r="B112" s="13"/>
    </row>
    <row r="113" spans="1:2" x14ac:dyDescent="0.25">
      <c r="A113" s="13"/>
      <c r="B113" s="13"/>
    </row>
    <row r="114" spans="1:2" x14ac:dyDescent="0.25">
      <c r="A114" s="13"/>
      <c r="B114" s="13"/>
    </row>
    <row r="115" spans="1:2" x14ac:dyDescent="0.25">
      <c r="A115" s="13"/>
      <c r="B115" s="13"/>
    </row>
    <row r="116" spans="1:2" x14ac:dyDescent="0.25">
      <c r="A116" s="13"/>
      <c r="B116" s="13"/>
    </row>
    <row r="117" spans="1:2" x14ac:dyDescent="0.25">
      <c r="A117" s="13"/>
      <c r="B117" s="13"/>
    </row>
    <row r="118" spans="1:2" x14ac:dyDescent="0.25">
      <c r="A118" s="13"/>
      <c r="B118" s="13"/>
    </row>
    <row r="119" spans="1:2" x14ac:dyDescent="0.25">
      <c r="A119" s="13"/>
      <c r="B119" s="13"/>
    </row>
    <row r="120" spans="1:2" x14ac:dyDescent="0.25">
      <c r="A120" s="13"/>
      <c r="B120" s="13"/>
    </row>
    <row r="121" spans="1:2" x14ac:dyDescent="0.25">
      <c r="A121" s="13"/>
      <c r="B121" s="13"/>
    </row>
    <row r="122" spans="1:2" x14ac:dyDescent="0.25">
      <c r="A122" s="13"/>
      <c r="B122" s="13"/>
    </row>
    <row r="123" spans="1:2" x14ac:dyDescent="0.25">
      <c r="A123" s="13"/>
      <c r="B123" s="13"/>
    </row>
    <row r="124" spans="1:2" x14ac:dyDescent="0.25">
      <c r="A124" s="13"/>
      <c r="B124" s="13"/>
    </row>
    <row r="125" spans="1:2" x14ac:dyDescent="0.25">
      <c r="A125" s="13"/>
      <c r="B125" s="13"/>
    </row>
    <row r="126" spans="1:2" x14ac:dyDescent="0.25">
      <c r="A126" s="13"/>
      <c r="B126" s="13"/>
    </row>
    <row r="127" spans="1:2" x14ac:dyDescent="0.25">
      <c r="A127" s="13"/>
      <c r="B127" s="13"/>
    </row>
    <row r="128" spans="1:2" x14ac:dyDescent="0.25">
      <c r="A128" s="13"/>
      <c r="B128" s="13"/>
    </row>
    <row r="129" spans="1:2" x14ac:dyDescent="0.25">
      <c r="A129" s="13"/>
      <c r="B129" s="13"/>
    </row>
    <row r="130" spans="1:2" x14ac:dyDescent="0.25">
      <c r="A130" s="13"/>
      <c r="B130" s="13"/>
    </row>
    <row r="131" spans="1:2" x14ac:dyDescent="0.25">
      <c r="A131" s="13"/>
      <c r="B131" s="13"/>
    </row>
    <row r="132" spans="1:2" x14ac:dyDescent="0.25">
      <c r="A132" s="13"/>
      <c r="B132" s="13"/>
    </row>
    <row r="133" spans="1:2" x14ac:dyDescent="0.25">
      <c r="A133" s="13"/>
      <c r="B133" s="13"/>
    </row>
    <row r="134" spans="1:2" x14ac:dyDescent="0.25">
      <c r="A134" s="13"/>
      <c r="B134" s="13"/>
    </row>
    <row r="135" spans="1:2" x14ac:dyDescent="0.25">
      <c r="A135" s="13"/>
      <c r="B135" s="13"/>
    </row>
    <row r="136" spans="1:2" x14ac:dyDescent="0.25">
      <c r="A136" s="13"/>
      <c r="B136" s="13"/>
    </row>
    <row r="137" spans="1:2" x14ac:dyDescent="0.25">
      <c r="A137" s="13"/>
      <c r="B137" s="13"/>
    </row>
    <row r="138" spans="1:2" x14ac:dyDescent="0.25">
      <c r="A138" s="13"/>
      <c r="B138" s="13"/>
    </row>
    <row r="139" spans="1:2" x14ac:dyDescent="0.25">
      <c r="A139" s="13"/>
      <c r="B139" s="13"/>
    </row>
    <row r="140" spans="1:2" x14ac:dyDescent="0.25">
      <c r="A140" s="13"/>
      <c r="B140" s="13"/>
    </row>
    <row r="141" spans="1:2" x14ac:dyDescent="0.25">
      <c r="A141" s="13"/>
      <c r="B141" s="13"/>
    </row>
    <row r="142" spans="1:2" x14ac:dyDescent="0.25">
      <c r="A142" s="13"/>
      <c r="B142" s="13"/>
    </row>
    <row r="143" spans="1:2" x14ac:dyDescent="0.25">
      <c r="A143" s="13"/>
      <c r="B143" s="13"/>
    </row>
    <row r="144" spans="1:2" x14ac:dyDescent="0.25">
      <c r="A144" s="13"/>
      <c r="B144" s="13"/>
    </row>
    <row r="145" spans="1:2" x14ac:dyDescent="0.25">
      <c r="A145" s="13"/>
      <c r="B145" s="13"/>
    </row>
    <row r="146" spans="1:2" x14ac:dyDescent="0.25">
      <c r="A146" s="13"/>
      <c r="B146" s="13"/>
    </row>
    <row r="147" spans="1:2" x14ac:dyDescent="0.25">
      <c r="A147" s="13"/>
      <c r="B147" s="13"/>
    </row>
    <row r="148" spans="1:2" x14ac:dyDescent="0.25">
      <c r="A148" s="13"/>
      <c r="B148" s="13"/>
    </row>
    <row r="149" spans="1:2" x14ac:dyDescent="0.25">
      <c r="A149" s="13"/>
      <c r="B149" s="13"/>
    </row>
    <row r="150" spans="1:2" x14ac:dyDescent="0.25">
      <c r="A150" s="13"/>
      <c r="B150" s="13"/>
    </row>
    <row r="151" spans="1:2" x14ac:dyDescent="0.25">
      <c r="A151" s="13"/>
      <c r="B151" s="13"/>
    </row>
    <row r="152" spans="1:2" x14ac:dyDescent="0.25">
      <c r="A152" s="13"/>
      <c r="B152" s="13"/>
    </row>
    <row r="153" spans="1:2" x14ac:dyDescent="0.25">
      <c r="A153" s="13"/>
      <c r="B153" s="13"/>
    </row>
    <row r="154" spans="1:2" x14ac:dyDescent="0.25">
      <c r="A154" s="13"/>
      <c r="B154" s="13"/>
    </row>
    <row r="155" spans="1:2" x14ac:dyDescent="0.25">
      <c r="A155" s="13"/>
      <c r="B155" s="13"/>
    </row>
    <row r="156" spans="1:2" x14ac:dyDescent="0.25">
      <c r="A156" s="13"/>
      <c r="B156" s="13"/>
    </row>
    <row r="157" spans="1:2" x14ac:dyDescent="0.25">
      <c r="A157" s="13"/>
      <c r="B157" s="13"/>
    </row>
    <row r="158" spans="1:2" x14ac:dyDescent="0.25">
      <c r="A158" s="13"/>
      <c r="B158" s="13"/>
    </row>
    <row r="159" spans="1:2" x14ac:dyDescent="0.25">
      <c r="A159" s="13"/>
      <c r="B159" s="13"/>
    </row>
    <row r="160" spans="1:2" x14ac:dyDescent="0.25">
      <c r="A160" s="13"/>
      <c r="B160" s="13"/>
    </row>
    <row r="161" spans="1:2" x14ac:dyDescent="0.25">
      <c r="A161" s="13"/>
      <c r="B161" s="13"/>
    </row>
    <row r="162" spans="1:2" x14ac:dyDescent="0.25">
      <c r="A162" s="13"/>
      <c r="B162" s="13"/>
    </row>
    <row r="163" spans="1:2" x14ac:dyDescent="0.25">
      <c r="A163" s="13"/>
      <c r="B163" s="13"/>
    </row>
    <row r="164" spans="1:2" x14ac:dyDescent="0.25">
      <c r="A164" s="13"/>
      <c r="B164" s="13"/>
    </row>
    <row r="165" spans="1:2" x14ac:dyDescent="0.25">
      <c r="A165" s="13"/>
      <c r="B165" s="13"/>
    </row>
    <row r="166" spans="1:2" x14ac:dyDescent="0.25">
      <c r="A166" s="13"/>
      <c r="B166" s="13"/>
    </row>
    <row r="167" spans="1:2" x14ac:dyDescent="0.25">
      <c r="A167" s="13"/>
      <c r="B167" s="13"/>
    </row>
    <row r="168" spans="1:2" x14ac:dyDescent="0.25">
      <c r="A168" s="13"/>
      <c r="B168" s="13"/>
    </row>
    <row r="169" spans="1:2" x14ac:dyDescent="0.25">
      <c r="A169" s="13"/>
      <c r="B169" s="13"/>
    </row>
    <row r="170" spans="1:2" x14ac:dyDescent="0.25">
      <c r="A170" s="13"/>
      <c r="B170" s="13"/>
    </row>
    <row r="171" spans="1:2" x14ac:dyDescent="0.25">
      <c r="A171" s="13"/>
      <c r="B171" s="13"/>
    </row>
    <row r="172" spans="1:2" x14ac:dyDescent="0.25">
      <c r="A172" s="13"/>
      <c r="B172" s="13"/>
    </row>
    <row r="173" spans="1:2" x14ac:dyDescent="0.25">
      <c r="A173" s="13"/>
      <c r="B173" s="13"/>
    </row>
    <row r="174" spans="1:2" x14ac:dyDescent="0.25">
      <c r="A174" s="13"/>
      <c r="B174" s="13"/>
    </row>
    <row r="175" spans="1:2" x14ac:dyDescent="0.25">
      <c r="A175" s="13"/>
      <c r="B175" s="13"/>
    </row>
    <row r="176" spans="1:2" x14ac:dyDescent="0.25">
      <c r="A176" s="13"/>
      <c r="B176" s="13"/>
    </row>
    <row r="177" spans="1:2" x14ac:dyDescent="0.25">
      <c r="A177" s="13"/>
      <c r="B177" s="13"/>
    </row>
    <row r="178" spans="1:2" x14ac:dyDescent="0.25">
      <c r="A178" s="13"/>
      <c r="B178" s="13"/>
    </row>
    <row r="179" spans="1:2" x14ac:dyDescent="0.25">
      <c r="A179" s="13"/>
      <c r="B179" s="13"/>
    </row>
    <row r="180" spans="1:2" x14ac:dyDescent="0.25">
      <c r="A180" s="13"/>
      <c r="B180" s="13"/>
    </row>
    <row r="181" spans="1:2" x14ac:dyDescent="0.25">
      <c r="A181" s="13"/>
      <c r="B181" s="13"/>
    </row>
    <row r="182" spans="1:2" x14ac:dyDescent="0.25">
      <c r="A182" s="13"/>
      <c r="B182" s="13"/>
    </row>
    <row r="183" spans="1:2" x14ac:dyDescent="0.25">
      <c r="A183" s="13"/>
      <c r="B183" s="13"/>
    </row>
    <row r="184" spans="1:2" x14ac:dyDescent="0.25">
      <c r="A184" s="13"/>
      <c r="B184" s="13"/>
    </row>
    <row r="185" spans="1:2" x14ac:dyDescent="0.25">
      <c r="A185" s="13"/>
      <c r="B185" s="13"/>
    </row>
    <row r="186" spans="1:2" x14ac:dyDescent="0.25">
      <c r="A186" s="13"/>
      <c r="B186" s="13"/>
    </row>
    <row r="187" spans="1:2" x14ac:dyDescent="0.25">
      <c r="A187" s="13"/>
      <c r="B187" s="13"/>
    </row>
    <row r="188" spans="1:2" x14ac:dyDescent="0.25">
      <c r="A188" s="13"/>
      <c r="B188" s="13"/>
    </row>
    <row r="189" spans="1:2" x14ac:dyDescent="0.25">
      <c r="A189" s="13"/>
      <c r="B189" s="13"/>
    </row>
    <row r="190" spans="1:2" x14ac:dyDescent="0.25">
      <c r="A190" s="13"/>
      <c r="B190" s="13"/>
    </row>
    <row r="191" spans="1:2" x14ac:dyDescent="0.25">
      <c r="A191" s="13"/>
      <c r="B191" s="13"/>
    </row>
    <row r="192" spans="1:2" x14ac:dyDescent="0.25">
      <c r="A192" s="13"/>
      <c r="B192" s="13"/>
    </row>
    <row r="193" spans="1:2" x14ac:dyDescent="0.25">
      <c r="A193" s="13"/>
      <c r="B193" s="13"/>
    </row>
    <row r="194" spans="1:2" x14ac:dyDescent="0.25">
      <c r="A194" s="13"/>
      <c r="B194" s="13"/>
    </row>
    <row r="195" spans="1:2" x14ac:dyDescent="0.25">
      <c r="A195" s="13"/>
      <c r="B195" s="13"/>
    </row>
    <row r="196" spans="1:2" x14ac:dyDescent="0.25">
      <c r="A196" s="13"/>
      <c r="B196" s="13"/>
    </row>
    <row r="197" spans="1:2" x14ac:dyDescent="0.25">
      <c r="A197" s="13"/>
      <c r="B197" s="13"/>
    </row>
    <row r="198" spans="1:2" x14ac:dyDescent="0.25">
      <c r="A198" s="13"/>
      <c r="B198" s="13"/>
    </row>
    <row r="199" spans="1:2" x14ac:dyDescent="0.25">
      <c r="A199" s="13"/>
      <c r="B199" s="13"/>
    </row>
    <row r="200" spans="1:2" x14ac:dyDescent="0.25">
      <c r="A200" s="13"/>
      <c r="B200" s="13"/>
    </row>
    <row r="201" spans="1:2" x14ac:dyDescent="0.25">
      <c r="A201" s="13"/>
      <c r="B201" s="13"/>
    </row>
    <row r="202" spans="1:2" x14ac:dyDescent="0.25">
      <c r="A202" s="13"/>
      <c r="B202" s="13"/>
    </row>
    <row r="203" spans="1:2" x14ac:dyDescent="0.25">
      <c r="A203" s="13"/>
      <c r="B203" s="13"/>
    </row>
    <row r="204" spans="1:2" x14ac:dyDescent="0.25">
      <c r="A204" s="13"/>
      <c r="B204" s="13"/>
    </row>
    <row r="205" spans="1:2" x14ac:dyDescent="0.25">
      <c r="A205" s="13"/>
      <c r="B205" s="13"/>
    </row>
    <row r="206" spans="1:2" x14ac:dyDescent="0.25">
      <c r="A206" s="13"/>
      <c r="B206" s="13"/>
    </row>
    <row r="207" spans="1:2" x14ac:dyDescent="0.25">
      <c r="A207" s="13"/>
      <c r="B207" s="13"/>
    </row>
    <row r="208" spans="1:2" x14ac:dyDescent="0.25">
      <c r="A208" s="13"/>
      <c r="B208" s="13"/>
    </row>
    <row r="209" spans="1:2" x14ac:dyDescent="0.25">
      <c r="A209" s="13"/>
      <c r="B209" s="13"/>
    </row>
    <row r="210" spans="1:2" x14ac:dyDescent="0.25">
      <c r="A210" s="13"/>
      <c r="B210" s="13"/>
    </row>
    <row r="211" spans="1:2" x14ac:dyDescent="0.25">
      <c r="A211" s="13"/>
      <c r="B211" s="13"/>
    </row>
    <row r="212" spans="1:2" x14ac:dyDescent="0.25">
      <c r="A212" s="13"/>
      <c r="B212" s="13"/>
    </row>
    <row r="213" spans="1:2" x14ac:dyDescent="0.25">
      <c r="A213" s="13"/>
      <c r="B213" s="13"/>
    </row>
    <row r="214" spans="1:2" x14ac:dyDescent="0.25">
      <c r="A214" s="13"/>
      <c r="B214" s="13"/>
    </row>
    <row r="215" spans="1:2" x14ac:dyDescent="0.25">
      <c r="A215" s="13"/>
      <c r="B215" s="13"/>
    </row>
    <row r="216" spans="1:2" x14ac:dyDescent="0.25">
      <c r="A216" s="13"/>
      <c r="B216" s="13"/>
    </row>
    <row r="217" spans="1:2" x14ac:dyDescent="0.25">
      <c r="A217" s="13"/>
      <c r="B217" s="13"/>
    </row>
    <row r="218" spans="1:2" x14ac:dyDescent="0.25">
      <c r="A218" s="13"/>
      <c r="B218" s="13"/>
    </row>
    <row r="219" spans="1:2" x14ac:dyDescent="0.25">
      <c r="A219" s="13"/>
      <c r="B219" s="13"/>
    </row>
    <row r="220" spans="1:2" x14ac:dyDescent="0.25">
      <c r="A220" s="13"/>
      <c r="B220" s="13"/>
    </row>
    <row r="221" spans="1:2" x14ac:dyDescent="0.25">
      <c r="A221" s="13"/>
      <c r="B221" s="13"/>
    </row>
    <row r="222" spans="1:2" x14ac:dyDescent="0.25">
      <c r="A222" s="13"/>
      <c r="B222" s="13"/>
    </row>
    <row r="223" spans="1:2" x14ac:dyDescent="0.25">
      <c r="A223" s="13"/>
      <c r="B223" s="13"/>
    </row>
    <row r="224" spans="1:2" x14ac:dyDescent="0.25">
      <c r="A224" s="13"/>
      <c r="B224" s="13"/>
    </row>
    <row r="225" spans="1:2" x14ac:dyDescent="0.25">
      <c r="A225" s="13"/>
      <c r="B225" s="13"/>
    </row>
    <row r="226" spans="1:2" x14ac:dyDescent="0.25">
      <c r="A226" s="13"/>
      <c r="B226" s="13"/>
    </row>
    <row r="227" spans="1:2" x14ac:dyDescent="0.25">
      <c r="A227" s="13"/>
      <c r="B227" s="13"/>
    </row>
    <row r="228" spans="1:2" x14ac:dyDescent="0.25">
      <c r="A228" s="13"/>
      <c r="B228" s="13"/>
    </row>
    <row r="229" spans="1:2" x14ac:dyDescent="0.25">
      <c r="A229" s="13"/>
      <c r="B229" s="13"/>
    </row>
    <row r="230" spans="1:2" x14ac:dyDescent="0.25">
      <c r="A230" s="13"/>
      <c r="B230" s="13"/>
    </row>
    <row r="231" spans="1:2" x14ac:dyDescent="0.25">
      <c r="A231" s="13"/>
      <c r="B231" s="13"/>
    </row>
    <row r="232" spans="1:2" x14ac:dyDescent="0.25">
      <c r="A232" s="13"/>
      <c r="B232" s="13"/>
    </row>
    <row r="233" spans="1:2" x14ac:dyDescent="0.25">
      <c r="A233" s="13"/>
      <c r="B233" s="13"/>
    </row>
    <row r="234" spans="1:2" x14ac:dyDescent="0.25">
      <c r="A234" s="13"/>
      <c r="B234" s="13"/>
    </row>
    <row r="235" spans="1:2" x14ac:dyDescent="0.25">
      <c r="A235" s="13"/>
      <c r="B235" s="13"/>
    </row>
    <row r="236" spans="1:2" x14ac:dyDescent="0.25">
      <c r="A236" s="13"/>
      <c r="B236" s="13"/>
    </row>
    <row r="237" spans="1:2" x14ac:dyDescent="0.25">
      <c r="A237" s="13"/>
      <c r="B237" s="13"/>
    </row>
    <row r="238" spans="1:2" x14ac:dyDescent="0.25">
      <c r="A238" s="13"/>
      <c r="B238" s="13"/>
    </row>
    <row r="239" spans="1:2" x14ac:dyDescent="0.25">
      <c r="A239" s="13"/>
      <c r="B239" s="13"/>
    </row>
    <row r="240" spans="1:2" x14ac:dyDescent="0.25">
      <c r="A240" s="13"/>
      <c r="B240" s="13"/>
    </row>
    <row r="241" spans="1:2" x14ac:dyDescent="0.25">
      <c r="A241" s="13"/>
      <c r="B241" s="13"/>
    </row>
    <row r="242" spans="1:2" x14ac:dyDescent="0.25">
      <c r="A242" s="13"/>
      <c r="B242" s="13"/>
    </row>
    <row r="243" spans="1:2" x14ac:dyDescent="0.25">
      <c r="A243" s="13"/>
      <c r="B243" s="13"/>
    </row>
    <row r="244" spans="1:2" x14ac:dyDescent="0.25">
      <c r="A244" s="13"/>
      <c r="B244" s="13"/>
    </row>
    <row r="245" spans="1:2" x14ac:dyDescent="0.25">
      <c r="A245" s="13"/>
      <c r="B245" s="13"/>
    </row>
    <row r="246" spans="1:2" x14ac:dyDescent="0.25">
      <c r="A246" s="13"/>
      <c r="B246" s="13"/>
    </row>
    <row r="247" spans="1:2" x14ac:dyDescent="0.25">
      <c r="A247" s="13"/>
      <c r="B247" s="13"/>
    </row>
    <row r="248" spans="1:2" x14ac:dyDescent="0.25">
      <c r="A248" s="13"/>
      <c r="B248" s="13"/>
    </row>
    <row r="249" spans="1:2" x14ac:dyDescent="0.25">
      <c r="A249" s="13"/>
      <c r="B249" s="13"/>
    </row>
    <row r="250" spans="1:2" x14ac:dyDescent="0.25">
      <c r="A250" s="13"/>
      <c r="B250" s="13"/>
    </row>
    <row r="251" spans="1:2" x14ac:dyDescent="0.25">
      <c r="A251" s="13"/>
      <c r="B251" s="13"/>
    </row>
    <row r="252" spans="1:2" x14ac:dyDescent="0.25">
      <c r="A252" s="13"/>
      <c r="B252" s="13"/>
    </row>
    <row r="253" spans="1:2" x14ac:dyDescent="0.25">
      <c r="A253" s="13"/>
      <c r="B253" s="13"/>
    </row>
    <row r="254" spans="1:2" x14ac:dyDescent="0.25">
      <c r="A254" s="13"/>
      <c r="B254" s="13"/>
    </row>
    <row r="255" spans="1:2" x14ac:dyDescent="0.25">
      <c r="A255" s="13"/>
      <c r="B255" s="13"/>
    </row>
    <row r="256" spans="1:2" x14ac:dyDescent="0.25">
      <c r="A256" s="13"/>
      <c r="B256" s="13"/>
    </row>
    <row r="257" spans="1:2" x14ac:dyDescent="0.25">
      <c r="A257" s="13"/>
      <c r="B257" s="13"/>
    </row>
    <row r="258" spans="1:2" x14ac:dyDescent="0.25">
      <c r="A258" s="13"/>
      <c r="B258" s="13"/>
    </row>
    <row r="259" spans="1:2" x14ac:dyDescent="0.25">
      <c r="A259" s="13"/>
      <c r="B259" s="13"/>
    </row>
    <row r="260" spans="1:2" x14ac:dyDescent="0.25">
      <c r="A260" s="13"/>
      <c r="B260" s="13"/>
    </row>
    <row r="261" spans="1:2" x14ac:dyDescent="0.25">
      <c r="A261" s="13"/>
      <c r="B261" s="13"/>
    </row>
    <row r="262" spans="1:2" x14ac:dyDescent="0.25">
      <c r="A262" s="13"/>
      <c r="B262" s="13"/>
    </row>
    <row r="263" spans="1:2" x14ac:dyDescent="0.25">
      <c r="A263" s="13"/>
      <c r="B263" s="13"/>
    </row>
    <row r="264" spans="1:2" x14ac:dyDescent="0.25">
      <c r="A264" s="13"/>
      <c r="B264" s="13"/>
    </row>
    <row r="265" spans="1:2" x14ac:dyDescent="0.25">
      <c r="A265" s="13"/>
      <c r="B265" s="13"/>
    </row>
    <row r="266" spans="1:2" x14ac:dyDescent="0.25">
      <c r="A266" s="13"/>
      <c r="B266" s="13"/>
    </row>
    <row r="267" spans="1:2" x14ac:dyDescent="0.25">
      <c r="A267" s="13"/>
      <c r="B267" s="13"/>
    </row>
    <row r="268" spans="1:2" x14ac:dyDescent="0.25">
      <c r="A268" s="13"/>
      <c r="B268" s="13"/>
    </row>
    <row r="269" spans="1:2" x14ac:dyDescent="0.25">
      <c r="A269" s="13"/>
      <c r="B269" s="13"/>
    </row>
    <row r="270" spans="1:2" x14ac:dyDescent="0.25">
      <c r="A270" s="13"/>
      <c r="B270" s="13"/>
    </row>
    <row r="271" spans="1:2" x14ac:dyDescent="0.25">
      <c r="A271" s="13"/>
      <c r="B271" s="13"/>
    </row>
    <row r="272" spans="1:2" x14ac:dyDescent="0.25">
      <c r="A272" s="13"/>
      <c r="B272" s="13"/>
    </row>
    <row r="273" spans="1:2" x14ac:dyDescent="0.25">
      <c r="A273" s="13"/>
      <c r="B273" s="13"/>
    </row>
    <row r="274" spans="1:2" x14ac:dyDescent="0.25">
      <c r="A274" s="13"/>
      <c r="B274" s="13"/>
    </row>
    <row r="275" spans="1:2" x14ac:dyDescent="0.25">
      <c r="A275" s="13"/>
      <c r="B275" s="13"/>
    </row>
    <row r="276" spans="1:2" x14ac:dyDescent="0.25">
      <c r="A276" s="13"/>
      <c r="B276" s="13"/>
    </row>
    <row r="277" spans="1:2" x14ac:dyDescent="0.25">
      <c r="A277" s="13"/>
      <c r="B277" s="13"/>
    </row>
    <row r="278" spans="1:2" x14ac:dyDescent="0.25">
      <c r="A278" s="13"/>
      <c r="B278" s="13"/>
    </row>
    <row r="279" spans="1:2" x14ac:dyDescent="0.25">
      <c r="A279" s="13"/>
      <c r="B279" s="13"/>
    </row>
    <row r="280" spans="1:2" x14ac:dyDescent="0.25">
      <c r="A280" s="13"/>
      <c r="B280" s="13"/>
    </row>
    <row r="281" spans="1:2" x14ac:dyDescent="0.25">
      <c r="A281" s="13"/>
      <c r="B281" s="13"/>
    </row>
    <row r="282" spans="1:2" x14ac:dyDescent="0.25">
      <c r="A282" s="13"/>
      <c r="B282" s="13"/>
    </row>
    <row r="283" spans="1:2" x14ac:dyDescent="0.25">
      <c r="A283" s="13"/>
      <c r="B283" s="13"/>
    </row>
    <row r="284" spans="1:2" x14ac:dyDescent="0.25">
      <c r="A284" s="13"/>
      <c r="B284" s="13"/>
    </row>
    <row r="285" spans="1:2" x14ac:dyDescent="0.25">
      <c r="A285" s="13"/>
      <c r="B285" s="13"/>
    </row>
    <row r="286" spans="1:2" x14ac:dyDescent="0.25">
      <c r="A286" s="13"/>
      <c r="B286" s="13"/>
    </row>
    <row r="287" spans="1:2" x14ac:dyDescent="0.25">
      <c r="A287" s="13"/>
      <c r="B287" s="13"/>
    </row>
    <row r="288" spans="1:2" x14ac:dyDescent="0.25">
      <c r="A288" s="13"/>
      <c r="B288" s="13"/>
    </row>
    <row r="289" spans="1:2" x14ac:dyDescent="0.25">
      <c r="A289" s="13"/>
      <c r="B289" s="13"/>
    </row>
    <row r="290" spans="1:2" x14ac:dyDescent="0.25">
      <c r="A290" s="13"/>
      <c r="B290" s="13"/>
    </row>
    <row r="291" spans="1:2" x14ac:dyDescent="0.25">
      <c r="A291" s="13"/>
      <c r="B291" s="13"/>
    </row>
    <row r="292" spans="1:2" x14ac:dyDescent="0.25">
      <c r="A292" s="13"/>
      <c r="B292" s="13"/>
    </row>
    <row r="293" spans="1:2" x14ac:dyDescent="0.25">
      <c r="A293" s="13"/>
      <c r="B293" s="13"/>
    </row>
    <row r="294" spans="1:2" x14ac:dyDescent="0.25">
      <c r="A294" s="13"/>
      <c r="B294" s="13"/>
    </row>
    <row r="295" spans="1:2" x14ac:dyDescent="0.25">
      <c r="A295" s="13"/>
      <c r="B295" s="13"/>
    </row>
    <row r="296" spans="1:2" x14ac:dyDescent="0.25">
      <c r="A296" s="13"/>
      <c r="B296" s="13"/>
    </row>
    <row r="297" spans="1:2" x14ac:dyDescent="0.25">
      <c r="A297" s="13"/>
      <c r="B297" s="13"/>
    </row>
    <row r="298" spans="1:2" x14ac:dyDescent="0.25">
      <c r="A298" s="13"/>
      <c r="B298" s="13"/>
    </row>
    <row r="299" spans="1:2" x14ac:dyDescent="0.25">
      <c r="A299" s="13"/>
      <c r="B299" s="13"/>
    </row>
    <row r="300" spans="1:2" x14ac:dyDescent="0.25">
      <c r="A300" s="13"/>
      <c r="B300" s="13"/>
    </row>
    <row r="301" spans="1:2" x14ac:dyDescent="0.25">
      <c r="A301" s="13"/>
      <c r="B301" s="13"/>
    </row>
    <row r="302" spans="1:2" x14ac:dyDescent="0.25">
      <c r="A302" s="13"/>
      <c r="B302" s="13"/>
    </row>
    <row r="303" spans="1:2" x14ac:dyDescent="0.25">
      <c r="A303" s="13"/>
      <c r="B303" s="13"/>
    </row>
    <row r="304" spans="1:2" x14ac:dyDescent="0.25">
      <c r="A304" s="13"/>
      <c r="B304" s="13"/>
    </row>
    <row r="305" spans="1:2" x14ac:dyDescent="0.25">
      <c r="A305" s="13"/>
      <c r="B305" s="13"/>
    </row>
    <row r="306" spans="1:2" x14ac:dyDescent="0.25">
      <c r="A306" s="13"/>
      <c r="B306" s="13"/>
    </row>
    <row r="307" spans="1:2" x14ac:dyDescent="0.25">
      <c r="A307" s="13"/>
      <c r="B307" s="13"/>
    </row>
    <row r="308" spans="1:2" x14ac:dyDescent="0.25">
      <c r="A308" s="13"/>
      <c r="B308" s="13"/>
    </row>
    <row r="309" spans="1:2" x14ac:dyDescent="0.25">
      <c r="A309" s="13"/>
      <c r="B309" s="13"/>
    </row>
    <row r="310" spans="1:2" x14ac:dyDescent="0.25">
      <c r="A310" s="13"/>
      <c r="B310" s="13"/>
    </row>
    <row r="311" spans="1:2" x14ac:dyDescent="0.25">
      <c r="A311" s="13"/>
      <c r="B311" s="13"/>
    </row>
    <row r="312" spans="1:2" x14ac:dyDescent="0.25">
      <c r="A312" s="13"/>
      <c r="B312" s="13"/>
    </row>
    <row r="313" spans="1:2" x14ac:dyDescent="0.25">
      <c r="A313" s="13"/>
      <c r="B313" s="13"/>
    </row>
    <row r="314" spans="1:2" x14ac:dyDescent="0.25">
      <c r="A314" s="13"/>
      <c r="B314" s="13"/>
    </row>
    <row r="315" spans="1:2" x14ac:dyDescent="0.25">
      <c r="A315" s="13"/>
      <c r="B315" s="13"/>
    </row>
    <row r="316" spans="1:2" x14ac:dyDescent="0.25">
      <c r="A316" s="13"/>
      <c r="B316" s="13"/>
    </row>
    <row r="317" spans="1:2" x14ac:dyDescent="0.25">
      <c r="A317" s="13"/>
      <c r="B317" s="13"/>
    </row>
    <row r="318" spans="1:2" x14ac:dyDescent="0.25">
      <c r="A318" s="13"/>
      <c r="B318" s="13"/>
    </row>
    <row r="319" spans="1:2" x14ac:dyDescent="0.25">
      <c r="A319" s="13"/>
      <c r="B319" s="13"/>
    </row>
    <row r="320" spans="1:2" x14ac:dyDescent="0.25">
      <c r="A320" s="13"/>
      <c r="B320" s="13"/>
    </row>
    <row r="321" spans="1:2" x14ac:dyDescent="0.25">
      <c r="A321" s="13"/>
      <c r="B321" s="13"/>
    </row>
    <row r="322" spans="1:2" x14ac:dyDescent="0.25">
      <c r="A322" s="13"/>
      <c r="B322" s="13"/>
    </row>
    <row r="323" spans="1:2" x14ac:dyDescent="0.25">
      <c r="A323" s="13"/>
      <c r="B323" s="13"/>
    </row>
    <row r="324" spans="1:2" x14ac:dyDescent="0.25">
      <c r="A324" s="13"/>
      <c r="B324" s="13"/>
    </row>
    <row r="325" spans="1:2" x14ac:dyDescent="0.25">
      <c r="A325" s="13"/>
      <c r="B325" s="13"/>
    </row>
    <row r="326" spans="1:2" x14ac:dyDescent="0.25">
      <c r="A326" s="13"/>
      <c r="B326" s="13"/>
    </row>
    <row r="327" spans="1:2" x14ac:dyDescent="0.25">
      <c r="A327" s="13"/>
      <c r="B327" s="13"/>
    </row>
    <row r="328" spans="1:2" x14ac:dyDescent="0.25">
      <c r="A328" s="13"/>
      <c r="B328" s="13"/>
    </row>
    <row r="329" spans="1:2" x14ac:dyDescent="0.25">
      <c r="A329" s="13"/>
      <c r="B329" s="13"/>
    </row>
    <row r="330" spans="1:2" x14ac:dyDescent="0.25">
      <c r="A330" s="13"/>
      <c r="B330" s="13"/>
    </row>
    <row r="331" spans="1:2" x14ac:dyDescent="0.25">
      <c r="A331" s="13"/>
      <c r="B331" s="13"/>
    </row>
    <row r="332" spans="1:2" x14ac:dyDescent="0.25">
      <c r="A332" s="13"/>
      <c r="B332" s="13"/>
    </row>
    <row r="333" spans="1:2" x14ac:dyDescent="0.25">
      <c r="A333" s="13"/>
      <c r="B333" s="13"/>
    </row>
    <row r="334" spans="1:2" x14ac:dyDescent="0.25">
      <c r="A334" s="13"/>
      <c r="B334" s="13"/>
    </row>
    <row r="335" spans="1:2" x14ac:dyDescent="0.25">
      <c r="A335" s="13"/>
      <c r="B335" s="13"/>
    </row>
    <row r="336" spans="1:2" x14ac:dyDescent="0.25">
      <c r="A336" s="13"/>
      <c r="B336" s="13"/>
    </row>
    <row r="337" spans="1:2" x14ac:dyDescent="0.25">
      <c r="A337" s="13"/>
      <c r="B337" s="13"/>
    </row>
    <row r="338" spans="1:2" x14ac:dyDescent="0.25">
      <c r="A338" s="13"/>
      <c r="B338" s="13"/>
    </row>
    <row r="339" spans="1:2" x14ac:dyDescent="0.25">
      <c r="A339" s="13"/>
      <c r="B339" s="13"/>
    </row>
    <row r="340" spans="1:2" x14ac:dyDescent="0.25">
      <c r="A340" s="13"/>
      <c r="B340" s="13"/>
    </row>
    <row r="341" spans="1:2" x14ac:dyDescent="0.25">
      <c r="A341" s="13"/>
      <c r="B341" s="13"/>
    </row>
    <row r="342" spans="1:2" x14ac:dyDescent="0.25">
      <c r="A342" s="13"/>
      <c r="B342" s="13"/>
    </row>
    <row r="343" spans="1:2" x14ac:dyDescent="0.25">
      <c r="A343" s="13"/>
      <c r="B343" s="13"/>
    </row>
    <row r="344" spans="1:2" x14ac:dyDescent="0.25">
      <c r="A344" s="13"/>
      <c r="B344" s="13"/>
    </row>
    <row r="345" spans="1:2" x14ac:dyDescent="0.25">
      <c r="A345" s="13"/>
      <c r="B345" s="13"/>
    </row>
    <row r="346" spans="1:2" x14ac:dyDescent="0.25">
      <c r="A346" s="13"/>
      <c r="B346" s="13"/>
    </row>
    <row r="347" spans="1:2" x14ac:dyDescent="0.25">
      <c r="A347" s="13"/>
      <c r="B347" s="13"/>
    </row>
    <row r="348" spans="1:2" x14ac:dyDescent="0.25">
      <c r="A348" s="13"/>
      <c r="B348" s="13"/>
    </row>
    <row r="349" spans="1:2" x14ac:dyDescent="0.25">
      <c r="A349" s="13"/>
      <c r="B349" s="13"/>
    </row>
    <row r="350" spans="1:2" x14ac:dyDescent="0.25">
      <c r="A350" s="13"/>
      <c r="B350" s="13"/>
    </row>
    <row r="351" spans="1:2" x14ac:dyDescent="0.25">
      <c r="A351" s="13"/>
      <c r="B351" s="13"/>
    </row>
    <row r="352" spans="1:2" x14ac:dyDescent="0.25">
      <c r="A352" s="13"/>
      <c r="B352" s="13"/>
    </row>
    <row r="353" spans="1:2" x14ac:dyDescent="0.25">
      <c r="A353" s="13"/>
      <c r="B353" s="13"/>
    </row>
    <row r="354" spans="1:2" x14ac:dyDescent="0.25">
      <c r="A354" s="13"/>
      <c r="B354" s="13"/>
    </row>
    <row r="355" spans="1:2" x14ac:dyDescent="0.25">
      <c r="A355" s="13"/>
      <c r="B355" s="13"/>
    </row>
    <row r="356" spans="1:2" x14ac:dyDescent="0.25">
      <c r="A356" s="13"/>
      <c r="B356" s="13"/>
    </row>
    <row r="357" spans="1:2" x14ac:dyDescent="0.25">
      <c r="A357" s="13"/>
      <c r="B357" s="13"/>
    </row>
    <row r="358" spans="1:2" x14ac:dyDescent="0.25">
      <c r="A358" s="13"/>
      <c r="B358" s="13"/>
    </row>
    <row r="359" spans="1:2" x14ac:dyDescent="0.25">
      <c r="A359" s="13"/>
      <c r="B359" s="13"/>
    </row>
    <row r="360" spans="1:2" x14ac:dyDescent="0.25">
      <c r="A360" s="13"/>
      <c r="B360" s="13"/>
    </row>
    <row r="361" spans="1:2" x14ac:dyDescent="0.25">
      <c r="A361" s="13"/>
      <c r="B361" s="13"/>
    </row>
    <row r="362" spans="1:2" x14ac:dyDescent="0.25">
      <c r="A362" s="13"/>
      <c r="B362" s="13"/>
    </row>
    <row r="363" spans="1:2" x14ac:dyDescent="0.25">
      <c r="A363" s="13"/>
      <c r="B363" s="13"/>
    </row>
    <row r="364" spans="1:2" x14ac:dyDescent="0.25">
      <c r="A364" s="13"/>
      <c r="B364" s="13"/>
    </row>
    <row r="365" spans="1:2" x14ac:dyDescent="0.25">
      <c r="A365" s="13"/>
      <c r="B365" s="13"/>
    </row>
    <row r="366" spans="1:2" x14ac:dyDescent="0.25">
      <c r="A366" s="13"/>
      <c r="B366" s="13"/>
    </row>
    <row r="367" spans="1:2" x14ac:dyDescent="0.25">
      <c r="A367" s="13"/>
      <c r="B367" s="13"/>
    </row>
    <row r="368" spans="1:2" x14ac:dyDescent="0.25">
      <c r="A368" s="13"/>
      <c r="B368" s="13"/>
    </row>
    <row r="369" spans="1:2" x14ac:dyDescent="0.25">
      <c r="A369" s="13"/>
      <c r="B369" s="13"/>
    </row>
    <row r="370" spans="1:2" x14ac:dyDescent="0.25">
      <c r="A370" s="13"/>
      <c r="B370" s="13"/>
    </row>
    <row r="371" spans="1:2" x14ac:dyDescent="0.25">
      <c r="A371" s="13"/>
      <c r="B371" s="13"/>
    </row>
    <row r="372" spans="1:2" x14ac:dyDescent="0.25">
      <c r="A372" s="13"/>
      <c r="B372" s="13"/>
    </row>
    <row r="373" spans="1:2" x14ac:dyDescent="0.25">
      <c r="A373" s="13"/>
      <c r="B373" s="13"/>
    </row>
    <row r="374" spans="1:2" x14ac:dyDescent="0.25">
      <c r="A374" s="13"/>
      <c r="B374" s="13"/>
    </row>
    <row r="375" spans="1:2" x14ac:dyDescent="0.25">
      <c r="A375" s="13"/>
      <c r="B375" s="13"/>
    </row>
    <row r="376" spans="1:2" x14ac:dyDescent="0.25">
      <c r="A376" s="13"/>
      <c r="B376" s="13"/>
    </row>
    <row r="377" spans="1:2" x14ac:dyDescent="0.25">
      <c r="A377" s="13"/>
      <c r="B377" s="13"/>
    </row>
    <row r="378" spans="1:2" x14ac:dyDescent="0.25">
      <c r="A378" s="13"/>
      <c r="B378" s="13"/>
    </row>
    <row r="379" spans="1:2" x14ac:dyDescent="0.25">
      <c r="A379" s="13"/>
      <c r="B379" s="13"/>
    </row>
    <row r="380" spans="1:2" x14ac:dyDescent="0.25">
      <c r="A380" s="13"/>
      <c r="B380" s="13"/>
    </row>
    <row r="381" spans="1:2" x14ac:dyDescent="0.25">
      <c r="A381" s="13"/>
      <c r="B381" s="13"/>
    </row>
    <row r="382" spans="1:2" x14ac:dyDescent="0.25">
      <c r="A382" s="13"/>
      <c r="B382" s="13"/>
    </row>
    <row r="383" spans="1:2" x14ac:dyDescent="0.25">
      <c r="A383" s="13"/>
      <c r="B383" s="13"/>
    </row>
    <row r="384" spans="1:2" x14ac:dyDescent="0.25">
      <c r="A384" s="13"/>
      <c r="B384" s="13"/>
    </row>
    <row r="385" spans="1:2" x14ac:dyDescent="0.25">
      <c r="A385" s="13"/>
      <c r="B385" s="13"/>
    </row>
    <row r="386" spans="1:2" x14ac:dyDescent="0.25">
      <c r="A386" s="13"/>
      <c r="B386" s="13"/>
    </row>
    <row r="387" spans="1:2" x14ac:dyDescent="0.25">
      <c r="A387" s="13"/>
      <c r="B387" s="13"/>
    </row>
    <row r="388" spans="1:2" x14ac:dyDescent="0.25">
      <c r="A388" s="13"/>
      <c r="B388" s="13"/>
    </row>
    <row r="389" spans="1:2" x14ac:dyDescent="0.25">
      <c r="A389" s="13"/>
      <c r="B389" s="13"/>
    </row>
    <row r="390" spans="1:2" x14ac:dyDescent="0.25">
      <c r="A390" s="13"/>
      <c r="B390" s="13"/>
    </row>
    <row r="391" spans="1:2" x14ac:dyDescent="0.25">
      <c r="A391" s="13"/>
      <c r="B391" s="13"/>
    </row>
    <row r="392" spans="1:2" x14ac:dyDescent="0.25">
      <c r="A392" s="13"/>
      <c r="B392" s="13"/>
    </row>
    <row r="393" spans="1:2" x14ac:dyDescent="0.25">
      <c r="A393" s="13"/>
      <c r="B393" s="13"/>
    </row>
    <row r="394" spans="1:2" x14ac:dyDescent="0.25">
      <c r="A394" s="13"/>
      <c r="B394" s="13"/>
    </row>
    <row r="395" spans="1:2" x14ac:dyDescent="0.25">
      <c r="A395" s="13"/>
      <c r="B395" s="13"/>
    </row>
    <row r="396" spans="1:2" x14ac:dyDescent="0.25">
      <c r="A396" s="13"/>
      <c r="B396" s="13"/>
    </row>
    <row r="397" spans="1:2" x14ac:dyDescent="0.25">
      <c r="A397" s="13"/>
      <c r="B397" s="13"/>
    </row>
    <row r="398" spans="1:2" x14ac:dyDescent="0.25">
      <c r="A398" s="13"/>
      <c r="B398" s="13"/>
    </row>
    <row r="399" spans="1:2" x14ac:dyDescent="0.25">
      <c r="A399" s="13"/>
      <c r="B399" s="13"/>
    </row>
    <row r="400" spans="1:2" x14ac:dyDescent="0.25">
      <c r="A400" s="13"/>
      <c r="B400" s="13"/>
    </row>
    <row r="401" spans="1:2" x14ac:dyDescent="0.25">
      <c r="A401" s="13"/>
      <c r="B401" s="13"/>
    </row>
    <row r="402" spans="1:2" x14ac:dyDescent="0.25">
      <c r="A402" s="13"/>
      <c r="B402" s="13"/>
    </row>
    <row r="403" spans="1:2" x14ac:dyDescent="0.25">
      <c r="A403" s="13"/>
      <c r="B403" s="13"/>
    </row>
    <row r="404" spans="1:2" x14ac:dyDescent="0.25">
      <c r="A404" s="13"/>
      <c r="B404" s="13"/>
    </row>
    <row r="405" spans="1:2" x14ac:dyDescent="0.25">
      <c r="A405" s="13"/>
      <c r="B405" s="13"/>
    </row>
    <row r="406" spans="1:2" x14ac:dyDescent="0.25">
      <c r="A406" s="13"/>
      <c r="B406" s="13"/>
    </row>
    <row r="407" spans="1:2" x14ac:dyDescent="0.25">
      <c r="A407" s="13"/>
      <c r="B407" s="13"/>
    </row>
    <row r="408" spans="1:2" x14ac:dyDescent="0.25">
      <c r="A408" s="13"/>
      <c r="B408" s="13"/>
    </row>
    <row r="409" spans="1:2" x14ac:dyDescent="0.25">
      <c r="A409" s="13"/>
      <c r="B409" s="13"/>
    </row>
    <row r="410" spans="1:2" x14ac:dyDescent="0.25">
      <c r="A410" s="13"/>
      <c r="B410" s="13"/>
    </row>
    <row r="411" spans="1:2" x14ac:dyDescent="0.25">
      <c r="A411" s="13"/>
      <c r="B411" s="13"/>
    </row>
    <row r="412" spans="1:2" x14ac:dyDescent="0.25">
      <c r="A412" s="13"/>
      <c r="B412" s="13"/>
    </row>
    <row r="413" spans="1:2" x14ac:dyDescent="0.25">
      <c r="A413" s="13"/>
      <c r="B413" s="13"/>
    </row>
    <row r="414" spans="1:2" x14ac:dyDescent="0.25">
      <c r="A414" s="13"/>
      <c r="B414" s="13"/>
    </row>
    <row r="415" spans="1:2" x14ac:dyDescent="0.25">
      <c r="A415" s="13"/>
      <c r="B415" s="13"/>
    </row>
    <row r="416" spans="1:2" x14ac:dyDescent="0.25">
      <c r="A416" s="13"/>
      <c r="B416" s="13"/>
    </row>
    <row r="417" spans="1:2" x14ac:dyDescent="0.25">
      <c r="A417" s="13"/>
      <c r="B417" s="13"/>
    </row>
    <row r="418" spans="1:2" x14ac:dyDescent="0.25">
      <c r="A418" s="13"/>
      <c r="B418" s="13"/>
    </row>
    <row r="419" spans="1:2" x14ac:dyDescent="0.25">
      <c r="A419" s="13"/>
      <c r="B419" s="13"/>
    </row>
    <row r="420" spans="1:2" x14ac:dyDescent="0.25">
      <c r="A420" s="13"/>
      <c r="B420" s="13"/>
    </row>
    <row r="421" spans="1:2" x14ac:dyDescent="0.25">
      <c r="A421" s="13"/>
      <c r="B421" s="13"/>
    </row>
    <row r="422" spans="1:2" x14ac:dyDescent="0.25">
      <c r="A422" s="13"/>
      <c r="B422" s="13"/>
    </row>
    <row r="423" spans="1:2" x14ac:dyDescent="0.25">
      <c r="A423" s="13"/>
      <c r="B423" s="13"/>
    </row>
    <row r="424" spans="1:2" x14ac:dyDescent="0.25">
      <c r="A424" s="13"/>
      <c r="B424" s="13"/>
    </row>
    <row r="425" spans="1:2" x14ac:dyDescent="0.25">
      <c r="A425" s="13"/>
      <c r="B425" s="13"/>
    </row>
    <row r="426" spans="1:2" x14ac:dyDescent="0.25">
      <c r="A426" s="13"/>
      <c r="B426" s="13"/>
    </row>
    <row r="427" spans="1:2" x14ac:dyDescent="0.25">
      <c r="A427" s="13"/>
      <c r="B427" s="13"/>
    </row>
    <row r="428" spans="1:2" x14ac:dyDescent="0.25">
      <c r="A428" s="13"/>
      <c r="B428" s="13"/>
    </row>
    <row r="429" spans="1:2" x14ac:dyDescent="0.25">
      <c r="A429" s="13"/>
      <c r="B429" s="13"/>
    </row>
    <row r="430" spans="1:2" x14ac:dyDescent="0.25">
      <c r="A430" s="13"/>
      <c r="B430" s="13"/>
    </row>
    <row r="431" spans="1:2" x14ac:dyDescent="0.25">
      <c r="A431" s="13"/>
      <c r="B431" s="13"/>
    </row>
    <row r="432" spans="1:2" x14ac:dyDescent="0.25">
      <c r="A432" s="13"/>
      <c r="B432" s="13"/>
    </row>
    <row r="433" spans="1:2" x14ac:dyDescent="0.25">
      <c r="A433" s="13"/>
      <c r="B433" s="13"/>
    </row>
    <row r="434" spans="1:2" x14ac:dyDescent="0.25">
      <c r="A434" s="13"/>
      <c r="B434" s="13"/>
    </row>
    <row r="435" spans="1:2" x14ac:dyDescent="0.25">
      <c r="A435" s="13"/>
      <c r="B435" s="13"/>
    </row>
    <row r="436" spans="1:2" x14ac:dyDescent="0.25">
      <c r="A436" s="13"/>
      <c r="B436" s="13"/>
    </row>
    <row r="437" spans="1:2" x14ac:dyDescent="0.25">
      <c r="A437" s="13"/>
      <c r="B437" s="13"/>
    </row>
    <row r="438" spans="1:2" x14ac:dyDescent="0.25">
      <c r="A438" s="13"/>
      <c r="B438" s="13"/>
    </row>
    <row r="439" spans="1:2" x14ac:dyDescent="0.25">
      <c r="A439" s="13"/>
      <c r="B439" s="13"/>
    </row>
    <row r="440" spans="1:2" x14ac:dyDescent="0.25">
      <c r="A440" s="13"/>
      <c r="B440" s="13"/>
    </row>
    <row r="441" spans="1:2" x14ac:dyDescent="0.25">
      <c r="A441" s="13"/>
      <c r="B441" s="13"/>
    </row>
    <row r="442" spans="1:2" x14ac:dyDescent="0.25">
      <c r="A442" s="13"/>
      <c r="B442" s="13"/>
    </row>
    <row r="443" spans="1:2" x14ac:dyDescent="0.25">
      <c r="A443" s="13"/>
      <c r="B443" s="13"/>
    </row>
    <row r="444" spans="1:2" x14ac:dyDescent="0.25">
      <c r="A444" s="13"/>
      <c r="B444" s="13"/>
    </row>
    <row r="445" spans="1:2" x14ac:dyDescent="0.25">
      <c r="A445" s="13"/>
      <c r="B445" s="13"/>
    </row>
    <row r="446" spans="1:2" x14ac:dyDescent="0.25">
      <c r="A446" s="13"/>
      <c r="B446" s="13"/>
    </row>
    <row r="447" spans="1:2" x14ac:dyDescent="0.25">
      <c r="A447" s="13"/>
      <c r="B447" s="13"/>
    </row>
    <row r="448" spans="1:2" x14ac:dyDescent="0.25">
      <c r="A448" s="13"/>
      <c r="B448" s="13"/>
    </row>
    <row r="449" spans="1:2" x14ac:dyDescent="0.25">
      <c r="A449" s="13"/>
      <c r="B449" s="13"/>
    </row>
    <row r="450" spans="1:2" x14ac:dyDescent="0.25">
      <c r="A450" s="13"/>
      <c r="B450" s="13"/>
    </row>
    <row r="451" spans="1:2" x14ac:dyDescent="0.25">
      <c r="A451" s="13"/>
      <c r="B451" s="13"/>
    </row>
    <row r="452" spans="1:2" x14ac:dyDescent="0.25">
      <c r="A452" s="13"/>
      <c r="B452" s="13"/>
    </row>
    <row r="453" spans="1:2" x14ac:dyDescent="0.25">
      <c r="A453" s="13"/>
      <c r="B453" s="13"/>
    </row>
    <row r="454" spans="1:2" x14ac:dyDescent="0.25">
      <c r="A454" s="13"/>
      <c r="B454" s="13"/>
    </row>
    <row r="455" spans="1:2" x14ac:dyDescent="0.25">
      <c r="A455" s="13"/>
      <c r="B455" s="13"/>
    </row>
    <row r="456" spans="1:2" x14ac:dyDescent="0.25">
      <c r="A456" s="13"/>
      <c r="B456" s="13"/>
    </row>
    <row r="457" spans="1:2" x14ac:dyDescent="0.25">
      <c r="A457" s="13"/>
      <c r="B457" s="13"/>
    </row>
    <row r="458" spans="1:2" x14ac:dyDescent="0.25">
      <c r="A458" s="13"/>
      <c r="B458" s="13"/>
    </row>
    <row r="459" spans="1:2" x14ac:dyDescent="0.25">
      <c r="A459" s="13"/>
      <c r="B459" s="13"/>
    </row>
    <row r="460" spans="1:2" x14ac:dyDescent="0.25">
      <c r="A460" s="13"/>
      <c r="B460" s="13"/>
    </row>
    <row r="461" spans="1:2" x14ac:dyDescent="0.25">
      <c r="A461" s="13"/>
      <c r="B461" s="13"/>
    </row>
    <row r="462" spans="1:2" x14ac:dyDescent="0.25">
      <c r="A462" s="13"/>
      <c r="B462" s="13"/>
    </row>
    <row r="463" spans="1:2" x14ac:dyDescent="0.25">
      <c r="A463" s="13"/>
      <c r="B463" s="13"/>
    </row>
    <row r="464" spans="1:2" x14ac:dyDescent="0.25">
      <c r="A464" s="13"/>
      <c r="B464" s="13"/>
    </row>
    <row r="465" spans="1:2" x14ac:dyDescent="0.25">
      <c r="A465" s="13"/>
      <c r="B465" s="13"/>
    </row>
    <row r="466" spans="1:2" x14ac:dyDescent="0.25">
      <c r="A466" s="13"/>
      <c r="B466" s="13"/>
    </row>
    <row r="467" spans="1:2" x14ac:dyDescent="0.25">
      <c r="A467" s="13"/>
      <c r="B467" s="13"/>
    </row>
    <row r="468" spans="1:2" x14ac:dyDescent="0.25">
      <c r="A468" s="13"/>
      <c r="B468" s="13"/>
    </row>
    <row r="469" spans="1:2" x14ac:dyDescent="0.25">
      <c r="A469" s="13"/>
      <c r="B469" s="13"/>
    </row>
    <row r="470" spans="1:2" x14ac:dyDescent="0.25">
      <c r="A470" s="13"/>
      <c r="B470" s="13"/>
    </row>
    <row r="471" spans="1:2" x14ac:dyDescent="0.25">
      <c r="A471" s="13"/>
      <c r="B471" s="13"/>
    </row>
    <row r="472" spans="1:2" x14ac:dyDescent="0.25">
      <c r="A472" s="13"/>
      <c r="B472" s="13"/>
    </row>
    <row r="473" spans="1:2" x14ac:dyDescent="0.25">
      <c r="A473" s="13"/>
      <c r="B473" s="13"/>
    </row>
    <row r="474" spans="1:2" x14ac:dyDescent="0.25">
      <c r="A474" s="13"/>
      <c r="B474" s="13"/>
    </row>
    <row r="475" spans="1:2" x14ac:dyDescent="0.25">
      <c r="A475" s="13"/>
      <c r="B475" s="13"/>
    </row>
    <row r="476" spans="1:2" x14ac:dyDescent="0.25">
      <c r="A476" s="13"/>
      <c r="B476" s="13"/>
    </row>
    <row r="477" spans="1:2" x14ac:dyDescent="0.25">
      <c r="A477" s="13"/>
      <c r="B477" s="13"/>
    </row>
    <row r="478" spans="1:2" x14ac:dyDescent="0.25">
      <c r="A478" s="13"/>
      <c r="B478" s="13"/>
    </row>
    <row r="479" spans="1:2" x14ac:dyDescent="0.25">
      <c r="A479" s="13"/>
      <c r="B479" s="13"/>
    </row>
    <row r="480" spans="1:2" x14ac:dyDescent="0.25">
      <c r="A480" s="13"/>
      <c r="B480" s="13"/>
    </row>
    <row r="481" spans="1:2" x14ac:dyDescent="0.25">
      <c r="A481" s="13"/>
      <c r="B481" s="13"/>
    </row>
    <row r="482" spans="1:2" x14ac:dyDescent="0.25">
      <c r="A482" s="13"/>
      <c r="B482" s="13"/>
    </row>
    <row r="483" spans="1:2" x14ac:dyDescent="0.25">
      <c r="A483" s="13"/>
      <c r="B483" s="13"/>
    </row>
    <row r="484" spans="1:2" x14ac:dyDescent="0.25">
      <c r="A484" s="13"/>
      <c r="B484" s="13"/>
    </row>
    <row r="485" spans="1:2" x14ac:dyDescent="0.25">
      <c r="A485" s="13"/>
      <c r="B485" s="13"/>
    </row>
    <row r="486" spans="1:2" x14ac:dyDescent="0.25">
      <c r="A486" s="13"/>
      <c r="B486" s="13"/>
    </row>
    <row r="487" spans="1:2" x14ac:dyDescent="0.25">
      <c r="A487" s="13"/>
      <c r="B487" s="13"/>
    </row>
    <row r="488" spans="1:2" x14ac:dyDescent="0.25">
      <c r="A488" s="13"/>
      <c r="B488" s="13"/>
    </row>
    <row r="489" spans="1:2" x14ac:dyDescent="0.25">
      <c r="A489" s="13"/>
      <c r="B489" s="13"/>
    </row>
    <row r="490" spans="1:2" x14ac:dyDescent="0.25">
      <c r="A490" s="13"/>
      <c r="B490" s="13"/>
    </row>
    <row r="491" spans="1:2" x14ac:dyDescent="0.25">
      <c r="A491" s="13"/>
      <c r="B491" s="13"/>
    </row>
    <row r="492" spans="1:2" x14ac:dyDescent="0.25">
      <c r="A492" s="13"/>
      <c r="B492" s="13"/>
    </row>
    <row r="493" spans="1:2" x14ac:dyDescent="0.25">
      <c r="A493" s="13"/>
      <c r="B493" s="13"/>
    </row>
    <row r="494" spans="1:2" x14ac:dyDescent="0.25">
      <c r="A494" s="13"/>
      <c r="B494" s="13"/>
    </row>
    <row r="495" spans="1:2" x14ac:dyDescent="0.25">
      <c r="A495" s="13"/>
      <c r="B495" s="13"/>
    </row>
    <row r="496" spans="1:2" x14ac:dyDescent="0.25">
      <c r="A496" s="13"/>
      <c r="B496" s="13"/>
    </row>
    <row r="497" spans="1:2" x14ac:dyDescent="0.25">
      <c r="A497" s="13"/>
      <c r="B497" s="13"/>
    </row>
    <row r="498" spans="1:2" x14ac:dyDescent="0.25">
      <c r="A498" s="13"/>
      <c r="B498" s="13"/>
    </row>
    <row r="499" spans="1:2" x14ac:dyDescent="0.25">
      <c r="A499" s="13"/>
      <c r="B499" s="13"/>
    </row>
    <row r="500" spans="1:2" x14ac:dyDescent="0.25">
      <c r="A500" s="13"/>
      <c r="B500" s="13"/>
    </row>
    <row r="501" spans="1:2" x14ac:dyDescent="0.25">
      <c r="A501" s="13"/>
      <c r="B501" s="13"/>
    </row>
    <row r="502" spans="1:2" x14ac:dyDescent="0.25">
      <c r="A502" s="13"/>
      <c r="B502" s="13"/>
    </row>
    <row r="503" spans="1:2" x14ac:dyDescent="0.25">
      <c r="A503" s="13"/>
      <c r="B503" s="13"/>
    </row>
    <row r="504" spans="1:2" x14ac:dyDescent="0.25">
      <c r="A504" s="13"/>
      <c r="B504" s="13"/>
    </row>
    <row r="505" spans="1:2" x14ac:dyDescent="0.25">
      <c r="A505" s="13"/>
      <c r="B505" s="13"/>
    </row>
    <row r="506" spans="1:2" x14ac:dyDescent="0.25">
      <c r="A506" s="13"/>
      <c r="B506" s="13"/>
    </row>
    <row r="507" spans="1:2" x14ac:dyDescent="0.25">
      <c r="A507" s="13"/>
      <c r="B507" s="13"/>
    </row>
    <row r="508" spans="1:2" x14ac:dyDescent="0.25">
      <c r="A508" s="13"/>
      <c r="B508" s="13"/>
    </row>
    <row r="509" spans="1:2" x14ac:dyDescent="0.25">
      <c r="A509" s="13"/>
      <c r="B509" s="13"/>
    </row>
    <row r="510" spans="1:2" x14ac:dyDescent="0.25">
      <c r="A510" s="13"/>
      <c r="B510" s="13"/>
    </row>
    <row r="511" spans="1:2" x14ac:dyDescent="0.25">
      <c r="A511" s="13"/>
      <c r="B511" s="13"/>
    </row>
    <row r="512" spans="1:2" x14ac:dyDescent="0.25">
      <c r="A512" s="13"/>
      <c r="B512" s="13"/>
    </row>
    <row r="513" spans="1:2" x14ac:dyDescent="0.25">
      <c r="A513" s="13"/>
      <c r="B513" s="13"/>
    </row>
    <row r="514" spans="1:2" x14ac:dyDescent="0.25">
      <c r="A514" s="13"/>
      <c r="B514" s="13"/>
    </row>
    <row r="515" spans="1:2" x14ac:dyDescent="0.25">
      <c r="A515" s="13"/>
      <c r="B515" s="13"/>
    </row>
    <row r="516" spans="1:2" x14ac:dyDescent="0.25">
      <c r="A516" s="13"/>
      <c r="B516" s="13"/>
    </row>
    <row r="517" spans="1:2" x14ac:dyDescent="0.25">
      <c r="A517" s="13"/>
      <c r="B517" s="13"/>
    </row>
    <row r="518" spans="1:2" x14ac:dyDescent="0.25">
      <c r="A518" s="13"/>
      <c r="B518" s="13"/>
    </row>
    <row r="519" spans="1:2" x14ac:dyDescent="0.25">
      <c r="A519" s="13"/>
      <c r="B519" s="13"/>
    </row>
    <row r="520" spans="1:2" x14ac:dyDescent="0.25">
      <c r="A520" s="13"/>
      <c r="B520" s="13"/>
    </row>
    <row r="521" spans="1:2" x14ac:dyDescent="0.25">
      <c r="A521" s="13"/>
      <c r="B521" s="13"/>
    </row>
    <row r="522" spans="1:2" x14ac:dyDescent="0.25">
      <c r="A522" s="13"/>
      <c r="B522" s="13"/>
    </row>
    <row r="523" spans="1:2" x14ac:dyDescent="0.25">
      <c r="A523" s="13"/>
      <c r="B523" s="13"/>
    </row>
    <row r="524" spans="1:2" x14ac:dyDescent="0.25">
      <c r="A524" s="13"/>
      <c r="B524" s="13"/>
    </row>
    <row r="525" spans="1:2" x14ac:dyDescent="0.25">
      <c r="A525" s="13"/>
      <c r="B525" s="13"/>
    </row>
    <row r="526" spans="1:2" x14ac:dyDescent="0.25">
      <c r="A526" s="13"/>
      <c r="B526" s="13"/>
    </row>
    <row r="527" spans="1:2" x14ac:dyDescent="0.25">
      <c r="A527" s="13"/>
      <c r="B527" s="13"/>
    </row>
    <row r="528" spans="1:2" x14ac:dyDescent="0.25">
      <c r="A528" s="13"/>
      <c r="B528" s="13"/>
    </row>
    <row r="529" spans="1:2" x14ac:dyDescent="0.25">
      <c r="A529" s="13"/>
      <c r="B529" s="13"/>
    </row>
    <row r="530" spans="1:2" x14ac:dyDescent="0.25">
      <c r="A530" s="13"/>
      <c r="B530" s="13"/>
    </row>
    <row r="531" spans="1:2" x14ac:dyDescent="0.25">
      <c r="A531" s="13"/>
      <c r="B531" s="13"/>
    </row>
    <row r="532" spans="1:2" x14ac:dyDescent="0.25">
      <c r="A532" s="13"/>
      <c r="B532" s="13"/>
    </row>
    <row r="533" spans="1:2" x14ac:dyDescent="0.25">
      <c r="A533" s="13"/>
      <c r="B533" s="13"/>
    </row>
    <row r="534" spans="1:2" x14ac:dyDescent="0.25">
      <c r="A534" s="13"/>
      <c r="B534" s="13"/>
    </row>
    <row r="535" spans="1:2" x14ac:dyDescent="0.25">
      <c r="A535" s="13"/>
      <c r="B535" s="13"/>
    </row>
    <row r="536" spans="1:2" x14ac:dyDescent="0.25">
      <c r="A536" s="13"/>
      <c r="B536" s="13"/>
    </row>
    <row r="537" spans="1:2" x14ac:dyDescent="0.25">
      <c r="A537" s="13"/>
      <c r="B537" s="13"/>
    </row>
    <row r="538" spans="1:2" x14ac:dyDescent="0.25">
      <c r="A538" s="13"/>
      <c r="B538" s="13"/>
    </row>
    <row r="539" spans="1:2" x14ac:dyDescent="0.25">
      <c r="A539" s="13"/>
      <c r="B539" s="13"/>
    </row>
    <row r="540" spans="1:2" x14ac:dyDescent="0.25">
      <c r="A540" s="13"/>
      <c r="B540" s="13"/>
    </row>
    <row r="541" spans="1:2" x14ac:dyDescent="0.25">
      <c r="A541" s="13"/>
      <c r="B541" s="13"/>
    </row>
    <row r="542" spans="1:2" x14ac:dyDescent="0.25">
      <c r="A542" s="13"/>
      <c r="B542" s="13"/>
    </row>
    <row r="543" spans="1:2" x14ac:dyDescent="0.25">
      <c r="A543" s="13"/>
      <c r="B543" s="13"/>
    </row>
    <row r="544" spans="1:2" x14ac:dyDescent="0.25">
      <c r="A544" s="13"/>
      <c r="B544" s="13"/>
    </row>
    <row r="545" spans="1:2" x14ac:dyDescent="0.25">
      <c r="A545" s="13"/>
      <c r="B545" s="13"/>
    </row>
    <row r="546" spans="1:2" x14ac:dyDescent="0.25">
      <c r="A546" s="13"/>
      <c r="B546" s="13"/>
    </row>
    <row r="547" spans="1:2" x14ac:dyDescent="0.25">
      <c r="A547" s="13"/>
      <c r="B547" s="13"/>
    </row>
    <row r="548" spans="1:2" x14ac:dyDescent="0.25">
      <c r="A548" s="13"/>
      <c r="B548" s="13"/>
    </row>
    <row r="549" spans="1:2" x14ac:dyDescent="0.25">
      <c r="A549" s="13"/>
      <c r="B549" s="13"/>
    </row>
    <row r="550" spans="1:2" x14ac:dyDescent="0.25">
      <c r="A550" s="13"/>
      <c r="B550" s="13"/>
    </row>
    <row r="551" spans="1:2" x14ac:dyDescent="0.25">
      <c r="A551" s="13"/>
      <c r="B551" s="13"/>
    </row>
    <row r="552" spans="1:2" x14ac:dyDescent="0.25">
      <c r="A552" s="13"/>
      <c r="B552" s="13"/>
    </row>
    <row r="553" spans="1:2" x14ac:dyDescent="0.25">
      <c r="A553" s="13"/>
      <c r="B553" s="13"/>
    </row>
    <row r="554" spans="1:2" x14ac:dyDescent="0.25">
      <c r="A554" s="13"/>
      <c r="B554" s="13"/>
    </row>
    <row r="555" spans="1:2" x14ac:dyDescent="0.25">
      <c r="A555" s="13"/>
      <c r="B555" s="13"/>
    </row>
    <row r="556" spans="1:2" x14ac:dyDescent="0.25">
      <c r="A556" s="13"/>
      <c r="B556" s="13"/>
    </row>
    <row r="557" spans="1:2" x14ac:dyDescent="0.25">
      <c r="A557" s="13"/>
      <c r="B557" s="13"/>
    </row>
    <row r="558" spans="1:2" x14ac:dyDescent="0.25">
      <c r="A558" s="13"/>
      <c r="B558" s="13"/>
    </row>
    <row r="559" spans="1:2" x14ac:dyDescent="0.25">
      <c r="A559" s="13"/>
      <c r="B559" s="13"/>
    </row>
    <row r="560" spans="1:2" x14ac:dyDescent="0.25">
      <c r="A560" s="13"/>
      <c r="B560" s="13"/>
    </row>
    <row r="561" spans="1:2" x14ac:dyDescent="0.25">
      <c r="A561" s="13"/>
      <c r="B561" s="13"/>
    </row>
    <row r="562" spans="1:2" x14ac:dyDescent="0.25">
      <c r="A562" s="13"/>
      <c r="B562" s="13"/>
    </row>
    <row r="563" spans="1:2" x14ac:dyDescent="0.25">
      <c r="A563" s="13"/>
      <c r="B563" s="13"/>
    </row>
    <row r="564" spans="1:2" x14ac:dyDescent="0.25">
      <c r="A564" s="13"/>
      <c r="B564" s="13"/>
    </row>
    <row r="565" spans="1:2" x14ac:dyDescent="0.25">
      <c r="A565" s="13"/>
      <c r="B565" s="13"/>
    </row>
    <row r="566" spans="1:2" x14ac:dyDescent="0.25">
      <c r="A566" s="13"/>
      <c r="B566" s="13"/>
    </row>
    <row r="567" spans="1:2" x14ac:dyDescent="0.25">
      <c r="A567" s="13"/>
      <c r="B567" s="13"/>
    </row>
    <row r="568" spans="1:2" x14ac:dyDescent="0.25">
      <c r="A568" s="13"/>
      <c r="B568" s="13"/>
    </row>
    <row r="569" spans="1:2" x14ac:dyDescent="0.25">
      <c r="A569" s="13"/>
      <c r="B569" s="13"/>
    </row>
    <row r="570" spans="1:2" x14ac:dyDescent="0.25">
      <c r="A570" s="13"/>
      <c r="B570" s="13"/>
    </row>
    <row r="571" spans="1:2" x14ac:dyDescent="0.25">
      <c r="A571" s="13"/>
      <c r="B571" s="13"/>
    </row>
    <row r="572" spans="1:2" x14ac:dyDescent="0.25">
      <c r="A572" s="13"/>
      <c r="B572" s="13"/>
    </row>
    <row r="573" spans="1:2" x14ac:dyDescent="0.25">
      <c r="A573" s="13"/>
      <c r="B573" s="13"/>
    </row>
    <row r="574" spans="1:2" x14ac:dyDescent="0.25">
      <c r="A574" s="13"/>
      <c r="B574" s="13"/>
    </row>
    <row r="575" spans="1:2" x14ac:dyDescent="0.25">
      <c r="A575" s="13"/>
      <c r="B575" s="13"/>
    </row>
    <row r="576" spans="1:2" x14ac:dyDescent="0.25">
      <c r="A576" s="13"/>
      <c r="B576" s="13"/>
    </row>
    <row r="577" spans="1:2" x14ac:dyDescent="0.25">
      <c r="A577" s="13"/>
      <c r="B577" s="13"/>
    </row>
    <row r="578" spans="1:2" x14ac:dyDescent="0.25">
      <c r="A578" s="13"/>
      <c r="B578" s="13"/>
    </row>
    <row r="579" spans="1:2" x14ac:dyDescent="0.25">
      <c r="A579" s="13"/>
      <c r="B579" s="13"/>
    </row>
    <row r="580" spans="1:2" x14ac:dyDescent="0.25">
      <c r="A580" s="13"/>
      <c r="B580" s="13"/>
    </row>
    <row r="581" spans="1:2" x14ac:dyDescent="0.25">
      <c r="A581" s="13"/>
      <c r="B581" s="13"/>
    </row>
    <row r="582" spans="1:2" x14ac:dyDescent="0.25">
      <c r="A582" s="13"/>
      <c r="B582" s="13"/>
    </row>
    <row r="583" spans="1:2" x14ac:dyDescent="0.25">
      <c r="A583" s="13"/>
      <c r="B583" s="13"/>
    </row>
    <row r="584" spans="1:2" x14ac:dyDescent="0.25">
      <c r="A584" s="13"/>
      <c r="B584" s="13"/>
    </row>
    <row r="585" spans="1:2" x14ac:dyDescent="0.25">
      <c r="A585" s="13"/>
      <c r="B585" s="13"/>
    </row>
    <row r="586" spans="1:2" x14ac:dyDescent="0.25">
      <c r="A586" s="13"/>
      <c r="B586" s="13"/>
    </row>
    <row r="587" spans="1:2" x14ac:dyDescent="0.25">
      <c r="A587" s="13"/>
      <c r="B587" s="13"/>
    </row>
    <row r="588" spans="1:2" x14ac:dyDescent="0.25">
      <c r="A588" s="13"/>
      <c r="B588" s="13"/>
    </row>
    <row r="589" spans="1:2" x14ac:dyDescent="0.25">
      <c r="A589" s="13"/>
      <c r="B589" s="13"/>
    </row>
    <row r="590" spans="1:2" x14ac:dyDescent="0.25">
      <c r="A590" s="13"/>
      <c r="B590" s="13"/>
    </row>
    <row r="591" spans="1:2" x14ac:dyDescent="0.25">
      <c r="A591" s="13"/>
      <c r="B591" s="13"/>
    </row>
    <row r="592" spans="1:2" x14ac:dyDescent="0.25">
      <c r="A592" s="13"/>
      <c r="B592" s="13"/>
    </row>
    <row r="593" spans="1:2" x14ac:dyDescent="0.25">
      <c r="A593" s="13"/>
      <c r="B593" s="13"/>
    </row>
    <row r="594" spans="1:2" x14ac:dyDescent="0.25">
      <c r="A594" s="13"/>
      <c r="B594" s="13"/>
    </row>
    <row r="595" spans="1:2" x14ac:dyDescent="0.25">
      <c r="A595" s="13"/>
      <c r="B595" s="13"/>
    </row>
    <row r="596" spans="1:2" x14ac:dyDescent="0.25">
      <c r="A596" s="13"/>
      <c r="B596" s="13"/>
    </row>
    <row r="597" spans="1:2" x14ac:dyDescent="0.25">
      <c r="A597" s="13"/>
      <c r="B597" s="13"/>
    </row>
    <row r="598" spans="1:2" x14ac:dyDescent="0.25">
      <c r="A598" s="13"/>
      <c r="B598" s="13"/>
    </row>
    <row r="599" spans="1:2" x14ac:dyDescent="0.25">
      <c r="A599" s="13"/>
      <c r="B599" s="13"/>
    </row>
    <row r="600" spans="1:2" x14ac:dyDescent="0.25">
      <c r="A600" s="13"/>
      <c r="B600" s="13"/>
    </row>
    <row r="601" spans="1:2" x14ac:dyDescent="0.25">
      <c r="A601" s="13"/>
      <c r="B601" s="13"/>
    </row>
    <row r="602" spans="1:2" x14ac:dyDescent="0.25">
      <c r="A602" s="13"/>
      <c r="B602" s="13"/>
    </row>
    <row r="603" spans="1:2" x14ac:dyDescent="0.25">
      <c r="A603" s="13"/>
      <c r="B603" s="13"/>
    </row>
    <row r="604" spans="1:2" x14ac:dyDescent="0.25">
      <c r="A604" s="13"/>
      <c r="B604" s="13"/>
    </row>
    <row r="605" spans="1:2" x14ac:dyDescent="0.25">
      <c r="A605" s="13"/>
      <c r="B605" s="13"/>
    </row>
    <row r="606" spans="1:2" x14ac:dyDescent="0.25">
      <c r="A606" s="13"/>
      <c r="B606" s="13"/>
    </row>
    <row r="607" spans="1:2" x14ac:dyDescent="0.25">
      <c r="A607" s="13"/>
      <c r="B607" s="13"/>
    </row>
    <row r="608" spans="1:2" x14ac:dyDescent="0.25">
      <c r="A608" s="13"/>
      <c r="B608" s="13"/>
    </row>
    <row r="609" spans="1:2" x14ac:dyDescent="0.25">
      <c r="A609" s="13"/>
      <c r="B609" s="13"/>
    </row>
    <row r="610" spans="1:2" x14ac:dyDescent="0.25">
      <c r="A610" s="13"/>
      <c r="B610" s="13"/>
    </row>
    <row r="611" spans="1:2" x14ac:dyDescent="0.25">
      <c r="A611" s="13"/>
      <c r="B611" s="13"/>
    </row>
    <row r="612" spans="1:2" x14ac:dyDescent="0.25">
      <c r="A612" s="13"/>
      <c r="B612" s="13"/>
    </row>
    <row r="613" spans="1:2" x14ac:dyDescent="0.25">
      <c r="A613" s="13"/>
      <c r="B613" s="13"/>
    </row>
    <row r="614" spans="1:2" x14ac:dyDescent="0.25">
      <c r="A614" s="13"/>
      <c r="B614" s="13"/>
    </row>
    <row r="615" spans="1:2" x14ac:dyDescent="0.25">
      <c r="A615" s="13"/>
      <c r="B615" s="13"/>
    </row>
    <row r="616" spans="1:2" x14ac:dyDescent="0.25">
      <c r="A616" s="13"/>
      <c r="B616" s="13"/>
    </row>
    <row r="617" spans="1:2" x14ac:dyDescent="0.25">
      <c r="A617" s="13"/>
      <c r="B617" s="13"/>
    </row>
    <row r="618" spans="1:2" x14ac:dyDescent="0.25">
      <c r="A618" s="13"/>
      <c r="B618" s="13"/>
    </row>
    <row r="619" spans="1:2" x14ac:dyDescent="0.25">
      <c r="A619" s="13"/>
      <c r="B619" s="13"/>
    </row>
    <row r="620" spans="1:2" x14ac:dyDescent="0.25">
      <c r="A620" s="13"/>
      <c r="B620" s="13"/>
    </row>
    <row r="621" spans="1:2" x14ac:dyDescent="0.25">
      <c r="A621" s="13"/>
      <c r="B621" s="13"/>
    </row>
    <row r="622" spans="1:2" x14ac:dyDescent="0.25">
      <c r="A622" s="13"/>
      <c r="B622" s="13"/>
    </row>
    <row r="623" spans="1:2" x14ac:dyDescent="0.25">
      <c r="A623" s="13"/>
      <c r="B623" s="13"/>
    </row>
    <row r="624" spans="1:2" x14ac:dyDescent="0.25">
      <c r="A624" s="13"/>
      <c r="B624" s="13"/>
    </row>
    <row r="625" spans="1:2" x14ac:dyDescent="0.25">
      <c r="A625" s="13"/>
      <c r="B625" s="13"/>
    </row>
    <row r="626" spans="1:2" x14ac:dyDescent="0.25">
      <c r="A626" s="13"/>
      <c r="B626" s="13"/>
    </row>
    <row r="627" spans="1:2" x14ac:dyDescent="0.25">
      <c r="A627" s="13"/>
      <c r="B627" s="13"/>
    </row>
    <row r="628" spans="1:2" x14ac:dyDescent="0.25">
      <c r="A628" s="13"/>
      <c r="B628" s="13"/>
    </row>
    <row r="629" spans="1:2" x14ac:dyDescent="0.25">
      <c r="A629" s="13"/>
      <c r="B629" s="13"/>
    </row>
    <row r="630" spans="1:2" x14ac:dyDescent="0.25">
      <c r="A630" s="13"/>
      <c r="B630" s="13"/>
    </row>
    <row r="631" spans="1:2" x14ac:dyDescent="0.25">
      <c r="A631" s="13"/>
      <c r="B631" s="13"/>
    </row>
    <row r="632" spans="1:2" x14ac:dyDescent="0.25">
      <c r="A632" s="13"/>
      <c r="B632" s="13"/>
    </row>
    <row r="633" spans="1:2" x14ac:dyDescent="0.25">
      <c r="A633" s="13"/>
      <c r="B633" s="13"/>
    </row>
    <row r="634" spans="1:2" x14ac:dyDescent="0.25">
      <c r="A634" s="13"/>
      <c r="B634" s="13"/>
    </row>
    <row r="635" spans="1:2" x14ac:dyDescent="0.25">
      <c r="A635" s="13"/>
      <c r="B635" s="13"/>
    </row>
    <row r="636" spans="1:2" x14ac:dyDescent="0.25">
      <c r="A636" s="13"/>
      <c r="B636" s="13"/>
    </row>
    <row r="637" spans="1:2" x14ac:dyDescent="0.25">
      <c r="A637" s="13"/>
      <c r="B637" s="13"/>
    </row>
    <row r="638" spans="1:2" x14ac:dyDescent="0.25">
      <c r="A638" s="13"/>
      <c r="B638" s="13"/>
    </row>
    <row r="639" spans="1:2" x14ac:dyDescent="0.25">
      <c r="A639" s="13"/>
      <c r="B639" s="13"/>
    </row>
    <row r="640" spans="1:2" x14ac:dyDescent="0.25">
      <c r="A640" s="13"/>
      <c r="B640" s="13"/>
    </row>
    <row r="641" spans="1:2" x14ac:dyDescent="0.25">
      <c r="A641" s="13"/>
      <c r="B641" s="13"/>
    </row>
    <row r="642" spans="1:2" x14ac:dyDescent="0.25">
      <c r="A642" s="13"/>
      <c r="B642" s="13"/>
    </row>
    <row r="643" spans="1:2" x14ac:dyDescent="0.25">
      <c r="A643" s="13"/>
      <c r="B643" s="13"/>
    </row>
    <row r="644" spans="1:2" x14ac:dyDescent="0.25">
      <c r="A644" s="13"/>
      <c r="B644" s="13"/>
    </row>
    <row r="645" spans="1:2" x14ac:dyDescent="0.25">
      <c r="A645" s="13"/>
      <c r="B645" s="13"/>
    </row>
    <row r="646" spans="1:2" x14ac:dyDescent="0.25">
      <c r="A646" s="13"/>
      <c r="B646" s="13"/>
    </row>
    <row r="647" spans="1:2" x14ac:dyDescent="0.25">
      <c r="A647" s="13"/>
      <c r="B647" s="13"/>
    </row>
    <row r="648" spans="1:2" x14ac:dyDescent="0.25">
      <c r="A648" s="13"/>
      <c r="B648" s="13"/>
    </row>
    <row r="649" spans="1:2" x14ac:dyDescent="0.25">
      <c r="A649" s="13"/>
      <c r="B649" s="13"/>
    </row>
    <row r="650" spans="1:2" x14ac:dyDescent="0.25">
      <c r="A650" s="13"/>
      <c r="B650" s="13"/>
    </row>
    <row r="651" spans="1:2" x14ac:dyDescent="0.25">
      <c r="A651" s="13"/>
      <c r="B651" s="13"/>
    </row>
    <row r="652" spans="1:2" x14ac:dyDescent="0.25">
      <c r="A652" s="13"/>
      <c r="B652" s="13"/>
    </row>
    <row r="653" spans="1:2" x14ac:dyDescent="0.25">
      <c r="A653" s="13"/>
      <c r="B653" s="13"/>
    </row>
    <row r="654" spans="1:2" x14ac:dyDescent="0.25">
      <c r="A654" s="13"/>
      <c r="B654" s="13"/>
    </row>
    <row r="655" spans="1:2" x14ac:dyDescent="0.25">
      <c r="A655" s="13"/>
      <c r="B655" s="13"/>
    </row>
    <row r="656" spans="1:2" x14ac:dyDescent="0.25">
      <c r="A656" s="13"/>
      <c r="B656" s="13"/>
    </row>
    <row r="657" spans="1:2" x14ac:dyDescent="0.25">
      <c r="A657" s="13"/>
      <c r="B657" s="13"/>
    </row>
    <row r="658" spans="1:2" x14ac:dyDescent="0.25">
      <c r="A658" s="13"/>
      <c r="B658" s="13"/>
    </row>
    <row r="659" spans="1:2" x14ac:dyDescent="0.25">
      <c r="A659" s="13"/>
      <c r="B659" s="13"/>
    </row>
    <row r="660" spans="1:2" x14ac:dyDescent="0.25">
      <c r="A660" s="13"/>
      <c r="B660" s="13"/>
    </row>
    <row r="661" spans="1:2" x14ac:dyDescent="0.25">
      <c r="A661" s="13"/>
      <c r="B661" s="13"/>
    </row>
    <row r="662" spans="1:2" x14ac:dyDescent="0.25">
      <c r="A662" s="13"/>
      <c r="B662" s="13"/>
    </row>
    <row r="663" spans="1:2" x14ac:dyDescent="0.25">
      <c r="A663" s="13"/>
      <c r="B663" s="13"/>
    </row>
    <row r="664" spans="1:2" x14ac:dyDescent="0.25">
      <c r="A664" s="13"/>
      <c r="B664" s="13"/>
    </row>
    <row r="665" spans="1:2" x14ac:dyDescent="0.25">
      <c r="A665" s="13"/>
      <c r="B665" s="13"/>
    </row>
    <row r="666" spans="1:2" x14ac:dyDescent="0.25">
      <c r="A666" s="13"/>
      <c r="B666" s="13"/>
    </row>
    <row r="667" spans="1:2" x14ac:dyDescent="0.25">
      <c r="A667" s="13"/>
      <c r="B667" s="13"/>
    </row>
    <row r="668" spans="1:2" x14ac:dyDescent="0.25">
      <c r="A668" s="13"/>
      <c r="B668" s="13"/>
    </row>
    <row r="669" spans="1:2" x14ac:dyDescent="0.25">
      <c r="A669" s="13"/>
      <c r="B669" s="13"/>
    </row>
    <row r="670" spans="1:2" x14ac:dyDescent="0.25">
      <c r="A670" s="13"/>
      <c r="B670" s="13"/>
    </row>
    <row r="671" spans="1:2" x14ac:dyDescent="0.25">
      <c r="A671" s="13"/>
      <c r="B671" s="13"/>
    </row>
    <row r="672" spans="1:2" x14ac:dyDescent="0.25">
      <c r="A672" s="13"/>
      <c r="B672" s="13"/>
    </row>
    <row r="673" spans="1:2" x14ac:dyDescent="0.25">
      <c r="A673" s="13"/>
      <c r="B673" s="13"/>
    </row>
    <row r="674" spans="1:2" x14ac:dyDescent="0.25">
      <c r="A674" s="13"/>
      <c r="B674" s="13"/>
    </row>
    <row r="675" spans="1:2" x14ac:dyDescent="0.25">
      <c r="A675" s="13"/>
      <c r="B675" s="13"/>
    </row>
    <row r="676" spans="1:2" x14ac:dyDescent="0.25">
      <c r="A676" s="13"/>
      <c r="B676" s="13"/>
    </row>
    <row r="677" spans="1:2" x14ac:dyDescent="0.25">
      <c r="A677" s="13"/>
      <c r="B677" s="13"/>
    </row>
    <row r="678" spans="1:2" x14ac:dyDescent="0.25">
      <c r="A678" s="13"/>
      <c r="B678" s="13"/>
    </row>
    <row r="679" spans="1:2" x14ac:dyDescent="0.25">
      <c r="A679" s="13"/>
      <c r="B679" s="13"/>
    </row>
    <row r="680" spans="1:2" x14ac:dyDescent="0.25">
      <c r="A680" s="13"/>
      <c r="B680" s="13"/>
    </row>
    <row r="681" spans="1:2" x14ac:dyDescent="0.25">
      <c r="A681" s="13"/>
      <c r="B681" s="13"/>
    </row>
    <row r="682" spans="1:2" x14ac:dyDescent="0.25">
      <c r="A682" s="13"/>
      <c r="B682" s="13"/>
    </row>
    <row r="683" spans="1:2" x14ac:dyDescent="0.25">
      <c r="A683" s="13"/>
      <c r="B683" s="13"/>
    </row>
    <row r="684" spans="1:2" x14ac:dyDescent="0.25">
      <c r="A684" s="13"/>
      <c r="B684" s="13"/>
    </row>
    <row r="685" spans="1:2" x14ac:dyDescent="0.25">
      <c r="A685" s="13"/>
      <c r="B685" s="13"/>
    </row>
    <row r="686" spans="1:2" x14ac:dyDescent="0.25">
      <c r="A686" s="13"/>
      <c r="B686" s="13"/>
    </row>
    <row r="687" spans="1:2" x14ac:dyDescent="0.25">
      <c r="A687" s="13"/>
      <c r="B687" s="13"/>
    </row>
    <row r="688" spans="1:2" x14ac:dyDescent="0.25">
      <c r="A688" s="13"/>
      <c r="B688" s="13"/>
    </row>
    <row r="689" spans="1:2" x14ac:dyDescent="0.25">
      <c r="A689" s="13"/>
      <c r="B689" s="13"/>
    </row>
    <row r="690" spans="1:2" x14ac:dyDescent="0.25">
      <c r="A690" s="13"/>
      <c r="B690" s="13"/>
    </row>
    <row r="691" spans="1:2" x14ac:dyDescent="0.25">
      <c r="A691" s="13"/>
      <c r="B691" s="13"/>
    </row>
    <row r="692" spans="1:2" x14ac:dyDescent="0.25">
      <c r="A692" s="13"/>
      <c r="B692" s="13"/>
    </row>
    <row r="693" spans="1:2" x14ac:dyDescent="0.25">
      <c r="A693" s="13"/>
      <c r="B693" s="13"/>
    </row>
    <row r="694" spans="1:2" x14ac:dyDescent="0.25">
      <c r="A694" s="13"/>
      <c r="B694" s="13"/>
    </row>
    <row r="695" spans="1:2" x14ac:dyDescent="0.25">
      <c r="A695" s="13"/>
      <c r="B695" s="13"/>
    </row>
    <row r="696" spans="1:2" x14ac:dyDescent="0.25">
      <c r="A696" s="13"/>
      <c r="B696" s="13"/>
    </row>
    <row r="697" spans="1:2" x14ac:dyDescent="0.25">
      <c r="A697" s="13"/>
      <c r="B697" s="13"/>
    </row>
    <row r="698" spans="1:2" x14ac:dyDescent="0.25">
      <c r="A698" s="13"/>
      <c r="B698" s="13"/>
    </row>
    <row r="699" spans="1:2" x14ac:dyDescent="0.25">
      <c r="A699" s="13"/>
      <c r="B699" s="13"/>
    </row>
    <row r="700" spans="1:2" x14ac:dyDescent="0.25">
      <c r="A700" s="13"/>
      <c r="B700" s="13"/>
    </row>
    <row r="701" spans="1:2" x14ac:dyDescent="0.25">
      <c r="A701" s="13"/>
      <c r="B701" s="13"/>
    </row>
    <row r="702" spans="1:2" x14ac:dyDescent="0.25">
      <c r="A702" s="13"/>
      <c r="B702" s="13"/>
    </row>
    <row r="703" spans="1:2" x14ac:dyDescent="0.25">
      <c r="A703" s="13"/>
      <c r="B703" s="13"/>
    </row>
    <row r="704" spans="1:2" x14ac:dyDescent="0.25">
      <c r="A704" s="13"/>
      <c r="B704" s="13"/>
    </row>
    <row r="705" spans="1:2" x14ac:dyDescent="0.25">
      <c r="A705" s="13"/>
      <c r="B705" s="13"/>
    </row>
    <row r="706" spans="1:2" x14ac:dyDescent="0.25">
      <c r="A706" s="13"/>
      <c r="B706" s="13"/>
    </row>
    <row r="707" spans="1:2" x14ac:dyDescent="0.25">
      <c r="A707" s="13"/>
      <c r="B707" s="13"/>
    </row>
    <row r="708" spans="1:2" x14ac:dyDescent="0.25">
      <c r="A708" s="13"/>
      <c r="B708" s="13"/>
    </row>
    <row r="709" spans="1:2" x14ac:dyDescent="0.25">
      <c r="A709" s="13"/>
      <c r="B709" s="13"/>
    </row>
    <row r="710" spans="1:2" x14ac:dyDescent="0.25">
      <c r="A710" s="13"/>
      <c r="B710" s="13"/>
    </row>
    <row r="711" spans="1:2" x14ac:dyDescent="0.25">
      <c r="A711" s="13"/>
      <c r="B711" s="13"/>
    </row>
    <row r="712" spans="1:2" x14ac:dyDescent="0.25">
      <c r="A712" s="13"/>
      <c r="B712" s="13"/>
    </row>
    <row r="713" spans="1:2" x14ac:dyDescent="0.25">
      <c r="A713" s="13"/>
      <c r="B713" s="13"/>
    </row>
    <row r="714" spans="1:2" x14ac:dyDescent="0.25">
      <c r="A714" s="13"/>
      <c r="B714" s="13"/>
    </row>
    <row r="715" spans="1:2" x14ac:dyDescent="0.25">
      <c r="A715" s="13"/>
      <c r="B715" s="13"/>
    </row>
    <row r="716" spans="1:2" x14ac:dyDescent="0.25">
      <c r="A716" s="13"/>
      <c r="B716" s="13"/>
    </row>
    <row r="717" spans="1:2" x14ac:dyDescent="0.25">
      <c r="A717" s="13"/>
      <c r="B717" s="13"/>
    </row>
    <row r="718" spans="1:2" x14ac:dyDescent="0.25">
      <c r="A718" s="13"/>
      <c r="B718" s="13"/>
    </row>
    <row r="719" spans="1:2" x14ac:dyDescent="0.25">
      <c r="A719" s="13"/>
      <c r="B719" s="13"/>
    </row>
    <row r="720" spans="1:2" x14ac:dyDescent="0.25">
      <c r="A720" s="13"/>
      <c r="B720" s="13"/>
    </row>
    <row r="721" spans="1:2" x14ac:dyDescent="0.25">
      <c r="A721" s="13"/>
      <c r="B721" s="13"/>
    </row>
    <row r="722" spans="1:2" x14ac:dyDescent="0.25">
      <c r="A722" s="13"/>
      <c r="B722" s="13"/>
    </row>
    <row r="723" spans="1:2" x14ac:dyDescent="0.25">
      <c r="A723" s="13"/>
      <c r="B723" s="13"/>
    </row>
    <row r="724" spans="1:2" x14ac:dyDescent="0.25">
      <c r="A724" s="13"/>
      <c r="B724" s="13"/>
    </row>
    <row r="725" spans="1:2" x14ac:dyDescent="0.25">
      <c r="A725" s="13"/>
      <c r="B725" s="13"/>
    </row>
    <row r="726" spans="1:2" x14ac:dyDescent="0.25">
      <c r="A726" s="13"/>
      <c r="B726" s="13"/>
    </row>
    <row r="727" spans="1:2" x14ac:dyDescent="0.25">
      <c r="A727" s="13"/>
      <c r="B727" s="13"/>
    </row>
    <row r="728" spans="1:2" x14ac:dyDescent="0.25">
      <c r="A728" s="13"/>
      <c r="B728" s="13"/>
    </row>
    <row r="729" spans="1:2" x14ac:dyDescent="0.25">
      <c r="A729" s="13"/>
      <c r="B729" s="13"/>
    </row>
    <row r="730" spans="1:2" x14ac:dyDescent="0.25">
      <c r="A730" s="13"/>
      <c r="B730" s="13"/>
    </row>
    <row r="731" spans="1:2" x14ac:dyDescent="0.25">
      <c r="A731" s="13"/>
      <c r="B731" s="13"/>
    </row>
    <row r="732" spans="1:2" x14ac:dyDescent="0.25">
      <c r="A732" s="13"/>
      <c r="B732" s="13"/>
    </row>
    <row r="733" spans="1:2" x14ac:dyDescent="0.25">
      <c r="A733" s="13"/>
      <c r="B733" s="13"/>
    </row>
    <row r="734" spans="1:2" x14ac:dyDescent="0.25">
      <c r="A734" s="13"/>
      <c r="B734" s="13"/>
    </row>
    <row r="735" spans="1:2" x14ac:dyDescent="0.25">
      <c r="A735" s="13"/>
      <c r="B735" s="13"/>
    </row>
    <row r="736" spans="1:2" x14ac:dyDescent="0.25">
      <c r="A736" s="13"/>
      <c r="B736" s="13"/>
    </row>
    <row r="737" spans="1:2" x14ac:dyDescent="0.25">
      <c r="A737" s="13"/>
      <c r="B737" s="13"/>
    </row>
    <row r="738" spans="1:2" x14ac:dyDescent="0.25">
      <c r="A738" s="13"/>
      <c r="B738" s="13"/>
    </row>
    <row r="739" spans="1:2" x14ac:dyDescent="0.25">
      <c r="A739" s="13"/>
      <c r="B739" s="13"/>
    </row>
    <row r="740" spans="1:2" x14ac:dyDescent="0.25">
      <c r="A740" s="13"/>
      <c r="B740" s="13"/>
    </row>
    <row r="741" spans="1:2" x14ac:dyDescent="0.25">
      <c r="A741" s="13"/>
      <c r="B741" s="13"/>
    </row>
    <row r="742" spans="1:2" x14ac:dyDescent="0.25">
      <c r="A742" s="13"/>
      <c r="B742" s="13"/>
    </row>
    <row r="743" spans="1:2" x14ac:dyDescent="0.25">
      <c r="A743" s="13"/>
      <c r="B743" s="13"/>
    </row>
    <row r="744" spans="1:2" x14ac:dyDescent="0.25">
      <c r="A744" s="13"/>
      <c r="B744" s="13"/>
    </row>
    <row r="745" spans="1:2" x14ac:dyDescent="0.25">
      <c r="A745" s="13"/>
      <c r="B745" s="13"/>
    </row>
    <row r="746" spans="1:2" x14ac:dyDescent="0.25">
      <c r="A746" s="13"/>
      <c r="B746" s="13"/>
    </row>
    <row r="747" spans="1:2" x14ac:dyDescent="0.25">
      <c r="A747" s="13"/>
      <c r="B747" s="13"/>
    </row>
    <row r="748" spans="1:2" x14ac:dyDescent="0.25">
      <c r="A748" s="13"/>
      <c r="B748" s="13"/>
    </row>
    <row r="749" spans="1:2" x14ac:dyDescent="0.25">
      <c r="A749" s="13"/>
      <c r="B749" s="13"/>
    </row>
    <row r="750" spans="1:2" x14ac:dyDescent="0.25">
      <c r="A750" s="13"/>
      <c r="B750" s="13"/>
    </row>
    <row r="751" spans="1:2" x14ac:dyDescent="0.25">
      <c r="A751" s="13"/>
      <c r="B751" s="13"/>
    </row>
    <row r="752" spans="1:2" x14ac:dyDescent="0.25">
      <c r="A752" s="13"/>
      <c r="B752" s="13"/>
    </row>
    <row r="753" spans="1:2" x14ac:dyDescent="0.25">
      <c r="A753" s="13"/>
      <c r="B753" s="13"/>
    </row>
    <row r="754" spans="1:2" x14ac:dyDescent="0.25">
      <c r="A754" s="13"/>
      <c r="B754" s="13"/>
    </row>
    <row r="755" spans="1:2" x14ac:dyDescent="0.25">
      <c r="A755" s="13"/>
      <c r="B755" s="13"/>
    </row>
    <row r="756" spans="1:2" x14ac:dyDescent="0.25">
      <c r="A756" s="13"/>
      <c r="B756" s="13"/>
    </row>
    <row r="757" spans="1:2" x14ac:dyDescent="0.25">
      <c r="A757" s="13"/>
      <c r="B757" s="13"/>
    </row>
    <row r="758" spans="1:2" x14ac:dyDescent="0.25">
      <c r="A758" s="13"/>
      <c r="B758" s="13"/>
    </row>
    <row r="759" spans="1:2" x14ac:dyDescent="0.25">
      <c r="A759" s="13"/>
      <c r="B759" s="13"/>
    </row>
    <row r="760" spans="1:2" x14ac:dyDescent="0.25">
      <c r="A760" s="13"/>
      <c r="B760" s="13"/>
    </row>
    <row r="761" spans="1:2" x14ac:dyDescent="0.25">
      <c r="A761" s="13"/>
      <c r="B761" s="13"/>
    </row>
    <row r="762" spans="1:2" x14ac:dyDescent="0.25">
      <c r="A762" s="13"/>
      <c r="B762" s="13"/>
    </row>
    <row r="763" spans="1:2" x14ac:dyDescent="0.25">
      <c r="A763" s="13"/>
      <c r="B763" s="13"/>
    </row>
    <row r="764" spans="1:2" x14ac:dyDescent="0.25">
      <c r="A764" s="13"/>
      <c r="B764" s="13"/>
    </row>
    <row r="765" spans="1:2" x14ac:dyDescent="0.25">
      <c r="A765" s="13"/>
      <c r="B765" s="13"/>
    </row>
    <row r="766" spans="1:2" x14ac:dyDescent="0.25">
      <c r="A766" s="13"/>
      <c r="B766" s="13"/>
    </row>
    <row r="767" spans="1:2" x14ac:dyDescent="0.25">
      <c r="A767" s="13"/>
      <c r="B767" s="13"/>
    </row>
    <row r="768" spans="1:2" x14ac:dyDescent="0.25">
      <c r="A768" s="13"/>
      <c r="B768" s="13"/>
    </row>
    <row r="769" spans="1:2" x14ac:dyDescent="0.25">
      <c r="A769" s="13"/>
      <c r="B769" s="13"/>
    </row>
    <row r="770" spans="1:2" x14ac:dyDescent="0.25">
      <c r="A770" s="13"/>
      <c r="B770" s="13"/>
    </row>
    <row r="771" spans="1:2" x14ac:dyDescent="0.25">
      <c r="A771" s="13"/>
      <c r="B771" s="13"/>
    </row>
    <row r="772" spans="1:2" x14ac:dyDescent="0.25">
      <c r="A772" s="13"/>
      <c r="B772" s="13"/>
    </row>
    <row r="773" spans="1:2" x14ac:dyDescent="0.25">
      <c r="A773" s="13"/>
      <c r="B773" s="13"/>
    </row>
    <row r="774" spans="1:2" x14ac:dyDescent="0.25">
      <c r="A774" s="13"/>
      <c r="B774" s="13"/>
    </row>
    <row r="775" spans="1:2" x14ac:dyDescent="0.25">
      <c r="A775" s="13"/>
      <c r="B775" s="13"/>
    </row>
    <row r="776" spans="1:2" x14ac:dyDescent="0.25">
      <c r="A776" s="13"/>
      <c r="B776" s="13"/>
    </row>
    <row r="777" spans="1:2" x14ac:dyDescent="0.25">
      <c r="A777" s="13"/>
      <c r="B777" s="13"/>
    </row>
    <row r="778" spans="1:2" x14ac:dyDescent="0.25">
      <c r="A778" s="13"/>
      <c r="B778" s="13"/>
    </row>
    <row r="779" spans="1:2" x14ac:dyDescent="0.25">
      <c r="A779" s="13"/>
      <c r="B779" s="13"/>
    </row>
    <row r="780" spans="1:2" x14ac:dyDescent="0.25">
      <c r="A780" s="13"/>
      <c r="B780" s="13"/>
    </row>
    <row r="781" spans="1:2" x14ac:dyDescent="0.25">
      <c r="A781" s="13"/>
      <c r="B781" s="13"/>
    </row>
    <row r="782" spans="1:2" x14ac:dyDescent="0.25">
      <c r="A782" s="13"/>
      <c r="B782" s="13"/>
    </row>
    <row r="783" spans="1:2" x14ac:dyDescent="0.25">
      <c r="A783" s="13"/>
      <c r="B783" s="13"/>
    </row>
    <row r="784" spans="1:2" x14ac:dyDescent="0.25">
      <c r="A784" s="13"/>
      <c r="B784" s="13"/>
    </row>
    <row r="785" spans="1:2" x14ac:dyDescent="0.25">
      <c r="A785" s="13"/>
      <c r="B785" s="13"/>
    </row>
    <row r="786" spans="1:2" x14ac:dyDescent="0.25">
      <c r="A786" s="13"/>
      <c r="B786" s="13"/>
    </row>
    <row r="787" spans="1:2" x14ac:dyDescent="0.25">
      <c r="A787" s="13"/>
      <c r="B787" s="13"/>
    </row>
    <row r="788" spans="1:2" x14ac:dyDescent="0.25">
      <c r="A788" s="13"/>
      <c r="B788" s="13"/>
    </row>
    <row r="789" spans="1:2" x14ac:dyDescent="0.25">
      <c r="A789" s="13"/>
      <c r="B789" s="13"/>
    </row>
    <row r="790" spans="1:2" x14ac:dyDescent="0.25">
      <c r="A790" s="13"/>
      <c r="B790" s="13"/>
    </row>
    <row r="791" spans="1:2" x14ac:dyDescent="0.25">
      <c r="A791" s="13"/>
      <c r="B791" s="13"/>
    </row>
    <row r="792" spans="1:2" x14ac:dyDescent="0.25">
      <c r="A792" s="13"/>
      <c r="B792" s="13"/>
    </row>
    <row r="793" spans="1:2" x14ac:dyDescent="0.25">
      <c r="A793" s="13"/>
      <c r="B793" s="13"/>
    </row>
    <row r="794" spans="1:2" x14ac:dyDescent="0.25">
      <c r="A794" s="13"/>
      <c r="B794" s="13"/>
    </row>
    <row r="795" spans="1:2" x14ac:dyDescent="0.25">
      <c r="A795" s="13"/>
      <c r="B795" s="13"/>
    </row>
    <row r="796" spans="1:2" x14ac:dyDescent="0.25">
      <c r="A796" s="13"/>
      <c r="B796" s="13"/>
    </row>
    <row r="797" spans="1:2" x14ac:dyDescent="0.25">
      <c r="A797" s="13"/>
      <c r="B797" s="13"/>
    </row>
    <row r="798" spans="1:2" x14ac:dyDescent="0.25">
      <c r="A798" s="13"/>
      <c r="B798" s="13"/>
    </row>
    <row r="799" spans="1:2" x14ac:dyDescent="0.25">
      <c r="A799" s="13"/>
      <c r="B799" s="13"/>
    </row>
    <row r="800" spans="1:2" x14ac:dyDescent="0.25">
      <c r="A800" s="13"/>
      <c r="B800" s="13"/>
    </row>
    <row r="801" spans="1:2" x14ac:dyDescent="0.25">
      <c r="A801" s="13"/>
      <c r="B801" s="13"/>
    </row>
    <row r="802" spans="1:2" x14ac:dyDescent="0.25">
      <c r="A802" s="13"/>
      <c r="B802" s="13"/>
    </row>
    <row r="803" spans="1:2" x14ac:dyDescent="0.25">
      <c r="A803" s="13"/>
      <c r="B803" s="13"/>
    </row>
    <row r="804" spans="1:2" x14ac:dyDescent="0.25">
      <c r="A804" s="13"/>
      <c r="B804" s="13"/>
    </row>
    <row r="805" spans="1:2" x14ac:dyDescent="0.25">
      <c r="A805" s="13"/>
      <c r="B805" s="13"/>
    </row>
    <row r="806" spans="1:2" x14ac:dyDescent="0.25">
      <c r="A806" s="13"/>
      <c r="B806" s="13"/>
    </row>
    <row r="807" spans="1:2" x14ac:dyDescent="0.25">
      <c r="A807" s="13"/>
      <c r="B807" s="13"/>
    </row>
    <row r="808" spans="1:2" x14ac:dyDescent="0.25">
      <c r="A808" s="13"/>
      <c r="B808" s="13"/>
    </row>
    <row r="809" spans="1:2" x14ac:dyDescent="0.25">
      <c r="A809" s="13"/>
      <c r="B809" s="13"/>
    </row>
    <row r="810" spans="1:2" x14ac:dyDescent="0.25">
      <c r="A810" s="13"/>
      <c r="B810" s="13"/>
    </row>
    <row r="811" spans="1:2" x14ac:dyDescent="0.25">
      <c r="A811" s="13"/>
      <c r="B811" s="13"/>
    </row>
    <row r="812" spans="1:2" x14ac:dyDescent="0.25">
      <c r="A812" s="13"/>
      <c r="B812" s="13"/>
    </row>
    <row r="813" spans="1:2" x14ac:dyDescent="0.25">
      <c r="A813" s="13"/>
      <c r="B813" s="13"/>
    </row>
    <row r="814" spans="1:2" x14ac:dyDescent="0.25">
      <c r="A814" s="13"/>
      <c r="B814" s="13"/>
    </row>
    <row r="815" spans="1:2" x14ac:dyDescent="0.25">
      <c r="A815" s="13"/>
      <c r="B815" s="13"/>
    </row>
    <row r="816" spans="1:2" x14ac:dyDescent="0.25">
      <c r="A816" s="13"/>
      <c r="B816" s="13"/>
    </row>
    <row r="817" spans="1:2" x14ac:dyDescent="0.25">
      <c r="A817" s="13"/>
      <c r="B817" s="13"/>
    </row>
    <row r="818" spans="1:2" x14ac:dyDescent="0.25">
      <c r="A818" s="13"/>
      <c r="B818" s="13"/>
    </row>
    <row r="819" spans="1:2" x14ac:dyDescent="0.25">
      <c r="A819" s="13"/>
      <c r="B819" s="13"/>
    </row>
    <row r="820" spans="1:2" x14ac:dyDescent="0.25">
      <c r="A820" s="13"/>
      <c r="B820" s="13"/>
    </row>
    <row r="821" spans="1:2" x14ac:dyDescent="0.25">
      <c r="A821" s="13"/>
      <c r="B821" s="13"/>
    </row>
    <row r="822" spans="1:2" x14ac:dyDescent="0.25">
      <c r="A822" s="13"/>
      <c r="B822" s="13"/>
    </row>
    <row r="823" spans="1:2" x14ac:dyDescent="0.25">
      <c r="A823" s="13"/>
      <c r="B823" s="13"/>
    </row>
    <row r="824" spans="1:2" x14ac:dyDescent="0.25">
      <c r="A824" s="13"/>
      <c r="B824" s="13"/>
    </row>
    <row r="825" spans="1:2" x14ac:dyDescent="0.25">
      <c r="A825" s="13"/>
      <c r="B825" s="13"/>
    </row>
    <row r="826" spans="1:2" x14ac:dyDescent="0.25">
      <c r="A826" s="13"/>
      <c r="B826" s="13"/>
    </row>
    <row r="827" spans="1:2" x14ac:dyDescent="0.25">
      <c r="A827" s="13"/>
      <c r="B827" s="13"/>
    </row>
    <row r="828" spans="1:2" x14ac:dyDescent="0.25">
      <c r="A828" s="13"/>
      <c r="B828" s="13"/>
    </row>
    <row r="829" spans="1:2" x14ac:dyDescent="0.25">
      <c r="A829" s="13"/>
      <c r="B829" s="13"/>
    </row>
    <row r="830" spans="1:2" x14ac:dyDescent="0.25">
      <c r="A830" s="13"/>
      <c r="B830" s="13"/>
    </row>
    <row r="831" spans="1:2" x14ac:dyDescent="0.25">
      <c r="A831" s="13"/>
      <c r="B831" s="13"/>
    </row>
    <row r="832" spans="1:2" x14ac:dyDescent="0.25">
      <c r="A832" s="13"/>
      <c r="B832" s="13"/>
    </row>
    <row r="833" spans="1:2" x14ac:dyDescent="0.25">
      <c r="A833" s="13"/>
      <c r="B833" s="13"/>
    </row>
    <row r="834" spans="1:2" x14ac:dyDescent="0.25">
      <c r="A834" s="13"/>
      <c r="B834" s="13"/>
    </row>
    <row r="835" spans="1:2" x14ac:dyDescent="0.25">
      <c r="A835" s="13"/>
      <c r="B835" s="13"/>
    </row>
    <row r="836" spans="1:2" x14ac:dyDescent="0.25">
      <c r="A836" s="13"/>
      <c r="B836" s="13"/>
    </row>
    <row r="837" spans="1:2" x14ac:dyDescent="0.25">
      <c r="A837" s="13"/>
      <c r="B837" s="13"/>
    </row>
    <row r="838" spans="1:2" x14ac:dyDescent="0.25">
      <c r="A838" s="13"/>
      <c r="B838" s="13"/>
    </row>
    <row r="839" spans="1:2" x14ac:dyDescent="0.25">
      <c r="A839" s="13"/>
      <c r="B839" s="13"/>
    </row>
    <row r="840" spans="1:2" x14ac:dyDescent="0.25">
      <c r="A840" s="13"/>
      <c r="B840" s="13"/>
    </row>
    <row r="841" spans="1:2" x14ac:dyDescent="0.25">
      <c r="A841" s="13"/>
      <c r="B841" s="13"/>
    </row>
    <row r="842" spans="1:2" x14ac:dyDescent="0.25">
      <c r="A842" s="13"/>
      <c r="B842" s="13"/>
    </row>
    <row r="843" spans="1:2" x14ac:dyDescent="0.25">
      <c r="A843" s="13"/>
      <c r="B843" s="13"/>
    </row>
    <row r="844" spans="1:2" x14ac:dyDescent="0.25">
      <c r="A844" s="13"/>
      <c r="B844" s="13"/>
    </row>
    <row r="845" spans="1:2" x14ac:dyDescent="0.25">
      <c r="A845" s="13"/>
      <c r="B845" s="13"/>
    </row>
    <row r="846" spans="1:2" x14ac:dyDescent="0.25">
      <c r="A846" s="13"/>
      <c r="B846" s="13"/>
    </row>
    <row r="847" spans="1:2" x14ac:dyDescent="0.25">
      <c r="A847" s="13"/>
      <c r="B847" s="13"/>
    </row>
    <row r="848" spans="1:2" x14ac:dyDescent="0.25">
      <c r="A848" s="13"/>
      <c r="B848" s="13"/>
    </row>
    <row r="849" spans="1:2" x14ac:dyDescent="0.25">
      <c r="A849" s="13"/>
      <c r="B849" s="13"/>
    </row>
    <row r="850" spans="1:2" x14ac:dyDescent="0.25">
      <c r="A850" s="13"/>
      <c r="B850" s="13"/>
    </row>
    <row r="851" spans="1:2" x14ac:dyDescent="0.25">
      <c r="A851" s="13"/>
      <c r="B851" s="13"/>
    </row>
    <row r="852" spans="1:2" x14ac:dyDescent="0.25">
      <c r="A852" s="13"/>
      <c r="B852" s="13"/>
    </row>
    <row r="853" spans="1:2" x14ac:dyDescent="0.25">
      <c r="A853" s="13"/>
      <c r="B853" s="13"/>
    </row>
    <row r="854" spans="1:2" x14ac:dyDescent="0.25">
      <c r="A854" s="13"/>
      <c r="B854" s="13"/>
    </row>
    <row r="855" spans="1:2" x14ac:dyDescent="0.25">
      <c r="A855" s="13"/>
      <c r="B855" s="13"/>
    </row>
    <row r="856" spans="1:2" x14ac:dyDescent="0.25">
      <c r="A856" s="13"/>
      <c r="B856" s="13"/>
    </row>
    <row r="857" spans="1:2" x14ac:dyDescent="0.25">
      <c r="A857" s="13"/>
      <c r="B857" s="13"/>
    </row>
    <row r="858" spans="1:2" x14ac:dyDescent="0.25">
      <c r="A858" s="13"/>
      <c r="B858" s="13"/>
    </row>
    <row r="859" spans="1:2" x14ac:dyDescent="0.25">
      <c r="A859" s="13"/>
      <c r="B859" s="13"/>
    </row>
    <row r="860" spans="1:2" x14ac:dyDescent="0.25">
      <c r="A860" s="13"/>
      <c r="B860" s="13"/>
    </row>
    <row r="861" spans="1:2" x14ac:dyDescent="0.25">
      <c r="A861" s="13"/>
      <c r="B861" s="13"/>
    </row>
    <row r="862" spans="1:2" x14ac:dyDescent="0.25">
      <c r="A862" s="13"/>
      <c r="B862" s="13"/>
    </row>
    <row r="863" spans="1:2" x14ac:dyDescent="0.25">
      <c r="A863" s="13"/>
      <c r="B863" s="13"/>
    </row>
    <row r="864" spans="1:2" x14ac:dyDescent="0.25">
      <c r="A864" s="13"/>
      <c r="B864" s="13"/>
    </row>
    <row r="865" spans="1:2" x14ac:dyDescent="0.25">
      <c r="A865" s="13"/>
      <c r="B865" s="13"/>
    </row>
    <row r="866" spans="1:2" x14ac:dyDescent="0.25">
      <c r="A866" s="13"/>
      <c r="B866" s="13"/>
    </row>
    <row r="867" spans="1:2" x14ac:dyDescent="0.25">
      <c r="A867" s="13"/>
      <c r="B867" s="13"/>
    </row>
    <row r="868" spans="1:2" x14ac:dyDescent="0.25">
      <c r="A868" s="13"/>
      <c r="B868" s="13"/>
    </row>
    <row r="869" spans="1:2" x14ac:dyDescent="0.25">
      <c r="A869" s="13"/>
      <c r="B869" s="13"/>
    </row>
    <row r="870" spans="1:2" x14ac:dyDescent="0.25">
      <c r="A870" s="13"/>
      <c r="B870" s="13"/>
    </row>
    <row r="871" spans="1:2" x14ac:dyDescent="0.25">
      <c r="A871" s="13"/>
      <c r="B871" s="13"/>
    </row>
    <row r="872" spans="1:2" x14ac:dyDescent="0.25">
      <c r="A872" s="13"/>
      <c r="B872" s="13"/>
    </row>
    <row r="873" spans="1:2" x14ac:dyDescent="0.25">
      <c r="A873" s="13"/>
      <c r="B873" s="13"/>
    </row>
    <row r="874" spans="1:2" x14ac:dyDescent="0.25">
      <c r="A874" s="13"/>
      <c r="B874" s="13"/>
    </row>
    <row r="875" spans="1:2" x14ac:dyDescent="0.25">
      <c r="A875" s="13"/>
      <c r="B875" s="13"/>
    </row>
    <row r="876" spans="1:2" x14ac:dyDescent="0.25">
      <c r="A876" s="13"/>
      <c r="B876" s="13"/>
    </row>
    <row r="877" spans="1:2" x14ac:dyDescent="0.25">
      <c r="A877" s="13"/>
      <c r="B877" s="13"/>
    </row>
    <row r="878" spans="1:2" x14ac:dyDescent="0.25">
      <c r="A878" s="13"/>
      <c r="B878" s="13"/>
    </row>
    <row r="879" spans="1:2" x14ac:dyDescent="0.25">
      <c r="A879" s="13"/>
      <c r="B879" s="13"/>
    </row>
    <row r="880" spans="1:2" x14ac:dyDescent="0.25">
      <c r="A880" s="13"/>
      <c r="B880" s="13"/>
    </row>
    <row r="881" spans="1:2" x14ac:dyDescent="0.25">
      <c r="A881" s="13"/>
      <c r="B881" s="13"/>
    </row>
    <row r="882" spans="1:2" x14ac:dyDescent="0.25">
      <c r="A882" s="13"/>
      <c r="B882" s="13"/>
    </row>
    <row r="883" spans="1:2" x14ac:dyDescent="0.25">
      <c r="A883" s="13"/>
      <c r="B883" s="13"/>
    </row>
    <row r="884" spans="1:2" x14ac:dyDescent="0.25">
      <c r="A884" s="13"/>
      <c r="B884" s="13"/>
    </row>
    <row r="885" spans="1:2" x14ac:dyDescent="0.25">
      <c r="A885" s="13"/>
      <c r="B885" s="13"/>
    </row>
    <row r="886" spans="1:2" x14ac:dyDescent="0.25">
      <c r="A886" s="13"/>
      <c r="B886" s="13"/>
    </row>
    <row r="887" spans="1:2" x14ac:dyDescent="0.25">
      <c r="A887" s="13"/>
      <c r="B887" s="13"/>
    </row>
    <row r="888" spans="1:2" x14ac:dyDescent="0.25">
      <c r="A888" s="13"/>
      <c r="B888" s="13"/>
    </row>
    <row r="889" spans="1:2" x14ac:dyDescent="0.25">
      <c r="A889" s="13"/>
      <c r="B889" s="13"/>
    </row>
    <row r="890" spans="1:2" x14ac:dyDescent="0.25">
      <c r="A890" s="13"/>
      <c r="B890" s="13"/>
    </row>
    <row r="891" spans="1:2" x14ac:dyDescent="0.25">
      <c r="A891" s="13"/>
      <c r="B891" s="13"/>
    </row>
    <row r="892" spans="1:2" x14ac:dyDescent="0.25">
      <c r="A892" s="13"/>
      <c r="B892" s="13"/>
    </row>
    <row r="893" spans="1:2" x14ac:dyDescent="0.25">
      <c r="A893" s="13"/>
      <c r="B893" s="13"/>
    </row>
    <row r="894" spans="1:2" x14ac:dyDescent="0.25">
      <c r="A894" s="13"/>
      <c r="B894" s="13"/>
    </row>
    <row r="895" spans="1:2" x14ac:dyDescent="0.25">
      <c r="A895" s="13"/>
      <c r="B895" s="13"/>
    </row>
    <row r="896" spans="1:2" x14ac:dyDescent="0.25">
      <c r="A896" s="13"/>
      <c r="B896" s="13"/>
    </row>
    <row r="897" spans="1:2" x14ac:dyDescent="0.25">
      <c r="A897" s="13"/>
      <c r="B897" s="13"/>
    </row>
    <row r="898" spans="1:2" x14ac:dyDescent="0.25">
      <c r="A898" s="13"/>
      <c r="B898" s="13"/>
    </row>
    <row r="899" spans="1:2" x14ac:dyDescent="0.25">
      <c r="A899" s="13"/>
      <c r="B899" s="13"/>
    </row>
    <row r="900" spans="1:2" x14ac:dyDescent="0.25">
      <c r="A900" s="13"/>
      <c r="B900" s="13"/>
    </row>
    <row r="901" spans="1:2" x14ac:dyDescent="0.25">
      <c r="A901" s="13"/>
      <c r="B901" s="13"/>
    </row>
    <row r="902" spans="1:2" x14ac:dyDescent="0.25">
      <c r="A902" s="13"/>
      <c r="B902" s="13"/>
    </row>
    <row r="903" spans="1:2" x14ac:dyDescent="0.25">
      <c r="A903" s="13"/>
      <c r="B903" s="13"/>
    </row>
    <row r="904" spans="1:2" x14ac:dyDescent="0.25">
      <c r="A904" s="13"/>
      <c r="B904" s="13"/>
    </row>
    <row r="905" spans="1:2" x14ac:dyDescent="0.25">
      <c r="A905" s="13"/>
      <c r="B905" s="13"/>
    </row>
    <row r="906" spans="1:2" x14ac:dyDescent="0.25">
      <c r="A906" s="13"/>
      <c r="B906" s="13"/>
    </row>
    <row r="907" spans="1:2" x14ac:dyDescent="0.25">
      <c r="A907" s="13"/>
      <c r="B907" s="13"/>
    </row>
    <row r="908" spans="1:2" x14ac:dyDescent="0.25">
      <c r="A908" s="13"/>
      <c r="B908" s="13"/>
    </row>
    <row r="909" spans="1:2" x14ac:dyDescent="0.25">
      <c r="A909" s="13"/>
      <c r="B909" s="13"/>
    </row>
    <row r="910" spans="1:2" x14ac:dyDescent="0.25">
      <c r="A910" s="13"/>
      <c r="B910" s="13"/>
    </row>
    <row r="911" spans="1:2" x14ac:dyDescent="0.25">
      <c r="A911" s="13"/>
      <c r="B911" s="13"/>
    </row>
    <row r="912" spans="1:2" x14ac:dyDescent="0.25">
      <c r="A912" s="13"/>
      <c r="B912" s="13"/>
    </row>
    <row r="913" spans="1:2" x14ac:dyDescent="0.25">
      <c r="A913" s="13"/>
      <c r="B913" s="13"/>
    </row>
    <row r="914" spans="1:2" x14ac:dyDescent="0.25">
      <c r="A914" s="13"/>
      <c r="B914" s="13"/>
    </row>
    <row r="915" spans="1:2" x14ac:dyDescent="0.25">
      <c r="A915" s="13"/>
      <c r="B915" s="13"/>
    </row>
    <row r="916" spans="1:2" x14ac:dyDescent="0.25">
      <c r="A916" s="13"/>
      <c r="B916" s="13"/>
    </row>
    <row r="917" spans="1:2" x14ac:dyDescent="0.25">
      <c r="A917" s="13"/>
      <c r="B917" s="13"/>
    </row>
    <row r="918" spans="1:2" x14ac:dyDescent="0.25">
      <c r="A918" s="13"/>
      <c r="B918" s="13"/>
    </row>
    <row r="919" spans="1:2" x14ac:dyDescent="0.25">
      <c r="A919" s="13"/>
      <c r="B919" s="13"/>
    </row>
    <row r="920" spans="1:2" x14ac:dyDescent="0.25">
      <c r="A920" s="13"/>
      <c r="B920" s="13"/>
    </row>
    <row r="921" spans="1:2" x14ac:dyDescent="0.25">
      <c r="A921" s="13"/>
      <c r="B921" s="13"/>
    </row>
    <row r="922" spans="1:2" x14ac:dyDescent="0.25">
      <c r="A922" s="13"/>
      <c r="B922" s="13"/>
    </row>
    <row r="923" spans="1:2" x14ac:dyDescent="0.25">
      <c r="A923" s="13"/>
      <c r="B923" s="13"/>
    </row>
    <row r="924" spans="1:2" x14ac:dyDescent="0.25">
      <c r="A924" s="13"/>
      <c r="B924" s="13"/>
    </row>
    <row r="925" spans="1:2" x14ac:dyDescent="0.25">
      <c r="A925" s="13"/>
      <c r="B925" s="13"/>
    </row>
    <row r="926" spans="1:2" x14ac:dyDescent="0.25">
      <c r="A926" s="13"/>
      <c r="B926" s="13"/>
    </row>
    <row r="927" spans="1:2" x14ac:dyDescent="0.25">
      <c r="A927" s="13"/>
      <c r="B927" s="13"/>
    </row>
    <row r="928" spans="1:2" x14ac:dyDescent="0.25">
      <c r="A928" s="13"/>
      <c r="B928" s="13"/>
    </row>
    <row r="929" spans="1:2" x14ac:dyDescent="0.25">
      <c r="A929" s="13"/>
      <c r="B929" s="13"/>
    </row>
    <row r="930" spans="1:2" x14ac:dyDescent="0.25">
      <c r="A930" s="13"/>
      <c r="B930" s="13"/>
    </row>
    <row r="931" spans="1:2" x14ac:dyDescent="0.25">
      <c r="A931" s="13"/>
      <c r="B931" s="13"/>
    </row>
    <row r="932" spans="1:2" x14ac:dyDescent="0.25">
      <c r="A932" s="13"/>
      <c r="B932" s="13"/>
    </row>
    <row r="933" spans="1:2" x14ac:dyDescent="0.25">
      <c r="A933" s="13"/>
      <c r="B933" s="13"/>
    </row>
    <row r="934" spans="1:2" x14ac:dyDescent="0.25">
      <c r="A934" s="13"/>
      <c r="B934" s="13"/>
    </row>
    <row r="935" spans="1:2" x14ac:dyDescent="0.25">
      <c r="A935" s="13"/>
      <c r="B935" s="13"/>
    </row>
    <row r="936" spans="1:2" x14ac:dyDescent="0.25">
      <c r="A936" s="13"/>
      <c r="B936" s="13"/>
    </row>
    <row r="937" spans="1:2" x14ac:dyDescent="0.25">
      <c r="A937" s="13"/>
      <c r="B937" s="13"/>
    </row>
    <row r="938" spans="1:2" x14ac:dyDescent="0.25">
      <c r="A938" s="13"/>
      <c r="B938" s="13"/>
    </row>
    <row r="939" spans="1:2" x14ac:dyDescent="0.25">
      <c r="A939" s="13"/>
      <c r="B939" s="13"/>
    </row>
    <row r="940" spans="1:2" x14ac:dyDescent="0.25">
      <c r="A940" s="13"/>
      <c r="B940" s="13"/>
    </row>
    <row r="941" spans="1:2" x14ac:dyDescent="0.25">
      <c r="A941" s="13"/>
      <c r="B941" s="13"/>
    </row>
    <row r="942" spans="1:2" x14ac:dyDescent="0.25">
      <c r="A942" s="13"/>
      <c r="B942" s="13"/>
    </row>
    <row r="943" spans="1:2" x14ac:dyDescent="0.25">
      <c r="A943" s="13"/>
      <c r="B943" s="13"/>
    </row>
    <row r="944" spans="1:2" x14ac:dyDescent="0.25">
      <c r="A944" s="13"/>
      <c r="B944" s="13"/>
    </row>
    <row r="945" spans="1:2" x14ac:dyDescent="0.25">
      <c r="A945" s="13"/>
      <c r="B945" s="13"/>
    </row>
    <row r="946" spans="1:2" x14ac:dyDescent="0.25">
      <c r="A946" s="13"/>
      <c r="B946" s="13"/>
    </row>
    <row r="947" spans="1:2" x14ac:dyDescent="0.25">
      <c r="A947" s="13"/>
      <c r="B947" s="13"/>
    </row>
    <row r="948" spans="1:2" x14ac:dyDescent="0.25">
      <c r="A948" s="13"/>
      <c r="B948" s="13"/>
    </row>
    <row r="949" spans="1:2" x14ac:dyDescent="0.25">
      <c r="A949" s="13"/>
      <c r="B949" s="13"/>
    </row>
    <row r="950" spans="1:2" x14ac:dyDescent="0.25">
      <c r="A950" s="13"/>
      <c r="B950" s="13"/>
    </row>
    <row r="951" spans="1:2" x14ac:dyDescent="0.25">
      <c r="A951" s="13"/>
      <c r="B951" s="13"/>
    </row>
    <row r="952" spans="1:2" x14ac:dyDescent="0.25">
      <c r="A952" s="13"/>
      <c r="B952" s="13"/>
    </row>
    <row r="953" spans="1:2" x14ac:dyDescent="0.25">
      <c r="A953" s="13"/>
      <c r="B953" s="13"/>
    </row>
    <row r="954" spans="1:2" x14ac:dyDescent="0.25">
      <c r="A954" s="13"/>
      <c r="B954" s="13"/>
    </row>
    <row r="955" spans="1:2" x14ac:dyDescent="0.25">
      <c r="A955" s="13"/>
      <c r="B955" s="13"/>
    </row>
    <row r="956" spans="1:2" x14ac:dyDescent="0.25">
      <c r="A956" s="13"/>
      <c r="B956" s="13"/>
    </row>
    <row r="957" spans="1:2" x14ac:dyDescent="0.25">
      <c r="A957" s="13"/>
      <c r="B957" s="13"/>
    </row>
    <row r="958" spans="1:2" x14ac:dyDescent="0.25">
      <c r="A958" s="13"/>
      <c r="B958" s="13"/>
    </row>
    <row r="959" spans="1:2" x14ac:dyDescent="0.25">
      <c r="A959" s="13"/>
      <c r="B959" s="13"/>
    </row>
    <row r="960" spans="1:2" x14ac:dyDescent="0.25">
      <c r="A960" s="13"/>
      <c r="B960" s="13"/>
    </row>
    <row r="961" spans="1:2" x14ac:dyDescent="0.25">
      <c r="A961" s="13"/>
      <c r="B961" s="13"/>
    </row>
    <row r="962" spans="1:2" x14ac:dyDescent="0.25">
      <c r="A962" s="13"/>
      <c r="B962" s="13"/>
    </row>
    <row r="963" spans="1:2" x14ac:dyDescent="0.25">
      <c r="A963" s="13"/>
      <c r="B963" s="13"/>
    </row>
    <row r="964" spans="1:2" x14ac:dyDescent="0.25">
      <c r="A964" s="13"/>
      <c r="B964" s="13"/>
    </row>
    <row r="965" spans="1:2" x14ac:dyDescent="0.25">
      <c r="A965" s="13"/>
      <c r="B965" s="13"/>
    </row>
    <row r="966" spans="1:2" x14ac:dyDescent="0.25">
      <c r="A966" s="13"/>
      <c r="B966" s="13"/>
    </row>
    <row r="967" spans="1:2" x14ac:dyDescent="0.25">
      <c r="A967" s="13"/>
      <c r="B967" s="13"/>
    </row>
    <row r="968" spans="1:2" x14ac:dyDescent="0.25">
      <c r="A968" s="13"/>
      <c r="B968" s="13"/>
    </row>
    <row r="969" spans="1:2" x14ac:dyDescent="0.25">
      <c r="A969" s="13"/>
      <c r="B969" s="13"/>
    </row>
    <row r="970" spans="1:2" x14ac:dyDescent="0.25">
      <c r="A970" s="13"/>
      <c r="B970" s="13"/>
    </row>
    <row r="971" spans="1:2" x14ac:dyDescent="0.25">
      <c r="A971" s="13"/>
      <c r="B971" s="13"/>
    </row>
    <row r="972" spans="1:2" x14ac:dyDescent="0.25">
      <c r="A972" s="13"/>
      <c r="B972" s="13"/>
    </row>
    <row r="973" spans="1:2" x14ac:dyDescent="0.25">
      <c r="A973" s="13"/>
      <c r="B973" s="13"/>
    </row>
    <row r="974" spans="1:2" x14ac:dyDescent="0.25">
      <c r="A974" s="13"/>
      <c r="B974" s="13"/>
    </row>
    <row r="975" spans="1:2" x14ac:dyDescent="0.25">
      <c r="A975" s="13"/>
      <c r="B975" s="13"/>
    </row>
    <row r="976" spans="1:2" x14ac:dyDescent="0.25">
      <c r="A976" s="13"/>
      <c r="B976" s="13"/>
    </row>
    <row r="977" spans="1:2" x14ac:dyDescent="0.25">
      <c r="A977" s="13"/>
      <c r="B977" s="13"/>
    </row>
    <row r="978" spans="1:2" x14ac:dyDescent="0.25">
      <c r="A978" s="13"/>
      <c r="B978" s="13"/>
    </row>
    <row r="979" spans="1:2" x14ac:dyDescent="0.25">
      <c r="A979" s="13"/>
      <c r="B979" s="13"/>
    </row>
    <row r="980" spans="1:2" x14ac:dyDescent="0.25">
      <c r="A980" s="13"/>
      <c r="B980" s="13"/>
    </row>
    <row r="981" spans="1:2" x14ac:dyDescent="0.25">
      <c r="A981" s="13"/>
      <c r="B981" s="13"/>
    </row>
    <row r="982" spans="1:2" x14ac:dyDescent="0.25">
      <c r="A982" s="13"/>
      <c r="B982" s="13"/>
    </row>
    <row r="983" spans="1:2" x14ac:dyDescent="0.25">
      <c r="A983" s="13"/>
      <c r="B983" s="13"/>
    </row>
    <row r="984" spans="1:2" x14ac:dyDescent="0.25">
      <c r="A984" s="13"/>
      <c r="B984" s="13"/>
    </row>
    <row r="985" spans="1:2" x14ac:dyDescent="0.25">
      <c r="A985" s="13"/>
      <c r="B985" s="13"/>
    </row>
    <row r="986" spans="1:2" x14ac:dyDescent="0.25">
      <c r="A986" s="13"/>
      <c r="B986" s="13"/>
    </row>
    <row r="987" spans="1:2" x14ac:dyDescent="0.25">
      <c r="A987" s="13"/>
      <c r="B987" s="13"/>
    </row>
    <row r="988" spans="1:2" x14ac:dyDescent="0.25">
      <c r="A988" s="13"/>
      <c r="B988" s="13"/>
    </row>
    <row r="989" spans="1:2" x14ac:dyDescent="0.25">
      <c r="A989" s="13"/>
      <c r="B989" s="13"/>
    </row>
    <row r="990" spans="1:2" x14ac:dyDescent="0.25">
      <c r="A990" s="13"/>
      <c r="B990" s="13"/>
    </row>
    <row r="991" spans="1:2" x14ac:dyDescent="0.25">
      <c r="A991" s="13"/>
      <c r="B991" s="13"/>
    </row>
    <row r="992" spans="1:2" x14ac:dyDescent="0.25">
      <c r="A992" s="13"/>
      <c r="B992" s="13"/>
    </row>
    <row r="993" spans="1:2" x14ac:dyDescent="0.25">
      <c r="A993" s="13"/>
      <c r="B993" s="13"/>
    </row>
    <row r="994" spans="1:2" x14ac:dyDescent="0.25">
      <c r="A994" s="13"/>
      <c r="B994" s="13"/>
    </row>
    <row r="995" spans="1:2" x14ac:dyDescent="0.25">
      <c r="A995" s="13"/>
      <c r="B995" s="13"/>
    </row>
    <row r="996" spans="1:2" x14ac:dyDescent="0.25">
      <c r="A996" s="13"/>
      <c r="B996" s="13"/>
    </row>
    <row r="997" spans="1:2" x14ac:dyDescent="0.25">
      <c r="A997" s="13"/>
      <c r="B997" s="13"/>
    </row>
    <row r="998" spans="1:2" x14ac:dyDescent="0.25">
      <c r="A998" s="13"/>
      <c r="B998" s="13"/>
    </row>
    <row r="999" spans="1:2" x14ac:dyDescent="0.25">
      <c r="A999" s="13"/>
      <c r="B999" s="13"/>
    </row>
    <row r="1000" spans="1:2" x14ac:dyDescent="0.25">
      <c r="A1000" s="13"/>
      <c r="B1000" s="13"/>
    </row>
    <row r="1001" spans="1:2" x14ac:dyDescent="0.25">
      <c r="A1001" s="13"/>
      <c r="B1001" s="13"/>
    </row>
    <row r="1002" spans="1:2" x14ac:dyDescent="0.25">
      <c r="A1002" s="13"/>
      <c r="B1002" s="13"/>
    </row>
    <row r="1003" spans="1:2" x14ac:dyDescent="0.25">
      <c r="A1003" s="13"/>
      <c r="B1003" s="13"/>
    </row>
    <row r="1004" spans="1:2" x14ac:dyDescent="0.25">
      <c r="A1004" s="13"/>
      <c r="B1004" s="13"/>
    </row>
    <row r="1005" spans="1:2" x14ac:dyDescent="0.25">
      <c r="A1005" s="13"/>
      <c r="B1005" s="13"/>
    </row>
    <row r="1006" spans="1:2" x14ac:dyDescent="0.25">
      <c r="A1006" s="13"/>
      <c r="B1006" s="13"/>
    </row>
    <row r="1007" spans="1:2" x14ac:dyDescent="0.25">
      <c r="A1007" s="13"/>
      <c r="B1007" s="13"/>
    </row>
    <row r="1008" spans="1:2" x14ac:dyDescent="0.25">
      <c r="A1008" s="13"/>
      <c r="B1008" s="13"/>
    </row>
    <row r="1009" spans="1:2" x14ac:dyDescent="0.25">
      <c r="A1009" s="13"/>
      <c r="B1009" s="13"/>
    </row>
    <row r="1010" spans="1:2" x14ac:dyDescent="0.25">
      <c r="A1010" s="13"/>
      <c r="B1010" s="13"/>
    </row>
    <row r="1011" spans="1:2" x14ac:dyDescent="0.25">
      <c r="A1011" s="13"/>
      <c r="B1011" s="13"/>
    </row>
    <row r="1012" spans="1:2" x14ac:dyDescent="0.25">
      <c r="A1012" s="13"/>
      <c r="B1012" s="13"/>
    </row>
    <row r="1013" spans="1:2" x14ac:dyDescent="0.25">
      <c r="A1013" s="13"/>
      <c r="B1013" s="13"/>
    </row>
    <row r="1014" spans="1:2" x14ac:dyDescent="0.25">
      <c r="A1014" s="13"/>
      <c r="B1014" s="13"/>
    </row>
    <row r="1015" spans="1:2" x14ac:dyDescent="0.25">
      <c r="A1015" s="13"/>
      <c r="B1015" s="13"/>
    </row>
    <row r="1016" spans="1:2" x14ac:dyDescent="0.25">
      <c r="A1016" s="13"/>
      <c r="B1016" s="13"/>
    </row>
    <row r="1017" spans="1:2" x14ac:dyDescent="0.25">
      <c r="A1017" s="13"/>
      <c r="B1017" s="13"/>
    </row>
    <row r="1018" spans="1:2" x14ac:dyDescent="0.25">
      <c r="A1018" s="13"/>
      <c r="B1018" s="13"/>
    </row>
    <row r="1019" spans="1:2" x14ac:dyDescent="0.25">
      <c r="A1019" s="13"/>
      <c r="B1019" s="13"/>
    </row>
    <row r="1020" spans="1:2" x14ac:dyDescent="0.25">
      <c r="A1020" s="13"/>
      <c r="B1020" s="13"/>
    </row>
    <row r="1021" spans="1:2" x14ac:dyDescent="0.25">
      <c r="A1021" s="13"/>
      <c r="B1021" s="13"/>
    </row>
    <row r="1022" spans="1:2" x14ac:dyDescent="0.25">
      <c r="A1022" s="13"/>
      <c r="B1022" s="13"/>
    </row>
    <row r="1023" spans="1:2" x14ac:dyDescent="0.25">
      <c r="A1023" s="13"/>
      <c r="B1023" s="13"/>
    </row>
    <row r="1024" spans="1:2" x14ac:dyDescent="0.25">
      <c r="A1024" s="13"/>
      <c r="B1024" s="13"/>
    </row>
    <row r="1025" spans="1:2" x14ac:dyDescent="0.25">
      <c r="A1025" s="13"/>
      <c r="B1025" s="13"/>
    </row>
    <row r="1026" spans="1:2" x14ac:dyDescent="0.25">
      <c r="A1026" s="13"/>
      <c r="B1026" s="13"/>
    </row>
    <row r="1027" spans="1:2" x14ac:dyDescent="0.25">
      <c r="A1027" s="13"/>
      <c r="B1027" s="13"/>
    </row>
    <row r="1028" spans="1:2" x14ac:dyDescent="0.25">
      <c r="A1028" s="13"/>
      <c r="B1028" s="13"/>
    </row>
    <row r="1029" spans="1:2" x14ac:dyDescent="0.25">
      <c r="A1029" s="13"/>
      <c r="B1029" s="13"/>
    </row>
    <row r="1030" spans="1:2" x14ac:dyDescent="0.25">
      <c r="A1030" s="13"/>
      <c r="B1030" s="13"/>
    </row>
    <row r="1031" spans="1:2" x14ac:dyDescent="0.25">
      <c r="A1031" s="13"/>
      <c r="B1031" s="13"/>
    </row>
    <row r="1032" spans="1:2" x14ac:dyDescent="0.25">
      <c r="A1032" s="13"/>
      <c r="B1032" s="13"/>
    </row>
    <row r="1033" spans="1:2" x14ac:dyDescent="0.25">
      <c r="A1033" s="13"/>
      <c r="B1033" s="13"/>
    </row>
    <row r="1034" spans="1:2" x14ac:dyDescent="0.25">
      <c r="A1034" s="13"/>
      <c r="B1034" s="13"/>
    </row>
    <row r="1035" spans="1:2" x14ac:dyDescent="0.25">
      <c r="A1035" s="13"/>
      <c r="B1035" s="13"/>
    </row>
    <row r="1036" spans="1:2" x14ac:dyDescent="0.25">
      <c r="A1036" s="13"/>
      <c r="B1036" s="13"/>
    </row>
    <row r="1037" spans="1:2" x14ac:dyDescent="0.25">
      <c r="A1037" s="13"/>
      <c r="B1037" s="13"/>
    </row>
    <row r="1038" spans="1:2" x14ac:dyDescent="0.25">
      <c r="A1038" s="13"/>
      <c r="B1038" s="13"/>
    </row>
    <row r="1039" spans="1:2" x14ac:dyDescent="0.25">
      <c r="A1039" s="13"/>
      <c r="B1039" s="13"/>
    </row>
    <row r="1040" spans="1:2" x14ac:dyDescent="0.25">
      <c r="A1040" s="13"/>
      <c r="B1040" s="13"/>
    </row>
    <row r="1041" spans="1:2" x14ac:dyDescent="0.25">
      <c r="A1041" s="13"/>
      <c r="B1041" s="13"/>
    </row>
    <row r="1042" spans="1:2" x14ac:dyDescent="0.25">
      <c r="A1042" s="13"/>
      <c r="B1042" s="13"/>
    </row>
    <row r="1043" spans="1:2" x14ac:dyDescent="0.25">
      <c r="A1043" s="13"/>
      <c r="B1043" s="13"/>
    </row>
    <row r="1044" spans="1:2" x14ac:dyDescent="0.25">
      <c r="A1044" s="13"/>
      <c r="B1044" s="13"/>
    </row>
    <row r="1045" spans="1:2" x14ac:dyDescent="0.25">
      <c r="A1045" s="13"/>
      <c r="B1045" s="13"/>
    </row>
    <row r="1046" spans="1:2" x14ac:dyDescent="0.25">
      <c r="A1046" s="13"/>
      <c r="B1046" s="13"/>
    </row>
    <row r="1047" spans="1:2" x14ac:dyDescent="0.25">
      <c r="A1047" s="13"/>
      <c r="B1047" s="13"/>
    </row>
    <row r="1048" spans="1:2" x14ac:dyDescent="0.25">
      <c r="A1048" s="13"/>
      <c r="B1048" s="13"/>
    </row>
    <row r="1049" spans="1:2" x14ac:dyDescent="0.25">
      <c r="A1049" s="13"/>
      <c r="B1049" s="13"/>
    </row>
    <row r="1050" spans="1:2" x14ac:dyDescent="0.25">
      <c r="A1050" s="13"/>
      <c r="B1050" s="13"/>
    </row>
    <row r="1051" spans="1:2" x14ac:dyDescent="0.25">
      <c r="A1051" s="13"/>
      <c r="B1051" s="13"/>
    </row>
    <row r="1052" spans="1:2" x14ac:dyDescent="0.25">
      <c r="A1052" s="13"/>
      <c r="B1052" s="13"/>
    </row>
    <row r="1053" spans="1:2" x14ac:dyDescent="0.25">
      <c r="A1053" s="13"/>
      <c r="B1053" s="13"/>
    </row>
    <row r="1054" spans="1:2" x14ac:dyDescent="0.25">
      <c r="A1054" s="13"/>
      <c r="B1054" s="13"/>
    </row>
    <row r="1055" spans="1:2" x14ac:dyDescent="0.25">
      <c r="A1055" s="13"/>
      <c r="B1055" s="13"/>
    </row>
    <row r="1056" spans="1:2" x14ac:dyDescent="0.25">
      <c r="A1056" s="13"/>
      <c r="B1056" s="13"/>
    </row>
    <row r="1057" spans="1:2" x14ac:dyDescent="0.25">
      <c r="A1057" s="13"/>
      <c r="B1057" s="13"/>
    </row>
    <row r="1058" spans="1:2" x14ac:dyDescent="0.25">
      <c r="A1058" s="13"/>
      <c r="B1058" s="13"/>
    </row>
    <row r="1059" spans="1:2" x14ac:dyDescent="0.25">
      <c r="A1059" s="13"/>
      <c r="B1059" s="13"/>
    </row>
    <row r="1060" spans="1:2" x14ac:dyDescent="0.25">
      <c r="A1060" s="13"/>
      <c r="B1060" s="13"/>
    </row>
    <row r="1061" spans="1:2" x14ac:dyDescent="0.25">
      <c r="A1061" s="13"/>
      <c r="B1061" s="13"/>
    </row>
    <row r="1062" spans="1:2" x14ac:dyDescent="0.25">
      <c r="A1062" s="13"/>
      <c r="B1062" s="13"/>
    </row>
    <row r="1063" spans="1:2" x14ac:dyDescent="0.25">
      <c r="A1063" s="13"/>
      <c r="B1063" s="13"/>
    </row>
    <row r="1064" spans="1:2" x14ac:dyDescent="0.25">
      <c r="A1064" s="13"/>
      <c r="B1064" s="13"/>
    </row>
    <row r="1065" spans="1:2" x14ac:dyDescent="0.25">
      <c r="A1065" s="13"/>
      <c r="B1065" s="13"/>
    </row>
    <row r="1066" spans="1:2" x14ac:dyDescent="0.25">
      <c r="A1066" s="13"/>
      <c r="B1066" s="13"/>
    </row>
    <row r="1067" spans="1:2" x14ac:dyDescent="0.25">
      <c r="A1067" s="13"/>
      <c r="B1067" s="13"/>
    </row>
    <row r="1068" spans="1:2" x14ac:dyDescent="0.25">
      <c r="A1068" s="13"/>
      <c r="B1068" s="13"/>
    </row>
    <row r="1069" spans="1:2" x14ac:dyDescent="0.25">
      <c r="A1069" s="13"/>
      <c r="B1069" s="13"/>
    </row>
    <row r="1070" spans="1:2" x14ac:dyDescent="0.25">
      <c r="A1070" s="13"/>
      <c r="B1070" s="13"/>
    </row>
    <row r="1071" spans="1:2" x14ac:dyDescent="0.25">
      <c r="A1071" s="13"/>
      <c r="B1071" s="13"/>
    </row>
    <row r="1072" spans="1:2" x14ac:dyDescent="0.25">
      <c r="A1072" s="13"/>
      <c r="B1072" s="13"/>
    </row>
    <row r="1073" spans="1:2" x14ac:dyDescent="0.25">
      <c r="A1073" s="13"/>
      <c r="B1073" s="13"/>
    </row>
    <row r="1074" spans="1:2" x14ac:dyDescent="0.25">
      <c r="A1074" s="13"/>
      <c r="B1074" s="13"/>
    </row>
    <row r="1075" spans="1:2" x14ac:dyDescent="0.25">
      <c r="A1075" s="13"/>
      <c r="B1075" s="13"/>
    </row>
    <row r="1076" spans="1:2" x14ac:dyDescent="0.25">
      <c r="A1076" s="13"/>
      <c r="B1076" s="13"/>
    </row>
    <row r="1077" spans="1:2" x14ac:dyDescent="0.25">
      <c r="A1077" s="13"/>
      <c r="B1077" s="13"/>
    </row>
    <row r="1078" spans="1:2" x14ac:dyDescent="0.25">
      <c r="A1078" s="13"/>
      <c r="B1078" s="13"/>
    </row>
    <row r="1079" spans="1:2" x14ac:dyDescent="0.25">
      <c r="A1079" s="13"/>
      <c r="B1079" s="13"/>
    </row>
    <row r="1080" spans="1:2" x14ac:dyDescent="0.25">
      <c r="A1080" s="13"/>
      <c r="B1080" s="13"/>
    </row>
    <row r="1081" spans="1:2" x14ac:dyDescent="0.25">
      <c r="A1081" s="13"/>
      <c r="B1081" s="13"/>
    </row>
    <row r="1082" spans="1:2" x14ac:dyDescent="0.25">
      <c r="A1082" s="13"/>
      <c r="B1082" s="13"/>
    </row>
    <row r="1083" spans="1:2" x14ac:dyDescent="0.25">
      <c r="A1083" s="13"/>
      <c r="B1083" s="13"/>
    </row>
    <row r="1084" spans="1:2" x14ac:dyDescent="0.25">
      <c r="A1084" s="13"/>
      <c r="B1084" s="13"/>
    </row>
    <row r="1085" spans="1:2" x14ac:dyDescent="0.25">
      <c r="A1085" s="13"/>
      <c r="B1085" s="13"/>
    </row>
    <row r="1086" spans="1:2" x14ac:dyDescent="0.25">
      <c r="A1086" s="13"/>
      <c r="B1086" s="13"/>
    </row>
    <row r="1087" spans="1:2" x14ac:dyDescent="0.25">
      <c r="A1087" s="13"/>
      <c r="B1087" s="13"/>
    </row>
    <row r="1088" spans="1:2" x14ac:dyDescent="0.25">
      <c r="A1088" s="13"/>
      <c r="B1088" s="13"/>
    </row>
    <row r="1089" spans="1:2" x14ac:dyDescent="0.25">
      <c r="A1089" s="13"/>
      <c r="B1089" s="13"/>
    </row>
    <row r="1090" spans="1:2" x14ac:dyDescent="0.25">
      <c r="A1090" s="13"/>
      <c r="B1090" s="13"/>
    </row>
    <row r="1091" spans="1:2" x14ac:dyDescent="0.25">
      <c r="A1091" s="13"/>
      <c r="B1091" s="13"/>
    </row>
    <row r="1092" spans="1:2" x14ac:dyDescent="0.25">
      <c r="A1092" s="13"/>
      <c r="B1092" s="13"/>
    </row>
    <row r="1093" spans="1:2" x14ac:dyDescent="0.25">
      <c r="A1093" s="13"/>
      <c r="B1093" s="13"/>
    </row>
    <row r="1094" spans="1:2" x14ac:dyDescent="0.25">
      <c r="A1094" s="13"/>
      <c r="B1094" s="13"/>
    </row>
    <row r="1095" spans="1:2" x14ac:dyDescent="0.25">
      <c r="A1095" s="13"/>
      <c r="B1095" s="13"/>
    </row>
    <row r="1096" spans="1:2" x14ac:dyDescent="0.25">
      <c r="A1096" s="13"/>
      <c r="B1096" s="13"/>
    </row>
    <row r="1097" spans="1:2" x14ac:dyDescent="0.25">
      <c r="A1097" s="13"/>
      <c r="B1097" s="13"/>
    </row>
    <row r="1098" spans="1:2" x14ac:dyDescent="0.25">
      <c r="A1098" s="13"/>
      <c r="B1098" s="13"/>
    </row>
    <row r="1099" spans="1:2" x14ac:dyDescent="0.25">
      <c r="A1099" s="13"/>
      <c r="B1099" s="13"/>
    </row>
    <row r="1100" spans="1:2" x14ac:dyDescent="0.25">
      <c r="A1100" s="13"/>
      <c r="B1100" s="13"/>
    </row>
    <row r="1101" spans="1:2" x14ac:dyDescent="0.25">
      <c r="A1101" s="13"/>
      <c r="B1101" s="13"/>
    </row>
    <row r="1102" spans="1:2" x14ac:dyDescent="0.25">
      <c r="A1102" s="13"/>
      <c r="B1102" s="13"/>
    </row>
    <row r="1103" spans="1:2" x14ac:dyDescent="0.25">
      <c r="A1103" s="13"/>
      <c r="B1103" s="13"/>
    </row>
    <row r="1104" spans="1:2" x14ac:dyDescent="0.25">
      <c r="A1104" s="13"/>
      <c r="B1104" s="13"/>
    </row>
    <row r="1105" spans="1:2" x14ac:dyDescent="0.25">
      <c r="A1105" s="13"/>
      <c r="B1105" s="13"/>
    </row>
    <row r="1106" spans="1:2" x14ac:dyDescent="0.25">
      <c r="A1106" s="13"/>
      <c r="B1106" s="13"/>
    </row>
    <row r="1107" spans="1:2" x14ac:dyDescent="0.25">
      <c r="A1107" s="13"/>
      <c r="B1107" s="13"/>
    </row>
    <row r="1108" spans="1:2" x14ac:dyDescent="0.25">
      <c r="A1108" s="13"/>
      <c r="B1108" s="13"/>
    </row>
    <row r="1109" spans="1:2" x14ac:dyDescent="0.25">
      <c r="A1109" s="13"/>
      <c r="B1109" s="13"/>
    </row>
    <row r="1110" spans="1:2" x14ac:dyDescent="0.25">
      <c r="A1110" s="13"/>
      <c r="B1110" s="13"/>
    </row>
    <row r="1111" spans="1:2" x14ac:dyDescent="0.25">
      <c r="A1111" s="13"/>
      <c r="B1111" s="13"/>
    </row>
    <row r="1112" spans="1:2" x14ac:dyDescent="0.25">
      <c r="A1112" s="13"/>
      <c r="B1112" s="13"/>
    </row>
    <row r="1113" spans="1:2" x14ac:dyDescent="0.25">
      <c r="A1113" s="13"/>
      <c r="B1113" s="13"/>
    </row>
    <row r="1114" spans="1:2" x14ac:dyDescent="0.25">
      <c r="A1114" s="13"/>
      <c r="B1114" s="13"/>
    </row>
    <row r="1115" spans="1:2" x14ac:dyDescent="0.25">
      <c r="A1115" s="13"/>
      <c r="B1115" s="13"/>
    </row>
    <row r="1116" spans="1:2" x14ac:dyDescent="0.25">
      <c r="A1116" s="13"/>
      <c r="B1116" s="13"/>
    </row>
    <row r="1117" spans="1:2" x14ac:dyDescent="0.25">
      <c r="A1117" s="13"/>
      <c r="B1117" s="13"/>
    </row>
    <row r="1118" spans="1:2" x14ac:dyDescent="0.25">
      <c r="A1118" s="13"/>
      <c r="B1118" s="13"/>
    </row>
    <row r="1119" spans="1:2" x14ac:dyDescent="0.25">
      <c r="A1119" s="13"/>
      <c r="B1119" s="13"/>
    </row>
    <row r="1120" spans="1:2" x14ac:dyDescent="0.25">
      <c r="A1120" s="13"/>
      <c r="B1120" s="13"/>
    </row>
    <row r="1121" spans="1:2" x14ac:dyDescent="0.25">
      <c r="A1121" s="13"/>
      <c r="B1121" s="13"/>
    </row>
    <row r="1122" spans="1:2" x14ac:dyDescent="0.25">
      <c r="A1122" s="13"/>
      <c r="B1122" s="13"/>
    </row>
    <row r="1123" spans="1:2" x14ac:dyDescent="0.25">
      <c r="A1123" s="13"/>
      <c r="B1123" s="13"/>
    </row>
    <row r="1124" spans="1:2" x14ac:dyDescent="0.25">
      <c r="A1124" s="13"/>
      <c r="B1124" s="13"/>
    </row>
    <row r="1125" spans="1:2" x14ac:dyDescent="0.25">
      <c r="A1125" s="13"/>
      <c r="B1125" s="13"/>
    </row>
    <row r="1126" spans="1:2" x14ac:dyDescent="0.25">
      <c r="A1126" s="13"/>
      <c r="B1126" s="13"/>
    </row>
    <row r="1127" spans="1:2" x14ac:dyDescent="0.25">
      <c r="A1127" s="13"/>
      <c r="B1127" s="13"/>
    </row>
    <row r="1128" spans="1:2" x14ac:dyDescent="0.25">
      <c r="A1128" s="13"/>
      <c r="B1128" s="13"/>
    </row>
    <row r="1129" spans="1:2" x14ac:dyDescent="0.25">
      <c r="A1129" s="13"/>
      <c r="B1129" s="13"/>
    </row>
    <row r="1130" spans="1:2" x14ac:dyDescent="0.25">
      <c r="A1130" s="13"/>
      <c r="B1130" s="13"/>
    </row>
    <row r="1131" spans="1:2" x14ac:dyDescent="0.25">
      <c r="A1131" s="13"/>
      <c r="B1131" s="13"/>
    </row>
    <row r="1132" spans="1:2" x14ac:dyDescent="0.25">
      <c r="A1132" s="13"/>
      <c r="B1132" s="13"/>
    </row>
    <row r="1133" spans="1:2" x14ac:dyDescent="0.25">
      <c r="A1133" s="13"/>
      <c r="B1133" s="13"/>
    </row>
    <row r="1134" spans="1:2" x14ac:dyDescent="0.25">
      <c r="A1134" s="13"/>
      <c r="B1134" s="13"/>
    </row>
    <row r="1135" spans="1:2" x14ac:dyDescent="0.25">
      <c r="A1135" s="13"/>
      <c r="B1135" s="13"/>
    </row>
    <row r="1136" spans="1:2" x14ac:dyDescent="0.25">
      <c r="A1136" s="13"/>
      <c r="B1136" s="13"/>
    </row>
    <row r="1137" spans="1:2" x14ac:dyDescent="0.25">
      <c r="A1137" s="13"/>
      <c r="B1137" s="13"/>
    </row>
    <row r="1138" spans="1:2" x14ac:dyDescent="0.25">
      <c r="A1138" s="13"/>
      <c r="B1138" s="13"/>
    </row>
    <row r="1139" spans="1:2" x14ac:dyDescent="0.25">
      <c r="A1139" s="13"/>
      <c r="B1139" s="13"/>
    </row>
    <row r="1140" spans="1:2" x14ac:dyDescent="0.25">
      <c r="A1140" s="13"/>
      <c r="B1140" s="13"/>
    </row>
    <row r="1141" spans="1:2" x14ac:dyDescent="0.25">
      <c r="A1141" s="13"/>
      <c r="B1141" s="13"/>
    </row>
    <row r="1142" spans="1:2" x14ac:dyDescent="0.25">
      <c r="A1142" s="13"/>
      <c r="B1142" s="13"/>
    </row>
    <row r="1143" spans="1:2" x14ac:dyDescent="0.25">
      <c r="A1143" s="13"/>
      <c r="B1143" s="13"/>
    </row>
    <row r="1144" spans="1:2" x14ac:dyDescent="0.25">
      <c r="A1144" s="13"/>
      <c r="B1144" s="13"/>
    </row>
    <row r="1145" spans="1:2" x14ac:dyDescent="0.25">
      <c r="A1145" s="13"/>
      <c r="B1145" s="13"/>
    </row>
    <row r="1146" spans="1:2" x14ac:dyDescent="0.25">
      <c r="A1146" s="13"/>
      <c r="B1146" s="13"/>
    </row>
    <row r="1147" spans="1:2" x14ac:dyDescent="0.25">
      <c r="A1147" s="13"/>
      <c r="B1147" s="13"/>
    </row>
    <row r="1148" spans="1:2" x14ac:dyDescent="0.25">
      <c r="A1148" s="13"/>
      <c r="B1148" s="13"/>
    </row>
    <row r="1149" spans="1:2" x14ac:dyDescent="0.25">
      <c r="A1149" s="13"/>
      <c r="B1149" s="13"/>
    </row>
    <row r="1150" spans="1:2" x14ac:dyDescent="0.25">
      <c r="A1150" s="13"/>
      <c r="B1150" s="13"/>
    </row>
    <row r="1151" spans="1:2" x14ac:dyDescent="0.25">
      <c r="A1151" s="13"/>
      <c r="B1151" s="13"/>
    </row>
    <row r="1152" spans="1:2" x14ac:dyDescent="0.25">
      <c r="A1152" s="13"/>
      <c r="B1152" s="13"/>
    </row>
    <row r="1153" spans="1:2" x14ac:dyDescent="0.25">
      <c r="A1153" s="13"/>
      <c r="B1153" s="13"/>
    </row>
    <row r="1154" spans="1:2" x14ac:dyDescent="0.25">
      <c r="A1154" s="13"/>
      <c r="B1154" s="13"/>
    </row>
    <row r="1155" spans="1:2" x14ac:dyDescent="0.25">
      <c r="A1155" s="13"/>
      <c r="B1155" s="13"/>
    </row>
    <row r="1156" spans="1:2" x14ac:dyDescent="0.25">
      <c r="A1156" s="13"/>
      <c r="B1156" s="13"/>
    </row>
    <row r="1157" spans="1:2" x14ac:dyDescent="0.25">
      <c r="A1157" s="13"/>
      <c r="B1157" s="13"/>
    </row>
    <row r="1158" spans="1:2" x14ac:dyDescent="0.25">
      <c r="A1158" s="13"/>
      <c r="B1158" s="13"/>
    </row>
    <row r="1159" spans="1:2" x14ac:dyDescent="0.25">
      <c r="A1159" s="13"/>
      <c r="B1159" s="13"/>
    </row>
    <row r="1160" spans="1:2" x14ac:dyDescent="0.25">
      <c r="A1160" s="13"/>
      <c r="B1160" s="13"/>
    </row>
    <row r="1161" spans="1:2" x14ac:dyDescent="0.25">
      <c r="A1161" s="13"/>
      <c r="B1161" s="13"/>
    </row>
    <row r="1162" spans="1:2" x14ac:dyDescent="0.25">
      <c r="A1162" s="13"/>
      <c r="B1162" s="13"/>
    </row>
    <row r="1163" spans="1:2" x14ac:dyDescent="0.25">
      <c r="A1163" s="13"/>
      <c r="B1163" s="13"/>
    </row>
    <row r="1164" spans="1:2" x14ac:dyDescent="0.25">
      <c r="A1164" s="13"/>
      <c r="B1164" s="13"/>
    </row>
    <row r="1165" spans="1:2" x14ac:dyDescent="0.25">
      <c r="A1165" s="13"/>
      <c r="B1165" s="13"/>
    </row>
    <row r="1166" spans="1:2" x14ac:dyDescent="0.25">
      <c r="A1166" s="13"/>
      <c r="B1166" s="13"/>
    </row>
    <row r="1167" spans="1:2" x14ac:dyDescent="0.25">
      <c r="A1167" s="13"/>
      <c r="B1167" s="13"/>
    </row>
    <row r="1168" spans="1:2" x14ac:dyDescent="0.25">
      <c r="A1168" s="13"/>
      <c r="B1168" s="13"/>
    </row>
    <row r="1169" spans="1:2" x14ac:dyDescent="0.25">
      <c r="A1169" s="13"/>
      <c r="B1169" s="13"/>
    </row>
    <row r="1170" spans="1:2" x14ac:dyDescent="0.25">
      <c r="A1170" s="13"/>
      <c r="B1170" s="13"/>
    </row>
    <row r="1171" spans="1:2" x14ac:dyDescent="0.25">
      <c r="A1171" s="13"/>
      <c r="B1171" s="13"/>
    </row>
    <row r="1172" spans="1:2" x14ac:dyDescent="0.25">
      <c r="A1172" s="13"/>
      <c r="B1172" s="13"/>
    </row>
    <row r="1173" spans="1:2" x14ac:dyDescent="0.25">
      <c r="A1173" s="13"/>
      <c r="B1173" s="13"/>
    </row>
    <row r="1174" spans="1:2" x14ac:dyDescent="0.25">
      <c r="A1174" s="13"/>
      <c r="B1174" s="13"/>
    </row>
    <row r="1175" spans="1:2" x14ac:dyDescent="0.25">
      <c r="A1175" s="13"/>
      <c r="B1175" s="13"/>
    </row>
    <row r="1176" spans="1:2" x14ac:dyDescent="0.25">
      <c r="A1176" s="13"/>
      <c r="B1176" s="13"/>
    </row>
    <row r="1177" spans="1:2" x14ac:dyDescent="0.25">
      <c r="A1177" s="13"/>
      <c r="B1177" s="13"/>
    </row>
    <row r="1178" spans="1:2" x14ac:dyDescent="0.25">
      <c r="A1178" s="13"/>
      <c r="B1178" s="13"/>
    </row>
    <row r="1179" spans="1:2" x14ac:dyDescent="0.25">
      <c r="A1179" s="13"/>
      <c r="B1179" s="13"/>
    </row>
    <row r="1180" spans="1:2" x14ac:dyDescent="0.25">
      <c r="A1180" s="13"/>
      <c r="B1180" s="13"/>
    </row>
    <row r="1181" spans="1:2" x14ac:dyDescent="0.25">
      <c r="A1181" s="13"/>
      <c r="B1181" s="13"/>
    </row>
    <row r="1182" spans="1:2" x14ac:dyDescent="0.25">
      <c r="A1182" s="13"/>
      <c r="B1182" s="13"/>
    </row>
    <row r="1183" spans="1:2" x14ac:dyDescent="0.25">
      <c r="A1183" s="13"/>
      <c r="B1183" s="13"/>
    </row>
    <row r="1184" spans="1:2" x14ac:dyDescent="0.25">
      <c r="A1184" s="13"/>
      <c r="B1184" s="13"/>
    </row>
    <row r="1185" spans="1:2" x14ac:dyDescent="0.25">
      <c r="A1185" s="13"/>
      <c r="B1185" s="13"/>
    </row>
    <row r="1186" spans="1:2" x14ac:dyDescent="0.25">
      <c r="A1186" s="13"/>
      <c r="B1186" s="13"/>
    </row>
    <row r="1187" spans="1:2" x14ac:dyDescent="0.25">
      <c r="A1187" s="13"/>
      <c r="B1187" s="13"/>
    </row>
    <row r="1188" spans="1:2" x14ac:dyDescent="0.25">
      <c r="A1188" s="13"/>
      <c r="B1188" s="13"/>
    </row>
    <row r="1189" spans="1:2" x14ac:dyDescent="0.25">
      <c r="A1189" s="13"/>
      <c r="B1189" s="13"/>
    </row>
    <row r="1190" spans="1:2" x14ac:dyDescent="0.25">
      <c r="A1190" s="13"/>
      <c r="B1190" s="13"/>
    </row>
    <row r="1191" spans="1:2" x14ac:dyDescent="0.25">
      <c r="A1191" s="13"/>
      <c r="B1191" s="13"/>
    </row>
    <row r="1192" spans="1:2" x14ac:dyDescent="0.25">
      <c r="A1192" s="13"/>
      <c r="B1192" s="13"/>
    </row>
    <row r="1193" spans="1:2" x14ac:dyDescent="0.25">
      <c r="A1193" s="13"/>
      <c r="B1193" s="13"/>
    </row>
    <row r="1194" spans="1:2" x14ac:dyDescent="0.25">
      <c r="A1194" s="13"/>
      <c r="B1194" s="13"/>
    </row>
    <row r="1195" spans="1:2" x14ac:dyDescent="0.25">
      <c r="A1195" s="13"/>
      <c r="B1195" s="13"/>
    </row>
    <row r="1196" spans="1:2" x14ac:dyDescent="0.25">
      <c r="A1196" s="13"/>
      <c r="B1196" s="13"/>
    </row>
    <row r="1197" spans="1:2" x14ac:dyDescent="0.25">
      <c r="A1197" s="13"/>
      <c r="B1197" s="13"/>
    </row>
    <row r="1198" spans="1:2" x14ac:dyDescent="0.25">
      <c r="A1198" s="13"/>
      <c r="B1198" s="13"/>
    </row>
    <row r="1199" spans="1:2" x14ac:dyDescent="0.25">
      <c r="A1199" s="13"/>
      <c r="B1199" s="13"/>
    </row>
    <row r="1200" spans="1:2" x14ac:dyDescent="0.25">
      <c r="A1200" s="13"/>
      <c r="B1200" s="13"/>
    </row>
    <row r="1201" spans="1:2" x14ac:dyDescent="0.25">
      <c r="A1201" s="13"/>
      <c r="B1201" s="13"/>
    </row>
    <row r="1202" spans="1:2" x14ac:dyDescent="0.25">
      <c r="A1202" s="13"/>
      <c r="B1202" s="13"/>
    </row>
    <row r="1203" spans="1:2" x14ac:dyDescent="0.25">
      <c r="A1203" s="13"/>
      <c r="B1203" s="13"/>
    </row>
    <row r="1204" spans="1:2" x14ac:dyDescent="0.25">
      <c r="A1204" s="13"/>
      <c r="B1204" s="13"/>
    </row>
    <row r="1205" spans="1:2" x14ac:dyDescent="0.25">
      <c r="A1205" s="13"/>
      <c r="B1205" s="13"/>
    </row>
    <row r="1206" spans="1:2" x14ac:dyDescent="0.25">
      <c r="A1206" s="13"/>
      <c r="B1206" s="13"/>
    </row>
    <row r="1207" spans="1:2" x14ac:dyDescent="0.25">
      <c r="A1207" s="13"/>
      <c r="B1207" s="13"/>
    </row>
    <row r="1208" spans="1:2" x14ac:dyDescent="0.25">
      <c r="A1208" s="13"/>
      <c r="B1208" s="13"/>
    </row>
    <row r="1209" spans="1:2" x14ac:dyDescent="0.25">
      <c r="A1209" s="13"/>
      <c r="B1209" s="13"/>
    </row>
    <row r="1210" spans="1:2" x14ac:dyDescent="0.25">
      <c r="A1210" s="13"/>
      <c r="B1210" s="13"/>
    </row>
    <row r="1211" spans="1:2" x14ac:dyDescent="0.25">
      <c r="A1211" s="13"/>
      <c r="B1211" s="13"/>
    </row>
    <row r="1212" spans="1:2" x14ac:dyDescent="0.25">
      <c r="A1212" s="13"/>
      <c r="B1212" s="13"/>
    </row>
    <row r="1213" spans="1:2" x14ac:dyDescent="0.25">
      <c r="A1213" s="13"/>
      <c r="B1213" s="13"/>
    </row>
    <row r="1214" spans="1:2" x14ac:dyDescent="0.25">
      <c r="A1214" s="13"/>
      <c r="B1214" s="13"/>
    </row>
    <row r="1215" spans="1:2" x14ac:dyDescent="0.25">
      <c r="A1215" s="13"/>
      <c r="B1215" s="13"/>
    </row>
    <row r="1216" spans="1:2" x14ac:dyDescent="0.25">
      <c r="A1216" s="13"/>
      <c r="B1216" s="13"/>
    </row>
    <row r="1217" spans="1:2" x14ac:dyDescent="0.25">
      <c r="A1217" s="13"/>
      <c r="B1217" s="13"/>
    </row>
    <row r="1218" spans="1:2" x14ac:dyDescent="0.25">
      <c r="A1218" s="13"/>
      <c r="B1218" s="13"/>
    </row>
    <row r="1219" spans="1:2" x14ac:dyDescent="0.25">
      <c r="A1219" s="13"/>
      <c r="B1219" s="13"/>
    </row>
    <row r="1220" spans="1:2" x14ac:dyDescent="0.25">
      <c r="A1220" s="13"/>
      <c r="B1220" s="13"/>
    </row>
    <row r="1221" spans="1:2" x14ac:dyDescent="0.25">
      <c r="A1221" s="13"/>
      <c r="B1221" s="13"/>
    </row>
    <row r="1222" spans="1:2" x14ac:dyDescent="0.25">
      <c r="A1222" s="13"/>
      <c r="B1222" s="13"/>
    </row>
    <row r="1223" spans="1:2" x14ac:dyDescent="0.25">
      <c r="A1223" s="13"/>
      <c r="B1223" s="13"/>
    </row>
    <row r="1224" spans="1:2" x14ac:dyDescent="0.25">
      <c r="A1224" s="13"/>
      <c r="B1224" s="13"/>
    </row>
    <row r="1225" spans="1:2" x14ac:dyDescent="0.25">
      <c r="A1225" s="13"/>
      <c r="B1225" s="13"/>
    </row>
    <row r="1226" spans="1:2" x14ac:dyDescent="0.25">
      <c r="A1226" s="13"/>
      <c r="B1226" s="13"/>
    </row>
    <row r="1227" spans="1:2" x14ac:dyDescent="0.25">
      <c r="A1227" s="13"/>
      <c r="B1227" s="13"/>
    </row>
    <row r="1228" spans="1:2" x14ac:dyDescent="0.25">
      <c r="A1228" s="13"/>
      <c r="B1228" s="13"/>
    </row>
    <row r="1229" spans="1:2" x14ac:dyDescent="0.25">
      <c r="A1229" s="13"/>
      <c r="B1229" s="13"/>
    </row>
    <row r="1230" spans="1:2" x14ac:dyDescent="0.25">
      <c r="A1230" s="13"/>
      <c r="B1230" s="13"/>
    </row>
    <row r="1231" spans="1:2" x14ac:dyDescent="0.25">
      <c r="A1231" s="13"/>
      <c r="B1231" s="13"/>
    </row>
    <row r="1232" spans="1:2" x14ac:dyDescent="0.25">
      <c r="A1232" s="13"/>
      <c r="B1232" s="13"/>
    </row>
    <row r="1233" spans="1:2" x14ac:dyDescent="0.25">
      <c r="A1233" s="13"/>
      <c r="B1233" s="13"/>
    </row>
    <row r="1234" spans="1:2" x14ac:dyDescent="0.25">
      <c r="A1234" s="13"/>
      <c r="B1234" s="13"/>
    </row>
    <row r="1235" spans="1:2" x14ac:dyDescent="0.25">
      <c r="A1235" s="13"/>
      <c r="B1235" s="13"/>
    </row>
    <row r="1236" spans="1:2" x14ac:dyDescent="0.25">
      <c r="A1236" s="13"/>
      <c r="B1236" s="13"/>
    </row>
    <row r="1237" spans="1:2" x14ac:dyDescent="0.25">
      <c r="A1237" s="13"/>
      <c r="B1237" s="13"/>
    </row>
    <row r="1238" spans="1:2" x14ac:dyDescent="0.25">
      <c r="A1238" s="13"/>
      <c r="B1238" s="13"/>
    </row>
    <row r="1239" spans="1:2" x14ac:dyDescent="0.25">
      <c r="A1239" s="13"/>
      <c r="B1239" s="13"/>
    </row>
    <row r="1240" spans="1:2" x14ac:dyDescent="0.25">
      <c r="A1240" s="13"/>
      <c r="B1240" s="13"/>
    </row>
    <row r="1241" spans="1:2" x14ac:dyDescent="0.25">
      <c r="A1241" s="13"/>
      <c r="B1241" s="13"/>
    </row>
    <row r="1242" spans="1:2" x14ac:dyDescent="0.25">
      <c r="A1242" s="13"/>
      <c r="B1242" s="13"/>
    </row>
    <row r="1243" spans="1:2" x14ac:dyDescent="0.25">
      <c r="A1243" s="13"/>
      <c r="B1243" s="13"/>
    </row>
    <row r="1244" spans="1:2" x14ac:dyDescent="0.25">
      <c r="A1244" s="13"/>
      <c r="B1244" s="13"/>
    </row>
    <row r="1245" spans="1:2" x14ac:dyDescent="0.25">
      <c r="A1245" s="13"/>
      <c r="B1245" s="13"/>
    </row>
    <row r="1246" spans="1:2" x14ac:dyDescent="0.25">
      <c r="A1246" s="13"/>
      <c r="B1246" s="13"/>
    </row>
    <row r="1247" spans="1:2" x14ac:dyDescent="0.25">
      <c r="A1247" s="13"/>
      <c r="B1247" s="13"/>
    </row>
    <row r="1248" spans="1:2" x14ac:dyDescent="0.25">
      <c r="A1248" s="13"/>
      <c r="B1248" s="13"/>
    </row>
    <row r="1249" spans="1:2" x14ac:dyDescent="0.25">
      <c r="A1249" s="13"/>
      <c r="B1249" s="13"/>
    </row>
    <row r="1250" spans="1:2" x14ac:dyDescent="0.25">
      <c r="A1250" s="13"/>
      <c r="B1250" s="13"/>
    </row>
    <row r="1251" spans="1:2" x14ac:dyDescent="0.25">
      <c r="A1251" s="13"/>
      <c r="B1251" s="13"/>
    </row>
    <row r="1252" spans="1:2" x14ac:dyDescent="0.25">
      <c r="A1252" s="13"/>
      <c r="B1252" s="13"/>
    </row>
    <row r="1253" spans="1:2" x14ac:dyDescent="0.25">
      <c r="A1253" s="13"/>
      <c r="B1253" s="13"/>
    </row>
    <row r="1254" spans="1:2" x14ac:dyDescent="0.25">
      <c r="A1254" s="13"/>
      <c r="B1254" s="13"/>
    </row>
    <row r="1255" spans="1:2" x14ac:dyDescent="0.25">
      <c r="A1255" s="13"/>
      <c r="B1255" s="13"/>
    </row>
    <row r="1256" spans="1:2" x14ac:dyDescent="0.25">
      <c r="A1256" s="13"/>
      <c r="B1256" s="13"/>
    </row>
    <row r="1257" spans="1:2" x14ac:dyDescent="0.25">
      <c r="A1257" s="13"/>
      <c r="B1257" s="13"/>
    </row>
    <row r="1258" spans="1:2" x14ac:dyDescent="0.25">
      <c r="A1258" s="13"/>
      <c r="B1258" s="13"/>
    </row>
    <row r="1259" spans="1:2" x14ac:dyDescent="0.25">
      <c r="A1259" s="13"/>
      <c r="B1259" s="13"/>
    </row>
    <row r="1260" spans="1:2" x14ac:dyDescent="0.25">
      <c r="A1260" s="13"/>
      <c r="B1260" s="13"/>
    </row>
    <row r="1261" spans="1:2" x14ac:dyDescent="0.25">
      <c r="A1261" s="13"/>
      <c r="B1261" s="13"/>
    </row>
    <row r="1262" spans="1:2" x14ac:dyDescent="0.25">
      <c r="A1262" s="13"/>
      <c r="B1262" s="13"/>
    </row>
    <row r="1263" spans="1:2" x14ac:dyDescent="0.25">
      <c r="A1263" s="13"/>
      <c r="B1263" s="13"/>
    </row>
    <row r="1264" spans="1:2" x14ac:dyDescent="0.25">
      <c r="A1264" s="13"/>
      <c r="B1264" s="13"/>
    </row>
    <row r="1265" spans="1:2" x14ac:dyDescent="0.25">
      <c r="A1265" s="13"/>
      <c r="B1265" s="13"/>
    </row>
    <row r="1266" spans="1:2" x14ac:dyDescent="0.25">
      <c r="A1266" s="13"/>
      <c r="B1266" s="13"/>
    </row>
    <row r="1267" spans="1:2" x14ac:dyDescent="0.25">
      <c r="A1267" s="13"/>
      <c r="B1267" s="13"/>
    </row>
    <row r="1268" spans="1:2" x14ac:dyDescent="0.25">
      <c r="A1268" s="13"/>
      <c r="B1268" s="13"/>
    </row>
    <row r="1269" spans="1:2" x14ac:dyDescent="0.25">
      <c r="A1269" s="13"/>
      <c r="B1269" s="13"/>
    </row>
    <row r="1270" spans="1:2" x14ac:dyDescent="0.25">
      <c r="A1270" s="13"/>
      <c r="B1270" s="13"/>
    </row>
    <row r="1271" spans="1:2" x14ac:dyDescent="0.25">
      <c r="A1271" s="13"/>
      <c r="B1271" s="13"/>
    </row>
    <row r="1272" spans="1:2" x14ac:dyDescent="0.25">
      <c r="A1272" s="13"/>
      <c r="B1272" s="13"/>
    </row>
    <row r="1273" spans="1:2" x14ac:dyDescent="0.25">
      <c r="A1273" s="13"/>
      <c r="B1273" s="13"/>
    </row>
    <row r="1274" spans="1:2" x14ac:dyDescent="0.25">
      <c r="A1274" s="13"/>
      <c r="B1274" s="13"/>
    </row>
    <row r="1275" spans="1:2" x14ac:dyDescent="0.25">
      <c r="A1275" s="13"/>
      <c r="B1275" s="13"/>
    </row>
    <row r="1276" spans="1:2" x14ac:dyDescent="0.25">
      <c r="A1276" s="13"/>
      <c r="B1276" s="13"/>
    </row>
    <row r="1277" spans="1:2" x14ac:dyDescent="0.25">
      <c r="A1277" s="13"/>
      <c r="B1277" s="13"/>
    </row>
    <row r="1278" spans="1:2" x14ac:dyDescent="0.25">
      <c r="A1278" s="13"/>
      <c r="B1278" s="13"/>
    </row>
    <row r="1279" spans="1:2" x14ac:dyDescent="0.25">
      <c r="A1279" s="13"/>
      <c r="B1279" s="13"/>
    </row>
    <row r="1280" spans="1:2" x14ac:dyDescent="0.25">
      <c r="A1280" s="13"/>
      <c r="B1280" s="13"/>
    </row>
    <row r="1281" spans="1:2" x14ac:dyDescent="0.25">
      <c r="A1281" s="13"/>
      <c r="B1281" s="13"/>
    </row>
    <row r="1282" spans="1:2" x14ac:dyDescent="0.25">
      <c r="A1282" s="13"/>
      <c r="B1282" s="13"/>
    </row>
    <row r="1283" spans="1:2" x14ac:dyDescent="0.25">
      <c r="A1283" s="13"/>
      <c r="B1283" s="13"/>
    </row>
    <row r="1284" spans="1:2" x14ac:dyDescent="0.25">
      <c r="A1284" s="13"/>
      <c r="B1284" s="13"/>
    </row>
    <row r="1285" spans="1:2" x14ac:dyDescent="0.25">
      <c r="A1285" s="13"/>
      <c r="B1285" s="13"/>
    </row>
    <row r="1286" spans="1:2" x14ac:dyDescent="0.25">
      <c r="A1286" s="13"/>
      <c r="B1286" s="13"/>
    </row>
    <row r="1287" spans="1:2" x14ac:dyDescent="0.25">
      <c r="A1287" s="13"/>
      <c r="B1287" s="13"/>
    </row>
    <row r="1288" spans="1:2" x14ac:dyDescent="0.25">
      <c r="A1288" s="13"/>
      <c r="B1288" s="13"/>
    </row>
    <row r="1289" spans="1:2" x14ac:dyDescent="0.25">
      <c r="A1289" s="13"/>
      <c r="B1289" s="13"/>
    </row>
    <row r="1290" spans="1:2" x14ac:dyDescent="0.25">
      <c r="A1290" s="13"/>
      <c r="B1290" s="13"/>
    </row>
    <row r="1291" spans="1:2" x14ac:dyDescent="0.25">
      <c r="A1291" s="13"/>
      <c r="B1291" s="13"/>
    </row>
    <row r="1292" spans="1:2" x14ac:dyDescent="0.25">
      <c r="A1292" s="13"/>
      <c r="B1292" s="13"/>
    </row>
    <row r="1293" spans="1:2" x14ac:dyDescent="0.25">
      <c r="A1293" s="13"/>
      <c r="B1293" s="13"/>
    </row>
    <row r="1294" spans="1:2" x14ac:dyDescent="0.25">
      <c r="A1294" s="13"/>
      <c r="B1294" s="13"/>
    </row>
    <row r="1295" spans="1:2" x14ac:dyDescent="0.25">
      <c r="A1295" s="13"/>
      <c r="B1295" s="13"/>
    </row>
    <row r="1296" spans="1:2" x14ac:dyDescent="0.25">
      <c r="A1296" s="13"/>
      <c r="B1296" s="13"/>
    </row>
    <row r="1297" spans="1:2" x14ac:dyDescent="0.25">
      <c r="A1297" s="13"/>
      <c r="B1297" s="13"/>
    </row>
    <row r="1298" spans="1:2" x14ac:dyDescent="0.25">
      <c r="A1298" s="13"/>
      <c r="B1298" s="13"/>
    </row>
    <row r="1299" spans="1:2" x14ac:dyDescent="0.25">
      <c r="A1299" s="13"/>
      <c r="B1299" s="13"/>
    </row>
    <row r="1300" spans="1:2" x14ac:dyDescent="0.25">
      <c r="A1300" s="13"/>
      <c r="B1300" s="13"/>
    </row>
    <row r="1301" spans="1:2" x14ac:dyDescent="0.25">
      <c r="A1301" s="13"/>
      <c r="B1301" s="13"/>
    </row>
    <row r="1302" spans="1:2" x14ac:dyDescent="0.25">
      <c r="A1302" s="13"/>
      <c r="B1302" s="13"/>
    </row>
    <row r="1303" spans="1:2" x14ac:dyDescent="0.25">
      <c r="A1303" s="13"/>
      <c r="B1303" s="13"/>
    </row>
    <row r="1304" spans="1:2" x14ac:dyDescent="0.25">
      <c r="A1304" s="13"/>
      <c r="B1304" s="13"/>
    </row>
    <row r="1305" spans="1:2" x14ac:dyDescent="0.25">
      <c r="A1305" s="13"/>
      <c r="B1305" s="13"/>
    </row>
    <row r="1306" spans="1:2" x14ac:dyDescent="0.25">
      <c r="A1306" s="13"/>
      <c r="B1306" s="13"/>
    </row>
    <row r="1307" spans="1:2" x14ac:dyDescent="0.25">
      <c r="A1307" s="13"/>
      <c r="B1307" s="13"/>
    </row>
    <row r="1308" spans="1:2" x14ac:dyDescent="0.25">
      <c r="A1308" s="13"/>
      <c r="B1308" s="13"/>
    </row>
    <row r="1309" spans="1:2" x14ac:dyDescent="0.25">
      <c r="A1309" s="13"/>
      <c r="B1309" s="13"/>
    </row>
    <row r="1310" spans="1:2" x14ac:dyDescent="0.25">
      <c r="A1310" s="13"/>
      <c r="B1310" s="13"/>
    </row>
    <row r="1311" spans="1:2" x14ac:dyDescent="0.25">
      <c r="A1311" s="13"/>
      <c r="B1311" s="13"/>
    </row>
    <row r="1312" spans="1:2" x14ac:dyDescent="0.25">
      <c r="A1312" s="13"/>
      <c r="B1312" s="13"/>
    </row>
    <row r="1313" spans="1:2" x14ac:dyDescent="0.25">
      <c r="A1313" s="13"/>
      <c r="B1313" s="13"/>
    </row>
    <row r="1314" spans="1:2" x14ac:dyDescent="0.25">
      <c r="A1314" s="13"/>
      <c r="B1314" s="13"/>
    </row>
    <row r="1315" spans="1:2" x14ac:dyDescent="0.25">
      <c r="A1315" s="13"/>
      <c r="B1315" s="13"/>
    </row>
    <row r="1316" spans="1:2" x14ac:dyDescent="0.25">
      <c r="A1316" s="13"/>
      <c r="B1316" s="13"/>
    </row>
    <row r="1317" spans="1:2" x14ac:dyDescent="0.25">
      <c r="A1317" s="13"/>
      <c r="B1317" s="13"/>
    </row>
    <row r="1318" spans="1:2" x14ac:dyDescent="0.25">
      <c r="A1318" s="13"/>
      <c r="B1318" s="13"/>
    </row>
    <row r="1319" spans="1:2" x14ac:dyDescent="0.25">
      <c r="A1319" s="13"/>
      <c r="B1319" s="13"/>
    </row>
    <row r="1320" spans="1:2" x14ac:dyDescent="0.25">
      <c r="A1320" s="13"/>
      <c r="B1320" s="13"/>
    </row>
    <row r="1321" spans="1:2" x14ac:dyDescent="0.25">
      <c r="A1321" s="13"/>
      <c r="B1321" s="13"/>
    </row>
    <row r="1322" spans="1:2" x14ac:dyDescent="0.25">
      <c r="A1322" s="13"/>
      <c r="B1322" s="13"/>
    </row>
    <row r="1323" spans="1:2" x14ac:dyDescent="0.25">
      <c r="A1323" s="13"/>
      <c r="B1323" s="13"/>
    </row>
    <row r="1324" spans="1:2" x14ac:dyDescent="0.25">
      <c r="A1324" s="13"/>
      <c r="B1324" s="13"/>
    </row>
    <row r="1325" spans="1:2" x14ac:dyDescent="0.25">
      <c r="A1325" s="13"/>
      <c r="B1325" s="13"/>
    </row>
    <row r="1326" spans="1:2" x14ac:dyDescent="0.25">
      <c r="A1326" s="13"/>
      <c r="B1326" s="13"/>
    </row>
    <row r="1327" spans="1:2" x14ac:dyDescent="0.25">
      <c r="A1327" s="13"/>
      <c r="B1327" s="13"/>
    </row>
    <row r="1328" spans="1:2" x14ac:dyDescent="0.25">
      <c r="A1328" s="13"/>
      <c r="B1328" s="13"/>
    </row>
    <row r="1329" spans="1:2" x14ac:dyDescent="0.25">
      <c r="A1329" s="13"/>
      <c r="B1329" s="13"/>
    </row>
    <row r="1330" spans="1:2" x14ac:dyDescent="0.25">
      <c r="A1330" s="13"/>
      <c r="B1330" s="13"/>
    </row>
    <row r="1331" spans="1:2" x14ac:dyDescent="0.25">
      <c r="A1331" s="13"/>
      <c r="B1331" s="13"/>
    </row>
    <row r="1332" spans="1:2" x14ac:dyDescent="0.25">
      <c r="A1332" s="13"/>
      <c r="B1332" s="13"/>
    </row>
    <row r="1333" spans="1:2" x14ac:dyDescent="0.25">
      <c r="A1333" s="13"/>
      <c r="B1333" s="13"/>
    </row>
    <row r="1334" spans="1:2" x14ac:dyDescent="0.25">
      <c r="A1334" s="13"/>
      <c r="B1334" s="13"/>
    </row>
    <row r="1335" spans="1:2" x14ac:dyDescent="0.25">
      <c r="A1335" s="13"/>
      <c r="B1335" s="13"/>
    </row>
    <row r="1336" spans="1:2" x14ac:dyDescent="0.25">
      <c r="A1336" s="13"/>
      <c r="B1336" s="13"/>
    </row>
    <row r="1337" spans="1:2" x14ac:dyDescent="0.25">
      <c r="A1337" s="13"/>
      <c r="B1337" s="13"/>
    </row>
    <row r="1338" spans="1:2" x14ac:dyDescent="0.25">
      <c r="A1338" s="13"/>
      <c r="B1338" s="13"/>
    </row>
    <row r="1339" spans="1:2" x14ac:dyDescent="0.25">
      <c r="A1339" s="13"/>
      <c r="B1339" s="13"/>
    </row>
    <row r="1340" spans="1:2" x14ac:dyDescent="0.25">
      <c r="A1340" s="13"/>
      <c r="B1340" s="13"/>
    </row>
    <row r="1341" spans="1:2" x14ac:dyDescent="0.25">
      <c r="A1341" s="13"/>
      <c r="B1341" s="13"/>
    </row>
    <row r="1342" spans="1:2" x14ac:dyDescent="0.25">
      <c r="A1342" s="13"/>
      <c r="B1342" s="13"/>
    </row>
    <row r="1343" spans="1:2" x14ac:dyDescent="0.25">
      <c r="A1343" s="13"/>
      <c r="B1343" s="13"/>
    </row>
    <row r="1344" spans="1:2" x14ac:dyDescent="0.25">
      <c r="A1344" s="13"/>
      <c r="B1344" s="13"/>
    </row>
    <row r="1345" spans="1:2" x14ac:dyDescent="0.25">
      <c r="A1345" s="13"/>
      <c r="B1345" s="13"/>
    </row>
    <row r="1346" spans="1:2" x14ac:dyDescent="0.25">
      <c r="A1346" s="13"/>
      <c r="B1346" s="13"/>
    </row>
    <row r="1347" spans="1:2" x14ac:dyDescent="0.25">
      <c r="A1347" s="13"/>
      <c r="B1347" s="13"/>
    </row>
    <row r="1348" spans="1:2" x14ac:dyDescent="0.25">
      <c r="A1348" s="13"/>
      <c r="B1348" s="13"/>
    </row>
    <row r="1349" spans="1:2" x14ac:dyDescent="0.25">
      <c r="A1349" s="13"/>
      <c r="B1349" s="13"/>
    </row>
    <row r="1350" spans="1:2" x14ac:dyDescent="0.25">
      <c r="A1350" s="13"/>
      <c r="B1350" s="13"/>
    </row>
    <row r="1351" spans="1:2" x14ac:dyDescent="0.25">
      <c r="A1351" s="13"/>
      <c r="B1351" s="13"/>
    </row>
    <row r="1352" spans="1:2" x14ac:dyDescent="0.25">
      <c r="A1352" s="13"/>
      <c r="B1352" s="13"/>
    </row>
    <row r="1353" spans="1:2" x14ac:dyDescent="0.25">
      <c r="A1353" s="13"/>
      <c r="B1353" s="13"/>
    </row>
    <row r="1354" spans="1:2" x14ac:dyDescent="0.25">
      <c r="A1354" s="13"/>
      <c r="B1354" s="13"/>
    </row>
    <row r="1355" spans="1:2" x14ac:dyDescent="0.25">
      <c r="A1355" s="13"/>
      <c r="B1355" s="13"/>
    </row>
    <row r="1356" spans="1:2" x14ac:dyDescent="0.25">
      <c r="A1356" s="13"/>
      <c r="B1356" s="13"/>
    </row>
    <row r="1357" spans="1:2" x14ac:dyDescent="0.25">
      <c r="A1357" s="13"/>
      <c r="B1357" s="13"/>
    </row>
    <row r="1358" spans="1:2" x14ac:dyDescent="0.25">
      <c r="A1358" s="13"/>
      <c r="B1358" s="13"/>
    </row>
    <row r="1359" spans="1:2" x14ac:dyDescent="0.25">
      <c r="A1359" s="13"/>
      <c r="B1359" s="13"/>
    </row>
    <row r="1360" spans="1:2" x14ac:dyDescent="0.25">
      <c r="A1360" s="13"/>
      <c r="B1360" s="13"/>
    </row>
    <row r="1361" spans="1:2" x14ac:dyDescent="0.25">
      <c r="A1361" s="13"/>
      <c r="B1361" s="13"/>
    </row>
    <row r="1362" spans="1:2" x14ac:dyDescent="0.25">
      <c r="A1362" s="13"/>
      <c r="B1362" s="13"/>
    </row>
    <row r="1363" spans="1:2" x14ac:dyDescent="0.25">
      <c r="A1363" s="13"/>
      <c r="B1363" s="13"/>
    </row>
    <row r="1364" spans="1:2" x14ac:dyDescent="0.25">
      <c r="A1364" s="13"/>
      <c r="B1364" s="13"/>
    </row>
    <row r="1365" spans="1:2" x14ac:dyDescent="0.25">
      <c r="A1365" s="13"/>
      <c r="B1365" s="13"/>
    </row>
    <row r="1366" spans="1:2" x14ac:dyDescent="0.25">
      <c r="A1366" s="13"/>
      <c r="B1366" s="13"/>
    </row>
    <row r="1367" spans="1:2" x14ac:dyDescent="0.25">
      <c r="A1367" s="13"/>
      <c r="B1367" s="13"/>
    </row>
    <row r="1368" spans="1:2" x14ac:dyDescent="0.25">
      <c r="A1368" s="13"/>
      <c r="B1368" s="13"/>
    </row>
    <row r="1369" spans="1:2" x14ac:dyDescent="0.25">
      <c r="A1369" s="13"/>
      <c r="B1369" s="13"/>
    </row>
    <row r="1370" spans="1:2" x14ac:dyDescent="0.25">
      <c r="A1370" s="13"/>
      <c r="B1370" s="13"/>
    </row>
    <row r="1371" spans="1:2" x14ac:dyDescent="0.25">
      <c r="A1371" s="13"/>
      <c r="B1371" s="13"/>
    </row>
    <row r="1372" spans="1:2" x14ac:dyDescent="0.25">
      <c r="A1372" s="13"/>
      <c r="B1372" s="13"/>
    </row>
    <row r="1373" spans="1:2" x14ac:dyDescent="0.25">
      <c r="A1373" s="13"/>
      <c r="B1373" s="13"/>
    </row>
    <row r="1374" spans="1:2" x14ac:dyDescent="0.25">
      <c r="A1374" s="13"/>
      <c r="B1374" s="13"/>
    </row>
    <row r="1375" spans="1:2" x14ac:dyDescent="0.25">
      <c r="A1375" s="13"/>
      <c r="B1375" s="13"/>
    </row>
    <row r="1376" spans="1:2" x14ac:dyDescent="0.25">
      <c r="A1376" s="13"/>
      <c r="B1376" s="13"/>
    </row>
    <row r="1377" spans="1:2" x14ac:dyDescent="0.25">
      <c r="A1377" s="13"/>
      <c r="B1377" s="13"/>
    </row>
    <row r="1378" spans="1:2" x14ac:dyDescent="0.25">
      <c r="A1378" s="13"/>
      <c r="B1378" s="13"/>
    </row>
    <row r="1379" spans="1:2" x14ac:dyDescent="0.25">
      <c r="A1379" s="13"/>
      <c r="B1379" s="13"/>
    </row>
    <row r="1380" spans="1:2" x14ac:dyDescent="0.25">
      <c r="A1380" s="13"/>
      <c r="B1380" s="13"/>
    </row>
    <row r="1381" spans="1:2" x14ac:dyDescent="0.25">
      <c r="A1381" s="13"/>
      <c r="B1381" s="13"/>
    </row>
    <row r="1382" spans="1:2" x14ac:dyDescent="0.25">
      <c r="A1382" s="13"/>
      <c r="B1382" s="13"/>
    </row>
    <row r="1383" spans="1:2" x14ac:dyDescent="0.25">
      <c r="A1383" s="13"/>
      <c r="B1383" s="13"/>
    </row>
    <row r="1384" spans="1:2" x14ac:dyDescent="0.25">
      <c r="A1384" s="13"/>
      <c r="B1384" s="13"/>
    </row>
    <row r="1385" spans="1:2" x14ac:dyDescent="0.25">
      <c r="A1385" s="13"/>
      <c r="B1385" s="13"/>
    </row>
    <row r="1386" spans="1:2" x14ac:dyDescent="0.25">
      <c r="A1386" s="13"/>
      <c r="B1386" s="13"/>
    </row>
    <row r="1387" spans="1:2" x14ac:dyDescent="0.25">
      <c r="A1387" s="13"/>
      <c r="B1387" s="13"/>
    </row>
    <row r="1388" spans="1:2" x14ac:dyDescent="0.25">
      <c r="A1388" s="13"/>
      <c r="B1388" s="13"/>
    </row>
    <row r="1389" spans="1:2" x14ac:dyDescent="0.25">
      <c r="A1389" s="13"/>
      <c r="B1389" s="13"/>
    </row>
    <row r="1390" spans="1:2" x14ac:dyDescent="0.25">
      <c r="A1390" s="13"/>
      <c r="B1390" s="13"/>
    </row>
    <row r="1391" spans="1:2" x14ac:dyDescent="0.25">
      <c r="A1391" s="13"/>
      <c r="B1391" s="13"/>
    </row>
    <row r="1392" spans="1:2" x14ac:dyDescent="0.25">
      <c r="A1392" s="13"/>
      <c r="B1392" s="13"/>
    </row>
    <row r="1393" spans="1:2" x14ac:dyDescent="0.25">
      <c r="A1393" s="13"/>
      <c r="B1393" s="13"/>
    </row>
    <row r="1394" spans="1:2" x14ac:dyDescent="0.25">
      <c r="A1394" s="13"/>
      <c r="B1394" s="13"/>
    </row>
    <row r="1395" spans="1:2" x14ac:dyDescent="0.25">
      <c r="A1395" s="13"/>
      <c r="B1395" s="13"/>
    </row>
    <row r="1396" spans="1:2" x14ac:dyDescent="0.25">
      <c r="A1396" s="13"/>
      <c r="B1396" s="13"/>
    </row>
    <row r="1397" spans="1:2" x14ac:dyDescent="0.25">
      <c r="A1397" s="13"/>
      <c r="B1397" s="13"/>
    </row>
    <row r="1398" spans="1:2" x14ac:dyDescent="0.25">
      <c r="A1398" s="13"/>
      <c r="B1398" s="13"/>
    </row>
    <row r="1399" spans="1:2" x14ac:dyDescent="0.25">
      <c r="A1399" s="13"/>
      <c r="B1399" s="13"/>
    </row>
    <row r="1400" spans="1:2" x14ac:dyDescent="0.25">
      <c r="A1400" s="13"/>
      <c r="B1400" s="13"/>
    </row>
    <row r="1401" spans="1:2" x14ac:dyDescent="0.25">
      <c r="A1401" s="13"/>
      <c r="B1401" s="13"/>
    </row>
    <row r="1402" spans="1:2" x14ac:dyDescent="0.25">
      <c r="A1402" s="13"/>
      <c r="B1402" s="13"/>
    </row>
    <row r="1403" spans="1:2" x14ac:dyDescent="0.25">
      <c r="A1403" s="13"/>
      <c r="B1403" s="13"/>
    </row>
    <row r="1404" spans="1:2" x14ac:dyDescent="0.25">
      <c r="A1404" s="13"/>
      <c r="B1404" s="13"/>
    </row>
    <row r="1405" spans="1:2" x14ac:dyDescent="0.25">
      <c r="A1405" s="13"/>
      <c r="B1405" s="13"/>
    </row>
    <row r="1406" spans="1:2" x14ac:dyDescent="0.25">
      <c r="A1406" s="13"/>
      <c r="B1406" s="13"/>
    </row>
    <row r="1407" spans="1:2" x14ac:dyDescent="0.25">
      <c r="A1407" s="13"/>
      <c r="B1407" s="13"/>
    </row>
    <row r="1408" spans="1:2" x14ac:dyDescent="0.25">
      <c r="A1408" s="13"/>
      <c r="B1408" s="13"/>
    </row>
    <row r="1409" spans="1:2" x14ac:dyDescent="0.25">
      <c r="A1409" s="13"/>
      <c r="B1409" s="13"/>
    </row>
    <row r="1410" spans="1:2" x14ac:dyDescent="0.25">
      <c r="A1410" s="13"/>
      <c r="B1410" s="13"/>
    </row>
    <row r="1411" spans="1:2" x14ac:dyDescent="0.25">
      <c r="A1411" s="13"/>
      <c r="B1411" s="13"/>
    </row>
    <row r="1412" spans="1:2" x14ac:dyDescent="0.25">
      <c r="A1412" s="13"/>
      <c r="B1412" s="13"/>
    </row>
    <row r="1413" spans="1:2" x14ac:dyDescent="0.25">
      <c r="A1413" s="13"/>
      <c r="B1413" s="13"/>
    </row>
    <row r="1414" spans="1:2" x14ac:dyDescent="0.25">
      <c r="A1414" s="13"/>
      <c r="B1414" s="13"/>
    </row>
    <row r="1415" spans="1:2" x14ac:dyDescent="0.25">
      <c r="A1415" s="13"/>
      <c r="B1415" s="13"/>
    </row>
    <row r="1416" spans="1:2" x14ac:dyDescent="0.25">
      <c r="A1416" s="13"/>
      <c r="B1416" s="13"/>
    </row>
    <row r="1417" spans="1:2" x14ac:dyDescent="0.25">
      <c r="A1417" s="13"/>
      <c r="B1417" s="13"/>
    </row>
    <row r="1418" spans="1:2" x14ac:dyDescent="0.25">
      <c r="A1418" s="13"/>
      <c r="B1418" s="13"/>
    </row>
    <row r="1419" spans="1:2" x14ac:dyDescent="0.25">
      <c r="A1419" s="13"/>
      <c r="B1419" s="13"/>
    </row>
    <row r="1420" spans="1:2" x14ac:dyDescent="0.25">
      <c r="A1420" s="13"/>
      <c r="B1420" s="13"/>
    </row>
    <row r="1421" spans="1:2" x14ac:dyDescent="0.25">
      <c r="A1421" s="13"/>
      <c r="B1421" s="13"/>
    </row>
    <row r="1422" spans="1:2" x14ac:dyDescent="0.25">
      <c r="A1422" s="13"/>
      <c r="B1422" s="13"/>
    </row>
    <row r="1423" spans="1:2" x14ac:dyDescent="0.25">
      <c r="A1423" s="13"/>
      <c r="B1423" s="13"/>
    </row>
    <row r="1424" spans="1:2" x14ac:dyDescent="0.25">
      <c r="A1424" s="13"/>
      <c r="B1424" s="13"/>
    </row>
    <row r="1425" spans="1:2" x14ac:dyDescent="0.25">
      <c r="A1425" s="13"/>
      <c r="B1425" s="13"/>
    </row>
    <row r="1426" spans="1:2" x14ac:dyDescent="0.25">
      <c r="A1426" s="13"/>
      <c r="B1426" s="13"/>
    </row>
    <row r="1427" spans="1:2" x14ac:dyDescent="0.25">
      <c r="A1427" s="13"/>
      <c r="B1427" s="13"/>
    </row>
    <row r="1428" spans="1:2" x14ac:dyDescent="0.25">
      <c r="A1428" s="13"/>
      <c r="B1428" s="13"/>
    </row>
    <row r="1429" spans="1:2" x14ac:dyDescent="0.25">
      <c r="A1429" s="13"/>
      <c r="B1429" s="13"/>
    </row>
    <row r="1430" spans="1:2" x14ac:dyDescent="0.25">
      <c r="A1430" s="13"/>
      <c r="B1430" s="13"/>
    </row>
    <row r="1431" spans="1:2" x14ac:dyDescent="0.25">
      <c r="A1431" s="13"/>
      <c r="B1431" s="13"/>
    </row>
    <row r="1432" spans="1:2" x14ac:dyDescent="0.25">
      <c r="A1432" s="13"/>
      <c r="B1432" s="13"/>
    </row>
    <row r="1433" spans="1:2" x14ac:dyDescent="0.25">
      <c r="A1433" s="13"/>
      <c r="B1433" s="13"/>
    </row>
    <row r="1434" spans="1:2" x14ac:dyDescent="0.25">
      <c r="A1434" s="13"/>
      <c r="B1434" s="13"/>
    </row>
    <row r="1435" spans="1:2" x14ac:dyDescent="0.25">
      <c r="A1435" s="13"/>
      <c r="B1435" s="13"/>
    </row>
    <row r="1436" spans="1:2" x14ac:dyDescent="0.25">
      <c r="A1436" s="13"/>
      <c r="B1436" s="13"/>
    </row>
    <row r="1437" spans="1:2" x14ac:dyDescent="0.25">
      <c r="A1437" s="13"/>
      <c r="B1437" s="13"/>
    </row>
    <row r="1438" spans="1:2" x14ac:dyDescent="0.25">
      <c r="A1438" s="13"/>
      <c r="B1438" s="13"/>
    </row>
    <row r="1439" spans="1:2" x14ac:dyDescent="0.25">
      <c r="A1439" s="13"/>
      <c r="B1439" s="13"/>
    </row>
    <row r="1440" spans="1:2" x14ac:dyDescent="0.25">
      <c r="A1440" s="13"/>
      <c r="B1440" s="13"/>
    </row>
    <row r="1441" spans="1:2" x14ac:dyDescent="0.25">
      <c r="A1441" s="13"/>
      <c r="B1441" s="13"/>
    </row>
    <row r="1442" spans="1:2" x14ac:dyDescent="0.25">
      <c r="A1442" s="13"/>
      <c r="B1442" s="13"/>
    </row>
    <row r="1443" spans="1:2" x14ac:dyDescent="0.25">
      <c r="A1443" s="13"/>
      <c r="B1443" s="13"/>
    </row>
    <row r="1444" spans="1:2" x14ac:dyDescent="0.25">
      <c r="A1444" s="13"/>
      <c r="B1444" s="13"/>
    </row>
    <row r="1445" spans="1:2" x14ac:dyDescent="0.25">
      <c r="A1445" s="13"/>
      <c r="B1445" s="13"/>
    </row>
    <row r="1446" spans="1:2" x14ac:dyDescent="0.25">
      <c r="A1446" s="13"/>
      <c r="B1446" s="13"/>
    </row>
    <row r="1447" spans="1:2" x14ac:dyDescent="0.25">
      <c r="A1447" s="13"/>
      <c r="B1447" s="13"/>
    </row>
    <row r="1448" spans="1:2" x14ac:dyDescent="0.25">
      <c r="A1448" s="13"/>
      <c r="B1448" s="13"/>
    </row>
    <row r="1449" spans="1:2" x14ac:dyDescent="0.25">
      <c r="A1449" s="13"/>
      <c r="B1449" s="13"/>
    </row>
    <row r="1450" spans="1:2" x14ac:dyDescent="0.25">
      <c r="A1450" s="13"/>
      <c r="B1450" s="13"/>
    </row>
    <row r="1451" spans="1:2" x14ac:dyDescent="0.25">
      <c r="A1451" s="13"/>
      <c r="B1451" s="13"/>
    </row>
    <row r="1452" spans="1:2" x14ac:dyDescent="0.25">
      <c r="A1452" s="13"/>
      <c r="B1452" s="13"/>
    </row>
    <row r="1453" spans="1:2" x14ac:dyDescent="0.25">
      <c r="A1453" s="13"/>
      <c r="B1453" s="13"/>
    </row>
    <row r="1454" spans="1:2" x14ac:dyDescent="0.25">
      <c r="A1454" s="13"/>
      <c r="B1454" s="13"/>
    </row>
    <row r="1455" spans="1:2" x14ac:dyDescent="0.25">
      <c r="A1455" s="13"/>
      <c r="B1455" s="13"/>
    </row>
    <row r="1456" spans="1:2" x14ac:dyDescent="0.25">
      <c r="A1456" s="13"/>
      <c r="B1456" s="13"/>
    </row>
    <row r="1457" spans="1:2" x14ac:dyDescent="0.25">
      <c r="A1457" s="13"/>
      <c r="B1457" s="13"/>
    </row>
    <row r="1458" spans="1:2" x14ac:dyDescent="0.25">
      <c r="A1458" s="13"/>
      <c r="B1458" s="13"/>
    </row>
    <row r="1459" spans="1:2" x14ac:dyDescent="0.25">
      <c r="A1459" s="13"/>
      <c r="B1459" s="13"/>
    </row>
    <row r="1460" spans="1:2" x14ac:dyDescent="0.25">
      <c r="A1460" s="13"/>
      <c r="B1460" s="13"/>
    </row>
    <row r="1461" spans="1:2" x14ac:dyDescent="0.25">
      <c r="A1461" s="13"/>
      <c r="B1461" s="13"/>
    </row>
    <row r="1462" spans="1:2" x14ac:dyDescent="0.25">
      <c r="A1462" s="13"/>
      <c r="B1462" s="13"/>
    </row>
    <row r="1463" spans="1:2" x14ac:dyDescent="0.25">
      <c r="A1463" s="13"/>
      <c r="B1463" s="13"/>
    </row>
    <row r="1464" spans="1:2" x14ac:dyDescent="0.25">
      <c r="A1464" s="13"/>
      <c r="B1464" s="13"/>
    </row>
    <row r="1465" spans="1:2" x14ac:dyDescent="0.25">
      <c r="A1465" s="13"/>
      <c r="B1465" s="13"/>
    </row>
    <row r="1466" spans="1:2" x14ac:dyDescent="0.25">
      <c r="A1466" s="13"/>
      <c r="B1466" s="13"/>
    </row>
    <row r="1467" spans="1:2" x14ac:dyDescent="0.25">
      <c r="A1467" s="13"/>
      <c r="B1467" s="13"/>
    </row>
    <row r="1468" spans="1:2" x14ac:dyDescent="0.25">
      <c r="A1468" s="13"/>
      <c r="B1468" s="13"/>
    </row>
    <row r="1469" spans="1:2" x14ac:dyDescent="0.25">
      <c r="A1469" s="13"/>
      <c r="B1469" s="13"/>
    </row>
    <row r="1470" spans="1:2" x14ac:dyDescent="0.25">
      <c r="A1470" s="13"/>
      <c r="B1470" s="13"/>
    </row>
    <row r="1471" spans="1:2" x14ac:dyDescent="0.25">
      <c r="A1471" s="13"/>
      <c r="B1471" s="13"/>
    </row>
    <row r="1472" spans="1:2" x14ac:dyDescent="0.25">
      <c r="A1472" s="13"/>
      <c r="B1472" s="13"/>
    </row>
    <row r="1473" spans="1:2" x14ac:dyDescent="0.25">
      <c r="A1473" s="13"/>
      <c r="B1473" s="13"/>
    </row>
    <row r="1474" spans="1:2" x14ac:dyDescent="0.25">
      <c r="A1474" s="13"/>
      <c r="B1474" s="13"/>
    </row>
    <row r="1475" spans="1:2" x14ac:dyDescent="0.25">
      <c r="A1475" s="13"/>
      <c r="B1475" s="13"/>
    </row>
    <row r="1476" spans="1:2" x14ac:dyDescent="0.25">
      <c r="A1476" s="13"/>
      <c r="B1476" s="13"/>
    </row>
    <row r="1477" spans="1:2" x14ac:dyDescent="0.25">
      <c r="A1477" s="13"/>
      <c r="B1477" s="13"/>
    </row>
    <row r="1478" spans="1:2" x14ac:dyDescent="0.25">
      <c r="A1478" s="13"/>
      <c r="B1478" s="13"/>
    </row>
    <row r="1479" spans="1:2" x14ac:dyDescent="0.25">
      <c r="A1479" s="13"/>
      <c r="B1479" s="13"/>
    </row>
    <row r="1480" spans="1:2" x14ac:dyDescent="0.25">
      <c r="A1480" s="13"/>
      <c r="B1480" s="13"/>
    </row>
    <row r="1481" spans="1:2" x14ac:dyDescent="0.25">
      <c r="A1481" s="13"/>
      <c r="B1481" s="13"/>
    </row>
    <row r="1482" spans="1:2" x14ac:dyDescent="0.25">
      <c r="A1482" s="13"/>
      <c r="B1482" s="13"/>
    </row>
    <row r="1483" spans="1:2" x14ac:dyDescent="0.25">
      <c r="A1483" s="13"/>
      <c r="B1483" s="13"/>
    </row>
    <row r="1484" spans="1:2" x14ac:dyDescent="0.25">
      <c r="A1484" s="13"/>
      <c r="B1484" s="13"/>
    </row>
    <row r="1485" spans="1:2" x14ac:dyDescent="0.25">
      <c r="A1485" s="13"/>
      <c r="B1485" s="13"/>
    </row>
    <row r="1486" spans="1:2" x14ac:dyDescent="0.25">
      <c r="A1486" s="13"/>
      <c r="B1486" s="13"/>
    </row>
    <row r="1487" spans="1:2" x14ac:dyDescent="0.25">
      <c r="A1487" s="13"/>
      <c r="B1487" s="13"/>
    </row>
    <row r="1488" spans="1:2" x14ac:dyDescent="0.25">
      <c r="A1488" s="13"/>
      <c r="B1488" s="13"/>
    </row>
    <row r="1489" spans="1:2" x14ac:dyDescent="0.25">
      <c r="A1489" s="13"/>
      <c r="B1489" s="13"/>
    </row>
    <row r="1490" spans="1:2" x14ac:dyDescent="0.25">
      <c r="A1490" s="13"/>
      <c r="B1490" s="13"/>
    </row>
    <row r="1491" spans="1:2" x14ac:dyDescent="0.25">
      <c r="A1491" s="13"/>
      <c r="B1491" s="13"/>
    </row>
    <row r="1492" spans="1:2" x14ac:dyDescent="0.25">
      <c r="A1492" s="13"/>
      <c r="B1492" s="13"/>
    </row>
    <row r="1493" spans="1:2" x14ac:dyDescent="0.25">
      <c r="A1493" s="13"/>
      <c r="B1493" s="13"/>
    </row>
    <row r="1494" spans="1:2" x14ac:dyDescent="0.25">
      <c r="A1494" s="13"/>
      <c r="B1494" s="13"/>
    </row>
    <row r="1495" spans="1:2" x14ac:dyDescent="0.25">
      <c r="A1495" s="13"/>
      <c r="B1495" s="13"/>
    </row>
    <row r="1496" spans="1:2" x14ac:dyDescent="0.25">
      <c r="A1496" s="13"/>
      <c r="B1496" s="13"/>
    </row>
    <row r="1497" spans="1:2" x14ac:dyDescent="0.25">
      <c r="A1497" s="13"/>
      <c r="B1497" s="13"/>
    </row>
    <row r="1498" spans="1:2" x14ac:dyDescent="0.25">
      <c r="A1498" s="13"/>
      <c r="B1498" s="13"/>
    </row>
    <row r="1499" spans="1:2" x14ac:dyDescent="0.25">
      <c r="A1499" s="13"/>
      <c r="B1499" s="13"/>
    </row>
    <row r="1500" spans="1:2" x14ac:dyDescent="0.25">
      <c r="A1500" s="13"/>
      <c r="B1500" s="13"/>
    </row>
    <row r="1501" spans="1:2" x14ac:dyDescent="0.25">
      <c r="A1501" s="13"/>
      <c r="B1501" s="13"/>
    </row>
    <row r="1502" spans="1:2" x14ac:dyDescent="0.25">
      <c r="A1502" s="13"/>
      <c r="B1502" s="13"/>
    </row>
    <row r="1503" spans="1:2" x14ac:dyDescent="0.25">
      <c r="A1503" s="13"/>
      <c r="B1503" s="13"/>
    </row>
    <row r="1504" spans="1:2" x14ac:dyDescent="0.25">
      <c r="A1504" s="13"/>
      <c r="B1504" s="13"/>
    </row>
    <row r="1505" spans="1:2" x14ac:dyDescent="0.25">
      <c r="A1505" s="13"/>
      <c r="B1505" s="13"/>
    </row>
    <row r="1506" spans="1:2" x14ac:dyDescent="0.25">
      <c r="A1506" s="13"/>
      <c r="B1506" s="13"/>
    </row>
    <row r="1507" spans="1:2" x14ac:dyDescent="0.25">
      <c r="A1507" s="13"/>
      <c r="B1507" s="13"/>
    </row>
    <row r="1508" spans="1:2" x14ac:dyDescent="0.25">
      <c r="A1508" s="13"/>
      <c r="B1508" s="13"/>
    </row>
    <row r="1509" spans="1:2" x14ac:dyDescent="0.25">
      <c r="A1509" s="13"/>
      <c r="B1509" s="13"/>
    </row>
    <row r="1510" spans="1:2" x14ac:dyDescent="0.25">
      <c r="A1510" s="13"/>
      <c r="B1510" s="13"/>
    </row>
    <row r="1511" spans="1:2" x14ac:dyDescent="0.25">
      <c r="A1511" s="13"/>
      <c r="B1511" s="13"/>
    </row>
    <row r="1512" spans="1:2" x14ac:dyDescent="0.25">
      <c r="A1512" s="13"/>
      <c r="B1512" s="13"/>
    </row>
    <row r="1513" spans="1:2" x14ac:dyDescent="0.25">
      <c r="A1513" s="13"/>
      <c r="B1513" s="13"/>
    </row>
    <row r="1514" spans="1:2" x14ac:dyDescent="0.25">
      <c r="A1514" s="13"/>
      <c r="B1514" s="13"/>
    </row>
    <row r="1515" spans="1:2" x14ac:dyDescent="0.25">
      <c r="A1515" s="13"/>
      <c r="B1515" s="13"/>
    </row>
    <row r="1516" spans="1:2" x14ac:dyDescent="0.25">
      <c r="A1516" s="13"/>
      <c r="B1516" s="13"/>
    </row>
    <row r="1517" spans="1:2" x14ac:dyDescent="0.25">
      <c r="A1517" s="13"/>
      <c r="B1517" s="13"/>
    </row>
    <row r="1518" spans="1:2" x14ac:dyDescent="0.25">
      <c r="A1518" s="13"/>
      <c r="B1518" s="13"/>
    </row>
    <row r="1519" spans="1:2" x14ac:dyDescent="0.25">
      <c r="A1519" s="13"/>
      <c r="B1519" s="13"/>
    </row>
    <row r="1520" spans="1:2" x14ac:dyDescent="0.25">
      <c r="A1520" s="13"/>
      <c r="B1520" s="13"/>
    </row>
    <row r="1521" spans="1:2" x14ac:dyDescent="0.25">
      <c r="A1521" s="13"/>
      <c r="B1521" s="13"/>
    </row>
    <row r="1522" spans="1:2" x14ac:dyDescent="0.25">
      <c r="A1522" s="13"/>
      <c r="B1522" s="13"/>
    </row>
    <row r="1523" spans="1:2" x14ac:dyDescent="0.25">
      <c r="A1523" s="13"/>
      <c r="B1523" s="13"/>
    </row>
    <row r="1524" spans="1:2" x14ac:dyDescent="0.25">
      <c r="A1524" s="13"/>
      <c r="B1524" s="13"/>
    </row>
    <row r="1525" spans="1:2" x14ac:dyDescent="0.25">
      <c r="A1525" s="13"/>
      <c r="B1525" s="13"/>
    </row>
    <row r="1526" spans="1:2" x14ac:dyDescent="0.25">
      <c r="A1526" s="13"/>
      <c r="B1526" s="13"/>
    </row>
    <row r="1527" spans="1:2" x14ac:dyDescent="0.25">
      <c r="A1527" s="13"/>
      <c r="B1527" s="13"/>
    </row>
    <row r="1528" spans="1:2" x14ac:dyDescent="0.25">
      <c r="A1528" s="13"/>
      <c r="B1528" s="13"/>
    </row>
    <row r="1529" spans="1:2" x14ac:dyDescent="0.25">
      <c r="A1529" s="13"/>
      <c r="B1529" s="13"/>
    </row>
    <row r="1530" spans="1:2" x14ac:dyDescent="0.25">
      <c r="A1530" s="13"/>
      <c r="B1530" s="13"/>
    </row>
    <row r="1531" spans="1:2" x14ac:dyDescent="0.25">
      <c r="A1531" s="13"/>
      <c r="B1531" s="13"/>
    </row>
    <row r="1532" spans="1:2" x14ac:dyDescent="0.25">
      <c r="A1532" s="13"/>
      <c r="B1532" s="13"/>
    </row>
    <row r="1533" spans="1:2" x14ac:dyDescent="0.25">
      <c r="A1533" s="13"/>
      <c r="B1533" s="13"/>
    </row>
    <row r="1534" spans="1:2" x14ac:dyDescent="0.25">
      <c r="A1534" s="13"/>
      <c r="B1534" s="13"/>
    </row>
    <row r="1535" spans="1:2" x14ac:dyDescent="0.25">
      <c r="A1535" s="13"/>
      <c r="B1535" s="13"/>
    </row>
    <row r="1536" spans="1:2" x14ac:dyDescent="0.25">
      <c r="A1536" s="13"/>
      <c r="B1536" s="13"/>
    </row>
    <row r="1537" spans="1:2" x14ac:dyDescent="0.25">
      <c r="A1537" s="13"/>
      <c r="B1537" s="13"/>
    </row>
    <row r="1538" spans="1:2" x14ac:dyDescent="0.25">
      <c r="A1538" s="13"/>
      <c r="B1538" s="13"/>
    </row>
    <row r="1539" spans="1:2" x14ac:dyDescent="0.25">
      <c r="A1539" s="13"/>
      <c r="B1539" s="13"/>
    </row>
    <row r="1540" spans="1:2" x14ac:dyDescent="0.25">
      <c r="A1540" s="13"/>
      <c r="B1540" s="13"/>
    </row>
    <row r="1541" spans="1:2" x14ac:dyDescent="0.25">
      <c r="A1541" s="13"/>
      <c r="B1541" s="13"/>
    </row>
    <row r="1542" spans="1:2" x14ac:dyDescent="0.25">
      <c r="A1542" s="13"/>
      <c r="B1542" s="13"/>
    </row>
    <row r="1543" spans="1:2" x14ac:dyDescent="0.25">
      <c r="A1543" s="13"/>
      <c r="B1543" s="13"/>
    </row>
    <row r="1544" spans="1:2" x14ac:dyDescent="0.25">
      <c r="A1544" s="13"/>
      <c r="B1544" s="13"/>
    </row>
    <row r="1545" spans="1:2" x14ac:dyDescent="0.25">
      <c r="A1545" s="13"/>
      <c r="B1545" s="13"/>
    </row>
    <row r="1546" spans="1:2" x14ac:dyDescent="0.25">
      <c r="A1546" s="13"/>
      <c r="B1546" s="13"/>
    </row>
    <row r="1547" spans="1:2" x14ac:dyDescent="0.25">
      <c r="A1547" s="13"/>
      <c r="B1547" s="13"/>
    </row>
    <row r="1548" spans="1:2" x14ac:dyDescent="0.25">
      <c r="A1548" s="13"/>
      <c r="B1548" s="13"/>
    </row>
    <row r="1549" spans="1:2" x14ac:dyDescent="0.25">
      <c r="A1549" s="13"/>
      <c r="B1549" s="13"/>
    </row>
    <row r="1550" spans="1:2" x14ac:dyDescent="0.25">
      <c r="A1550" s="13"/>
      <c r="B1550" s="13"/>
    </row>
    <row r="1551" spans="1:2" x14ac:dyDescent="0.25">
      <c r="A1551" s="13"/>
      <c r="B1551" s="13"/>
    </row>
    <row r="1552" spans="1:2" x14ac:dyDescent="0.25">
      <c r="A1552" s="13"/>
      <c r="B1552" s="13"/>
    </row>
    <row r="1553" spans="1:2" x14ac:dyDescent="0.25">
      <c r="A1553" s="13"/>
      <c r="B1553" s="13"/>
    </row>
    <row r="1554" spans="1:2" x14ac:dyDescent="0.25">
      <c r="A1554" s="13"/>
      <c r="B1554" s="13"/>
    </row>
    <row r="1555" spans="1:2" x14ac:dyDescent="0.25">
      <c r="A1555" s="13"/>
      <c r="B1555" s="13"/>
    </row>
    <row r="1556" spans="1:2" x14ac:dyDescent="0.25">
      <c r="A1556" s="13"/>
      <c r="B1556" s="13"/>
    </row>
    <row r="1557" spans="1:2" x14ac:dyDescent="0.25">
      <c r="A1557" s="13"/>
      <c r="B1557" s="13"/>
    </row>
    <row r="1558" spans="1:2" x14ac:dyDescent="0.25">
      <c r="A1558" s="13"/>
      <c r="B1558" s="13"/>
    </row>
    <row r="1559" spans="1:2" x14ac:dyDescent="0.25">
      <c r="A1559" s="13"/>
      <c r="B1559" s="13"/>
    </row>
    <row r="1560" spans="1:2" x14ac:dyDescent="0.25">
      <c r="A1560" s="13"/>
      <c r="B1560" s="13"/>
    </row>
    <row r="1561" spans="1:2" x14ac:dyDescent="0.25">
      <c r="A1561" s="13"/>
      <c r="B1561" s="13"/>
    </row>
    <row r="1562" spans="1:2" x14ac:dyDescent="0.25">
      <c r="A1562" s="13"/>
      <c r="B1562" s="13"/>
    </row>
    <row r="1563" spans="1:2" x14ac:dyDescent="0.25">
      <c r="A1563" s="13"/>
      <c r="B1563" s="13"/>
    </row>
    <row r="1564" spans="1:2" x14ac:dyDescent="0.25">
      <c r="A1564" s="13"/>
      <c r="B1564" s="13"/>
    </row>
    <row r="1565" spans="1:2" x14ac:dyDescent="0.25">
      <c r="A1565" s="13"/>
      <c r="B1565" s="13"/>
    </row>
    <row r="1566" spans="1:2" x14ac:dyDescent="0.25">
      <c r="A1566" s="13"/>
      <c r="B1566" s="13"/>
    </row>
    <row r="1567" spans="1:2" x14ac:dyDescent="0.25">
      <c r="A1567" s="13"/>
      <c r="B1567" s="13"/>
    </row>
    <row r="1568" spans="1:2" x14ac:dyDescent="0.25">
      <c r="A1568" s="13"/>
      <c r="B1568" s="13"/>
    </row>
    <row r="1569" spans="1:2" x14ac:dyDescent="0.25">
      <c r="A1569" s="13"/>
      <c r="B1569" s="13"/>
    </row>
    <row r="1570" spans="1:2" x14ac:dyDescent="0.25">
      <c r="A1570" s="13"/>
      <c r="B1570" s="13"/>
    </row>
    <row r="1571" spans="1:2" x14ac:dyDescent="0.25">
      <c r="A1571" s="13"/>
      <c r="B1571" s="13"/>
    </row>
    <row r="1572" spans="1:2" x14ac:dyDescent="0.25">
      <c r="A1572" s="13"/>
      <c r="B1572" s="13"/>
    </row>
    <row r="1573" spans="1:2" x14ac:dyDescent="0.25">
      <c r="A1573" s="13"/>
      <c r="B1573" s="13"/>
    </row>
    <row r="1574" spans="1:2" x14ac:dyDescent="0.25">
      <c r="A1574" s="13"/>
      <c r="B1574" s="13"/>
    </row>
    <row r="1575" spans="1:2" x14ac:dyDescent="0.25">
      <c r="A1575" s="13"/>
      <c r="B1575" s="13"/>
    </row>
    <row r="1576" spans="1:2" x14ac:dyDescent="0.25">
      <c r="A1576" s="13"/>
      <c r="B1576" s="13"/>
    </row>
    <row r="1577" spans="1:2" x14ac:dyDescent="0.25">
      <c r="A1577" s="13"/>
      <c r="B1577" s="13"/>
    </row>
    <row r="1578" spans="1:2" x14ac:dyDescent="0.25">
      <c r="A1578" s="13"/>
      <c r="B1578" s="13"/>
    </row>
    <row r="1579" spans="1:2" x14ac:dyDescent="0.25">
      <c r="A1579" s="13"/>
      <c r="B1579" s="13"/>
    </row>
    <row r="1580" spans="1:2" x14ac:dyDescent="0.25">
      <c r="A1580" s="13"/>
      <c r="B1580" s="13"/>
    </row>
    <row r="1581" spans="1:2" x14ac:dyDescent="0.25">
      <c r="A1581" s="13"/>
      <c r="B1581" s="13"/>
    </row>
    <row r="1582" spans="1:2" x14ac:dyDescent="0.25">
      <c r="A1582" s="13"/>
      <c r="B1582" s="13"/>
    </row>
    <row r="1583" spans="1:2" x14ac:dyDescent="0.25">
      <c r="A1583" s="13"/>
      <c r="B1583" s="13"/>
    </row>
    <row r="1584" spans="1:2" x14ac:dyDescent="0.25">
      <c r="A1584" s="13"/>
      <c r="B1584" s="13"/>
    </row>
    <row r="1585" spans="1:2" x14ac:dyDescent="0.25">
      <c r="A1585" s="13"/>
      <c r="B1585" s="13"/>
    </row>
    <row r="1586" spans="1:2" x14ac:dyDescent="0.25">
      <c r="A1586" s="13"/>
      <c r="B1586" s="13"/>
    </row>
    <row r="1587" spans="1:2" x14ac:dyDescent="0.25">
      <c r="A1587" s="13"/>
      <c r="B1587" s="13"/>
    </row>
    <row r="1588" spans="1:2" x14ac:dyDescent="0.25">
      <c r="A1588" s="13"/>
      <c r="B1588" s="13"/>
    </row>
    <row r="1589" spans="1:2" x14ac:dyDescent="0.25">
      <c r="A1589" s="13"/>
      <c r="B1589" s="13"/>
    </row>
    <row r="1590" spans="1:2" x14ac:dyDescent="0.25">
      <c r="A1590" s="13"/>
      <c r="B1590" s="13"/>
    </row>
    <row r="1591" spans="1:2" x14ac:dyDescent="0.25">
      <c r="A1591" s="13"/>
      <c r="B1591" s="13"/>
    </row>
    <row r="1592" spans="1:2" x14ac:dyDescent="0.25">
      <c r="A1592" s="13"/>
      <c r="B1592" s="13"/>
    </row>
    <row r="1593" spans="1:2" x14ac:dyDescent="0.25">
      <c r="A1593" s="13"/>
      <c r="B1593" s="13"/>
    </row>
    <row r="1594" spans="1:2" x14ac:dyDescent="0.25">
      <c r="A1594" s="13"/>
      <c r="B1594" s="13"/>
    </row>
    <row r="1595" spans="1:2" x14ac:dyDescent="0.25">
      <c r="A1595" s="13"/>
      <c r="B1595" s="13"/>
    </row>
    <row r="1596" spans="1:2" x14ac:dyDescent="0.25">
      <c r="A1596" s="13"/>
      <c r="B1596" s="13"/>
    </row>
    <row r="1597" spans="1:2" x14ac:dyDescent="0.25">
      <c r="A1597" s="13"/>
      <c r="B1597" s="13"/>
    </row>
    <row r="1598" spans="1:2" x14ac:dyDescent="0.25">
      <c r="A1598" s="13"/>
      <c r="B1598" s="13"/>
    </row>
    <row r="1599" spans="1:2" x14ac:dyDescent="0.25">
      <c r="A1599" s="13"/>
      <c r="B1599" s="13"/>
    </row>
    <row r="1600" spans="1:2" x14ac:dyDescent="0.25">
      <c r="A1600" s="13"/>
      <c r="B1600" s="13"/>
    </row>
    <row r="1601" spans="1:2" x14ac:dyDescent="0.25">
      <c r="A1601" s="13"/>
      <c r="B1601" s="13"/>
    </row>
    <row r="1602" spans="1:2" x14ac:dyDescent="0.25">
      <c r="A1602" s="13"/>
      <c r="B1602" s="13"/>
    </row>
    <row r="1603" spans="1:2" x14ac:dyDescent="0.25">
      <c r="A1603" s="13"/>
      <c r="B1603" s="13"/>
    </row>
    <row r="1604" spans="1:2" x14ac:dyDescent="0.25">
      <c r="A1604" s="13"/>
      <c r="B1604" s="13"/>
    </row>
    <row r="1605" spans="1:2" x14ac:dyDescent="0.25">
      <c r="A1605" s="13"/>
      <c r="B1605" s="13"/>
    </row>
    <row r="1606" spans="1:2" x14ac:dyDescent="0.25">
      <c r="A1606" s="13"/>
      <c r="B1606" s="13"/>
    </row>
    <row r="1607" spans="1:2" x14ac:dyDescent="0.25">
      <c r="A1607" s="13"/>
      <c r="B1607" s="13"/>
    </row>
    <row r="1608" spans="1:2" x14ac:dyDescent="0.25">
      <c r="A1608" s="13"/>
      <c r="B1608" s="13"/>
    </row>
    <row r="1609" spans="1:2" x14ac:dyDescent="0.25">
      <c r="A1609" s="13"/>
      <c r="B1609" s="13"/>
    </row>
    <row r="1610" spans="1:2" x14ac:dyDescent="0.25">
      <c r="A1610" s="13"/>
      <c r="B1610" s="13"/>
    </row>
    <row r="1611" spans="1:2" x14ac:dyDescent="0.25">
      <c r="A1611" s="13"/>
      <c r="B1611" s="13"/>
    </row>
    <row r="1612" spans="1:2" x14ac:dyDescent="0.25">
      <c r="A1612" s="13"/>
      <c r="B1612" s="13"/>
    </row>
    <row r="1613" spans="1:2" x14ac:dyDescent="0.25">
      <c r="A1613" s="13"/>
      <c r="B1613" s="13"/>
    </row>
    <row r="1614" spans="1:2" x14ac:dyDescent="0.25">
      <c r="A1614" s="13"/>
      <c r="B1614" s="13"/>
    </row>
    <row r="1615" spans="1:2" x14ac:dyDescent="0.25">
      <c r="A1615" s="13"/>
      <c r="B1615" s="13"/>
    </row>
    <row r="1616" spans="1:2" x14ac:dyDescent="0.25">
      <c r="A1616" s="13"/>
      <c r="B1616" s="13"/>
    </row>
    <row r="1617" spans="1:2" x14ac:dyDescent="0.25">
      <c r="A1617" s="13"/>
      <c r="B1617" s="13"/>
    </row>
    <row r="1618" spans="1:2" x14ac:dyDescent="0.25">
      <c r="A1618" s="13"/>
      <c r="B1618" s="13"/>
    </row>
    <row r="1619" spans="1:2" x14ac:dyDescent="0.25">
      <c r="A1619" s="13"/>
      <c r="B1619" s="13"/>
    </row>
    <row r="1620" spans="1:2" x14ac:dyDescent="0.25">
      <c r="A1620" s="13"/>
      <c r="B1620" s="13"/>
    </row>
    <row r="1621" spans="1:2" x14ac:dyDescent="0.25">
      <c r="A1621" s="13"/>
      <c r="B1621" s="13"/>
    </row>
    <row r="1622" spans="1:2" x14ac:dyDescent="0.25">
      <c r="A1622" s="13"/>
      <c r="B1622" s="13"/>
    </row>
    <row r="1623" spans="1:2" x14ac:dyDescent="0.25">
      <c r="A1623" s="13"/>
      <c r="B1623" s="13"/>
    </row>
    <row r="1624" spans="1:2" x14ac:dyDescent="0.25">
      <c r="A1624" s="13"/>
      <c r="B1624" s="13"/>
    </row>
    <row r="1625" spans="1:2" x14ac:dyDescent="0.25">
      <c r="A1625" s="13"/>
      <c r="B1625" s="13"/>
    </row>
    <row r="1626" spans="1:2" x14ac:dyDescent="0.25">
      <c r="A1626" s="13"/>
      <c r="B1626" s="13"/>
    </row>
    <row r="1627" spans="1:2" x14ac:dyDescent="0.25">
      <c r="A1627" s="13"/>
      <c r="B1627" s="13"/>
    </row>
    <row r="1628" spans="1:2" x14ac:dyDescent="0.25">
      <c r="A1628" s="13"/>
      <c r="B1628" s="13"/>
    </row>
    <row r="1629" spans="1:2" x14ac:dyDescent="0.25">
      <c r="A1629" s="13"/>
      <c r="B1629" s="13"/>
    </row>
    <row r="1630" spans="1:2" x14ac:dyDescent="0.25">
      <c r="A1630" s="13"/>
      <c r="B1630" s="13"/>
    </row>
    <row r="1631" spans="1:2" x14ac:dyDescent="0.25">
      <c r="A1631" s="13"/>
      <c r="B1631" s="13"/>
    </row>
    <row r="1632" spans="1:2" x14ac:dyDescent="0.25">
      <c r="A1632" s="13"/>
      <c r="B1632" s="13"/>
    </row>
    <row r="1633" spans="1:2" x14ac:dyDescent="0.25">
      <c r="A1633" s="13"/>
      <c r="B1633" s="13"/>
    </row>
    <row r="1634" spans="1:2" x14ac:dyDescent="0.25">
      <c r="A1634" s="13"/>
      <c r="B1634" s="13"/>
    </row>
    <row r="1635" spans="1:2" x14ac:dyDescent="0.25">
      <c r="A1635" s="13"/>
      <c r="B1635" s="13"/>
    </row>
    <row r="1636" spans="1:2" x14ac:dyDescent="0.25">
      <c r="A1636" s="13"/>
      <c r="B1636" s="13"/>
    </row>
    <row r="1637" spans="1:2" x14ac:dyDescent="0.25">
      <c r="A1637" s="13"/>
      <c r="B1637" s="13"/>
    </row>
    <row r="1638" spans="1:2" x14ac:dyDescent="0.25">
      <c r="A1638" s="13"/>
      <c r="B1638" s="13"/>
    </row>
    <row r="1639" spans="1:2" x14ac:dyDescent="0.25">
      <c r="A1639" s="13"/>
      <c r="B1639" s="13"/>
    </row>
    <row r="1640" spans="1:2" x14ac:dyDescent="0.25">
      <c r="A1640" s="13"/>
      <c r="B1640" s="13"/>
    </row>
    <row r="1641" spans="1:2" x14ac:dyDescent="0.25">
      <c r="A1641" s="13"/>
      <c r="B1641" s="13"/>
    </row>
    <row r="1642" spans="1:2" x14ac:dyDescent="0.25">
      <c r="A1642" s="13"/>
      <c r="B1642" s="13"/>
    </row>
    <row r="1643" spans="1:2" x14ac:dyDescent="0.25">
      <c r="A1643" s="13"/>
      <c r="B1643" s="13"/>
    </row>
    <row r="1644" spans="1:2" x14ac:dyDescent="0.25">
      <c r="A1644" s="13"/>
      <c r="B1644" s="13"/>
    </row>
    <row r="1645" spans="1:2" x14ac:dyDescent="0.25">
      <c r="A1645" s="13"/>
      <c r="B1645" s="13"/>
    </row>
    <row r="1646" spans="1:2" x14ac:dyDescent="0.25">
      <c r="A1646" s="13"/>
      <c r="B1646" s="13"/>
    </row>
    <row r="1647" spans="1:2" x14ac:dyDescent="0.25">
      <c r="A1647" s="13"/>
      <c r="B1647" s="13"/>
    </row>
    <row r="1648" spans="1:2" x14ac:dyDescent="0.25">
      <c r="A1648" s="13"/>
      <c r="B1648" s="13"/>
    </row>
    <row r="1649" spans="1:2" x14ac:dyDescent="0.25">
      <c r="A1649" s="13"/>
      <c r="B1649" s="13"/>
    </row>
    <row r="1650" spans="1:2" x14ac:dyDescent="0.25">
      <c r="A1650" s="13"/>
      <c r="B1650" s="13"/>
    </row>
    <row r="1651" spans="1:2" x14ac:dyDescent="0.25">
      <c r="A1651" s="13"/>
      <c r="B1651" s="13"/>
    </row>
    <row r="1652" spans="1:2" x14ac:dyDescent="0.25">
      <c r="A1652" s="13"/>
      <c r="B1652" s="13"/>
    </row>
    <row r="1653" spans="1:2" x14ac:dyDescent="0.25">
      <c r="A1653" s="13"/>
      <c r="B1653" s="13"/>
    </row>
    <row r="1654" spans="1:2" x14ac:dyDescent="0.25">
      <c r="A1654" s="13"/>
      <c r="B1654" s="13"/>
    </row>
    <row r="1655" spans="1:2" x14ac:dyDescent="0.25">
      <c r="A1655" s="13"/>
      <c r="B1655" s="13"/>
    </row>
    <row r="1656" spans="1:2" x14ac:dyDescent="0.25">
      <c r="A1656" s="13"/>
      <c r="B1656" s="13"/>
    </row>
    <row r="1657" spans="1:2" x14ac:dyDescent="0.25">
      <c r="A1657" s="13"/>
      <c r="B1657" s="13"/>
    </row>
    <row r="1658" spans="1:2" x14ac:dyDescent="0.25">
      <c r="A1658" s="13"/>
      <c r="B1658" s="13"/>
    </row>
    <row r="1659" spans="1:2" x14ac:dyDescent="0.25">
      <c r="A1659" s="13"/>
      <c r="B1659" s="13"/>
    </row>
    <row r="1660" spans="1:2" x14ac:dyDescent="0.25">
      <c r="A1660" s="13"/>
      <c r="B1660" s="13"/>
    </row>
    <row r="1661" spans="1:2" x14ac:dyDescent="0.25">
      <c r="A1661" s="13"/>
      <c r="B1661" s="13"/>
    </row>
    <row r="1662" spans="1:2" x14ac:dyDescent="0.25">
      <c r="A1662" s="13"/>
      <c r="B1662" s="13"/>
    </row>
    <row r="1663" spans="1:2" x14ac:dyDescent="0.25">
      <c r="A1663" s="13"/>
      <c r="B1663" s="13"/>
    </row>
    <row r="1664" spans="1:2" x14ac:dyDescent="0.25">
      <c r="A1664" s="13"/>
      <c r="B1664" s="13"/>
    </row>
    <row r="1665" spans="1:2" x14ac:dyDescent="0.25">
      <c r="A1665" s="13"/>
      <c r="B1665" s="13"/>
    </row>
    <row r="1666" spans="1:2" x14ac:dyDescent="0.25">
      <c r="A1666" s="13"/>
      <c r="B1666" s="13"/>
    </row>
    <row r="1667" spans="1:2" x14ac:dyDescent="0.25">
      <c r="A1667" s="13"/>
      <c r="B1667" s="13"/>
    </row>
    <row r="1668" spans="1:2" x14ac:dyDescent="0.25">
      <c r="A1668" s="13"/>
      <c r="B1668" s="13"/>
    </row>
    <row r="1669" spans="1:2" x14ac:dyDescent="0.25">
      <c r="A1669" s="13"/>
      <c r="B1669" s="13"/>
    </row>
    <row r="1670" spans="1:2" x14ac:dyDescent="0.25">
      <c r="A1670" s="13"/>
      <c r="B1670" s="13"/>
    </row>
    <row r="1671" spans="1:2" x14ac:dyDescent="0.25">
      <c r="A1671" s="13"/>
      <c r="B1671" s="13"/>
    </row>
    <row r="1672" spans="1:2" x14ac:dyDescent="0.25">
      <c r="A1672" s="13"/>
      <c r="B1672" s="13"/>
    </row>
    <row r="1673" spans="1:2" x14ac:dyDescent="0.25">
      <c r="A1673" s="13"/>
      <c r="B1673" s="13"/>
    </row>
    <row r="1674" spans="1:2" x14ac:dyDescent="0.25">
      <c r="A1674" s="13"/>
      <c r="B1674" s="13"/>
    </row>
    <row r="1675" spans="1:2" x14ac:dyDescent="0.25">
      <c r="A1675" s="13"/>
      <c r="B1675" s="13"/>
    </row>
    <row r="1676" spans="1:2" x14ac:dyDescent="0.25">
      <c r="A1676" s="13"/>
      <c r="B1676" s="13"/>
    </row>
    <row r="1677" spans="1:2" x14ac:dyDescent="0.25">
      <c r="A1677" s="13"/>
      <c r="B1677" s="13"/>
    </row>
    <row r="1678" spans="1:2" x14ac:dyDescent="0.25">
      <c r="A1678" s="13"/>
      <c r="B1678" s="13"/>
    </row>
    <row r="1679" spans="1:2" x14ac:dyDescent="0.25">
      <c r="A1679" s="13"/>
      <c r="B1679" s="13"/>
    </row>
    <row r="1680" spans="1:2" x14ac:dyDescent="0.25">
      <c r="A1680" s="13"/>
      <c r="B1680" s="13"/>
    </row>
    <row r="1681" spans="1:2" x14ac:dyDescent="0.25">
      <c r="A1681" s="13"/>
      <c r="B1681" s="13"/>
    </row>
    <row r="1682" spans="1:2" x14ac:dyDescent="0.25">
      <c r="A1682" s="13"/>
      <c r="B1682" s="13"/>
    </row>
    <row r="1683" spans="1:2" x14ac:dyDescent="0.25">
      <c r="A1683" s="13"/>
      <c r="B1683" s="13"/>
    </row>
    <row r="1684" spans="1:2" x14ac:dyDescent="0.25">
      <c r="A1684" s="13"/>
      <c r="B1684" s="13"/>
    </row>
    <row r="1685" spans="1:2" x14ac:dyDescent="0.25">
      <c r="A1685" s="13"/>
      <c r="B1685" s="13"/>
    </row>
    <row r="1686" spans="1:2" x14ac:dyDescent="0.25">
      <c r="A1686" s="13"/>
      <c r="B1686" s="13"/>
    </row>
    <row r="1687" spans="1:2" x14ac:dyDescent="0.25">
      <c r="A1687" s="13"/>
      <c r="B1687" s="13"/>
    </row>
    <row r="1688" spans="1:2" x14ac:dyDescent="0.25">
      <c r="A1688" s="13"/>
      <c r="B1688" s="13"/>
    </row>
    <row r="1689" spans="1:2" x14ac:dyDescent="0.25">
      <c r="A1689" s="13"/>
      <c r="B1689" s="13"/>
    </row>
    <row r="1690" spans="1:2" x14ac:dyDescent="0.25">
      <c r="A1690" s="13"/>
      <c r="B1690" s="13"/>
    </row>
    <row r="1691" spans="1:2" x14ac:dyDescent="0.25">
      <c r="A1691" s="13"/>
      <c r="B1691" s="13"/>
    </row>
    <row r="1692" spans="1:2" x14ac:dyDescent="0.25">
      <c r="A1692" s="13"/>
      <c r="B1692" s="13"/>
    </row>
    <row r="1693" spans="1:2" x14ac:dyDescent="0.25">
      <c r="A1693" s="13"/>
      <c r="B1693" s="13"/>
    </row>
    <row r="1694" spans="1:2" x14ac:dyDescent="0.25">
      <c r="A1694" s="13"/>
      <c r="B1694" s="13"/>
    </row>
    <row r="1695" spans="1:2" x14ac:dyDescent="0.25">
      <c r="A1695" s="13"/>
      <c r="B1695" s="13"/>
    </row>
    <row r="1696" spans="1:2" x14ac:dyDescent="0.25">
      <c r="A1696" s="13"/>
      <c r="B1696" s="13"/>
    </row>
    <row r="1697" spans="1:2" x14ac:dyDescent="0.25">
      <c r="A1697" s="13"/>
      <c r="B1697" s="13"/>
    </row>
    <row r="1698" spans="1:2" x14ac:dyDescent="0.25">
      <c r="A1698" s="13"/>
      <c r="B1698" s="13"/>
    </row>
    <row r="1699" spans="1:2" x14ac:dyDescent="0.25">
      <c r="A1699" s="13"/>
      <c r="B1699" s="13"/>
    </row>
    <row r="1700" spans="1:2" x14ac:dyDescent="0.25">
      <c r="A1700" s="13"/>
      <c r="B1700" s="13"/>
    </row>
    <row r="1701" spans="1:2" x14ac:dyDescent="0.25">
      <c r="A1701" s="13"/>
      <c r="B1701" s="13"/>
    </row>
    <row r="1702" spans="1:2" x14ac:dyDescent="0.25">
      <c r="A1702" s="13"/>
      <c r="B1702" s="13"/>
    </row>
    <row r="1703" spans="1:2" x14ac:dyDescent="0.25">
      <c r="A1703" s="13"/>
      <c r="B1703" s="13"/>
    </row>
    <row r="1704" spans="1:2" x14ac:dyDescent="0.25">
      <c r="A1704" s="13"/>
      <c r="B1704" s="13"/>
    </row>
    <row r="1705" spans="1:2" x14ac:dyDescent="0.25">
      <c r="A1705" s="13"/>
      <c r="B1705" s="13"/>
    </row>
    <row r="1706" spans="1:2" x14ac:dyDescent="0.25">
      <c r="A1706" s="13"/>
      <c r="B1706" s="13"/>
    </row>
    <row r="1707" spans="1:2" x14ac:dyDescent="0.25">
      <c r="A1707" s="13"/>
      <c r="B1707" s="13"/>
    </row>
    <row r="1708" spans="1:2" x14ac:dyDescent="0.25">
      <c r="A1708" s="13"/>
      <c r="B1708" s="13"/>
    </row>
    <row r="1709" spans="1:2" x14ac:dyDescent="0.25">
      <c r="A1709" s="13"/>
      <c r="B1709" s="13"/>
    </row>
    <row r="1710" spans="1:2" x14ac:dyDescent="0.25">
      <c r="A1710" s="13"/>
      <c r="B1710" s="13"/>
    </row>
    <row r="1711" spans="1:2" x14ac:dyDescent="0.25">
      <c r="A1711" s="13"/>
      <c r="B1711" s="13"/>
    </row>
    <row r="1712" spans="1:2" x14ac:dyDescent="0.25">
      <c r="A1712" s="13"/>
      <c r="B1712" s="13"/>
    </row>
    <row r="1713" spans="1:2" x14ac:dyDescent="0.25">
      <c r="A1713" s="13"/>
      <c r="B1713" s="13"/>
    </row>
    <row r="1714" spans="1:2" x14ac:dyDescent="0.25">
      <c r="A1714" s="13"/>
      <c r="B1714" s="13"/>
    </row>
    <row r="1715" spans="1:2" x14ac:dyDescent="0.25">
      <c r="A1715" s="13"/>
      <c r="B1715" s="13"/>
    </row>
    <row r="1716" spans="1:2" x14ac:dyDescent="0.25">
      <c r="A1716" s="13"/>
      <c r="B1716" s="13"/>
    </row>
    <row r="1717" spans="1:2" x14ac:dyDescent="0.25">
      <c r="A1717" s="13"/>
      <c r="B1717" s="13"/>
    </row>
    <row r="1718" spans="1:2" x14ac:dyDescent="0.25">
      <c r="A1718" s="13"/>
      <c r="B1718" s="13"/>
    </row>
    <row r="1719" spans="1:2" x14ac:dyDescent="0.25">
      <c r="A1719" s="13"/>
      <c r="B1719" s="13"/>
    </row>
    <row r="1720" spans="1:2" x14ac:dyDescent="0.25">
      <c r="A1720" s="13"/>
      <c r="B1720" s="13"/>
    </row>
    <row r="1721" spans="1:2" x14ac:dyDescent="0.25">
      <c r="A1721" s="13"/>
      <c r="B1721" s="13"/>
    </row>
    <row r="1722" spans="1:2" x14ac:dyDescent="0.25">
      <c r="A1722" s="13"/>
      <c r="B1722" s="13"/>
    </row>
    <row r="1723" spans="1:2" x14ac:dyDescent="0.25">
      <c r="A1723" s="13"/>
      <c r="B1723" s="13"/>
    </row>
    <row r="1724" spans="1:2" x14ac:dyDescent="0.25">
      <c r="A1724" s="13"/>
      <c r="B1724" s="13"/>
    </row>
    <row r="1725" spans="1:2" x14ac:dyDescent="0.25">
      <c r="A1725" s="13"/>
      <c r="B1725" s="13"/>
    </row>
    <row r="1726" spans="1:2" x14ac:dyDescent="0.25">
      <c r="A1726" s="13"/>
      <c r="B1726" s="13"/>
    </row>
    <row r="1727" spans="1:2" x14ac:dyDescent="0.25">
      <c r="A1727" s="13"/>
      <c r="B1727" s="13"/>
    </row>
    <row r="1728" spans="1:2" x14ac:dyDescent="0.25">
      <c r="A1728" s="13"/>
      <c r="B1728" s="13"/>
    </row>
    <row r="1729" spans="1:2" x14ac:dyDescent="0.25">
      <c r="A1729" s="13"/>
      <c r="B1729" s="13"/>
    </row>
    <row r="1730" spans="1:2" x14ac:dyDescent="0.25">
      <c r="A1730" s="13"/>
      <c r="B1730" s="13"/>
    </row>
    <row r="1731" spans="1:2" x14ac:dyDescent="0.25">
      <c r="A1731" s="13"/>
      <c r="B1731" s="13"/>
    </row>
    <row r="1732" spans="1:2" x14ac:dyDescent="0.25">
      <c r="A1732" s="13"/>
      <c r="B1732" s="13"/>
    </row>
    <row r="1733" spans="1:2" x14ac:dyDescent="0.25">
      <c r="A1733" s="13"/>
      <c r="B1733" s="13"/>
    </row>
    <row r="1734" spans="1:2" x14ac:dyDescent="0.25">
      <c r="A1734" s="13"/>
      <c r="B1734" s="13"/>
    </row>
    <row r="1735" spans="1:2" x14ac:dyDescent="0.25">
      <c r="A1735" s="13"/>
      <c r="B1735" s="13"/>
    </row>
    <row r="1736" spans="1:2" x14ac:dyDescent="0.25">
      <c r="A1736" s="13"/>
      <c r="B1736" s="13"/>
    </row>
    <row r="1737" spans="1:2" x14ac:dyDescent="0.25">
      <c r="A1737" s="13"/>
      <c r="B1737" s="13"/>
    </row>
    <row r="1738" spans="1:2" x14ac:dyDescent="0.25">
      <c r="A1738" s="13"/>
      <c r="B1738" s="13"/>
    </row>
    <row r="1739" spans="1:2" x14ac:dyDescent="0.25">
      <c r="A1739" s="13"/>
      <c r="B1739" s="13"/>
    </row>
    <row r="1740" spans="1:2" x14ac:dyDescent="0.25">
      <c r="A1740" s="13"/>
      <c r="B1740" s="13"/>
    </row>
    <row r="1741" spans="1:2" x14ac:dyDescent="0.25">
      <c r="A1741" s="13"/>
      <c r="B1741" s="13"/>
    </row>
    <row r="1742" spans="1:2" x14ac:dyDescent="0.25">
      <c r="A1742" s="13"/>
      <c r="B1742" s="13"/>
    </row>
    <row r="1743" spans="1:2" x14ac:dyDescent="0.25">
      <c r="A1743" s="13"/>
      <c r="B1743" s="13"/>
    </row>
    <row r="1744" spans="1:2" x14ac:dyDescent="0.25">
      <c r="A1744" s="13"/>
      <c r="B1744" s="13"/>
    </row>
    <row r="1745" spans="1:2" x14ac:dyDescent="0.25">
      <c r="A1745" s="13"/>
      <c r="B1745" s="13"/>
    </row>
    <row r="1746" spans="1:2" x14ac:dyDescent="0.25">
      <c r="A1746" s="13"/>
      <c r="B1746" s="13"/>
    </row>
    <row r="1747" spans="1:2" x14ac:dyDescent="0.25">
      <c r="A1747" s="13"/>
      <c r="B1747" s="13"/>
    </row>
    <row r="1748" spans="1:2" x14ac:dyDescent="0.25">
      <c r="A1748" s="13"/>
      <c r="B1748" s="13"/>
    </row>
    <row r="1749" spans="1:2" x14ac:dyDescent="0.25">
      <c r="A1749" s="13"/>
      <c r="B1749" s="13"/>
    </row>
    <row r="1750" spans="1:2" x14ac:dyDescent="0.25">
      <c r="A1750" s="13"/>
      <c r="B1750" s="13"/>
    </row>
    <row r="1751" spans="1:2" x14ac:dyDescent="0.25">
      <c r="A1751" s="13"/>
      <c r="B1751" s="13"/>
    </row>
    <row r="1752" spans="1:2" x14ac:dyDescent="0.25">
      <c r="A1752" s="13"/>
      <c r="B1752" s="13"/>
    </row>
    <row r="1753" spans="1:2" x14ac:dyDescent="0.25">
      <c r="A1753" s="13"/>
      <c r="B1753" s="13"/>
    </row>
    <row r="1754" spans="1:2" x14ac:dyDescent="0.25">
      <c r="A1754" s="13"/>
      <c r="B1754" s="13"/>
    </row>
    <row r="1755" spans="1:2" x14ac:dyDescent="0.25">
      <c r="A1755" s="13"/>
      <c r="B1755" s="13"/>
    </row>
    <row r="1756" spans="1:2" x14ac:dyDescent="0.25">
      <c r="A1756" s="13"/>
      <c r="B1756" s="13"/>
    </row>
    <row r="1757" spans="1:2" x14ac:dyDescent="0.25">
      <c r="A1757" s="13"/>
      <c r="B1757" s="13"/>
    </row>
    <row r="1758" spans="1:2" x14ac:dyDescent="0.25">
      <c r="A1758" s="13"/>
      <c r="B1758" s="13"/>
    </row>
    <row r="1759" spans="1:2" x14ac:dyDescent="0.25">
      <c r="A1759" s="13"/>
      <c r="B1759" s="13"/>
    </row>
    <row r="1760" spans="1:2" x14ac:dyDescent="0.25">
      <c r="A1760" s="13"/>
      <c r="B1760" s="13"/>
    </row>
    <row r="1761" spans="1:2" x14ac:dyDescent="0.25">
      <c r="A1761" s="13"/>
      <c r="B1761" s="13"/>
    </row>
    <row r="1762" spans="1:2" x14ac:dyDescent="0.25">
      <c r="A1762" s="13"/>
      <c r="B1762" s="13"/>
    </row>
    <row r="1763" spans="1:2" x14ac:dyDescent="0.25">
      <c r="A1763" s="13"/>
      <c r="B1763" s="13"/>
    </row>
    <row r="1764" spans="1:2" x14ac:dyDescent="0.25">
      <c r="A1764" s="13"/>
      <c r="B1764" s="13"/>
    </row>
    <row r="1765" spans="1:2" x14ac:dyDescent="0.25">
      <c r="A1765" s="13"/>
      <c r="B1765" s="13"/>
    </row>
    <row r="1766" spans="1:2" x14ac:dyDescent="0.25">
      <c r="A1766" s="13"/>
      <c r="B1766" s="13"/>
    </row>
    <row r="1767" spans="1:2" x14ac:dyDescent="0.25">
      <c r="A1767" s="13"/>
      <c r="B1767" s="13"/>
    </row>
    <row r="1768" spans="1:2" x14ac:dyDescent="0.25">
      <c r="A1768" s="13"/>
      <c r="B1768" s="13"/>
    </row>
    <row r="1769" spans="1:2" x14ac:dyDescent="0.25">
      <c r="A1769" s="13"/>
      <c r="B1769" s="13"/>
    </row>
    <row r="1770" spans="1:2" x14ac:dyDescent="0.25">
      <c r="A1770" s="13"/>
      <c r="B1770" s="13"/>
    </row>
    <row r="1771" spans="1:2" x14ac:dyDescent="0.25">
      <c r="A1771" s="13"/>
      <c r="B1771" s="13"/>
    </row>
    <row r="1772" spans="1:2" x14ac:dyDescent="0.25">
      <c r="A1772" s="13"/>
      <c r="B1772" s="13"/>
    </row>
    <row r="1773" spans="1:2" x14ac:dyDescent="0.25">
      <c r="A1773" s="13"/>
      <c r="B1773" s="13"/>
    </row>
    <row r="1774" spans="1:2" x14ac:dyDescent="0.25">
      <c r="A1774" s="13"/>
      <c r="B1774" s="13"/>
    </row>
    <row r="1775" spans="1:2" x14ac:dyDescent="0.25">
      <c r="A1775" s="13"/>
      <c r="B1775" s="13"/>
    </row>
    <row r="1776" spans="1:2" x14ac:dyDescent="0.25">
      <c r="A1776" s="13"/>
      <c r="B1776" s="13"/>
    </row>
    <row r="1777" spans="1:2" x14ac:dyDescent="0.25">
      <c r="A1777" s="13"/>
      <c r="B1777" s="13"/>
    </row>
    <row r="1778" spans="1:2" x14ac:dyDescent="0.25">
      <c r="A1778" s="13"/>
      <c r="B1778" s="13"/>
    </row>
    <row r="1779" spans="1:2" x14ac:dyDescent="0.25">
      <c r="A1779" s="13"/>
      <c r="B1779" s="13"/>
    </row>
    <row r="1780" spans="1:2" x14ac:dyDescent="0.25">
      <c r="A1780" s="13"/>
      <c r="B1780" s="13"/>
    </row>
    <row r="1781" spans="1:2" x14ac:dyDescent="0.25">
      <c r="A1781" s="13"/>
      <c r="B1781" s="13"/>
    </row>
    <row r="1782" spans="1:2" x14ac:dyDescent="0.25">
      <c r="A1782" s="13"/>
      <c r="B1782" s="13"/>
    </row>
    <row r="1783" spans="1:2" x14ac:dyDescent="0.25">
      <c r="A1783" s="13"/>
      <c r="B1783" s="13"/>
    </row>
    <row r="1784" spans="1:2" x14ac:dyDescent="0.25">
      <c r="A1784" s="13"/>
      <c r="B1784" s="13"/>
    </row>
    <row r="1785" spans="1:2" x14ac:dyDescent="0.25">
      <c r="A1785" s="13"/>
      <c r="B1785" s="13"/>
    </row>
    <row r="1786" spans="1:2" x14ac:dyDescent="0.25">
      <c r="A1786" s="13"/>
      <c r="B1786" s="13"/>
    </row>
    <row r="1787" spans="1:2" x14ac:dyDescent="0.25">
      <c r="A1787" s="13"/>
      <c r="B1787" s="13"/>
    </row>
    <row r="1788" spans="1:2" x14ac:dyDescent="0.25">
      <c r="A1788" s="13"/>
      <c r="B1788" s="13"/>
    </row>
    <row r="1789" spans="1:2" x14ac:dyDescent="0.25">
      <c r="A1789" s="13"/>
      <c r="B1789" s="13"/>
    </row>
    <row r="1790" spans="1:2" x14ac:dyDescent="0.25">
      <c r="A1790" s="13"/>
      <c r="B1790" s="13"/>
    </row>
    <row r="1791" spans="1:2" x14ac:dyDescent="0.25">
      <c r="A1791" s="13"/>
      <c r="B1791" s="13"/>
    </row>
    <row r="1792" spans="1:2" x14ac:dyDescent="0.25">
      <c r="A1792" s="13"/>
      <c r="B1792" s="13"/>
    </row>
    <row r="1793" spans="1:2" x14ac:dyDescent="0.25">
      <c r="A1793" s="13"/>
      <c r="B1793" s="13"/>
    </row>
    <row r="1794" spans="1:2" x14ac:dyDescent="0.25">
      <c r="A1794" s="13"/>
      <c r="B1794" s="13"/>
    </row>
    <row r="1795" spans="1:2" x14ac:dyDescent="0.25">
      <c r="A1795" s="13"/>
      <c r="B1795" s="13"/>
    </row>
    <row r="1796" spans="1:2" x14ac:dyDescent="0.25">
      <c r="A1796" s="13"/>
      <c r="B1796" s="13"/>
    </row>
    <row r="1797" spans="1:2" x14ac:dyDescent="0.25">
      <c r="A1797" s="13"/>
      <c r="B1797" s="13"/>
    </row>
    <row r="1798" spans="1:2" x14ac:dyDescent="0.25">
      <c r="A1798" s="13"/>
      <c r="B1798" s="13"/>
    </row>
    <row r="1799" spans="1:2" x14ac:dyDescent="0.25">
      <c r="A1799" s="13"/>
      <c r="B1799" s="13"/>
    </row>
    <row r="1800" spans="1:2" x14ac:dyDescent="0.25">
      <c r="A1800" s="13"/>
      <c r="B1800" s="13"/>
    </row>
    <row r="1801" spans="1:2" x14ac:dyDescent="0.25">
      <c r="A1801" s="13"/>
      <c r="B1801" s="13"/>
    </row>
    <row r="1802" spans="1:2" x14ac:dyDescent="0.25">
      <c r="A1802" s="13"/>
      <c r="B1802" s="13"/>
    </row>
    <row r="1803" spans="1:2" x14ac:dyDescent="0.25">
      <c r="A1803" s="13"/>
      <c r="B1803" s="13"/>
    </row>
    <row r="1804" spans="1:2" x14ac:dyDescent="0.25">
      <c r="A1804" s="13"/>
      <c r="B1804" s="13"/>
    </row>
    <row r="1805" spans="1:2" x14ac:dyDescent="0.25">
      <c r="A1805" s="13"/>
      <c r="B1805" s="13"/>
    </row>
    <row r="1806" spans="1:2" x14ac:dyDescent="0.25">
      <c r="A1806" s="13"/>
      <c r="B1806" s="13"/>
    </row>
    <row r="1807" spans="1:2" x14ac:dyDescent="0.25">
      <c r="A1807" s="13"/>
      <c r="B1807" s="13"/>
    </row>
    <row r="1808" spans="1:2" x14ac:dyDescent="0.25">
      <c r="A1808" s="13"/>
      <c r="B1808" s="13"/>
    </row>
    <row r="1809" spans="1:2" x14ac:dyDescent="0.25">
      <c r="A1809" s="13"/>
      <c r="B1809" s="13"/>
    </row>
    <row r="1810" spans="1:2" x14ac:dyDescent="0.25">
      <c r="A1810" s="13"/>
      <c r="B1810" s="13"/>
    </row>
    <row r="1811" spans="1:2" x14ac:dyDescent="0.25">
      <c r="A1811" s="13"/>
      <c r="B1811" s="13"/>
    </row>
    <row r="1812" spans="1:2" x14ac:dyDescent="0.25">
      <c r="A1812" s="13"/>
      <c r="B1812" s="13"/>
    </row>
    <row r="1813" spans="1:2" x14ac:dyDescent="0.25">
      <c r="A1813" s="13"/>
      <c r="B1813" s="13"/>
    </row>
    <row r="1814" spans="1:2" x14ac:dyDescent="0.25">
      <c r="A1814" s="13"/>
      <c r="B1814" s="13"/>
    </row>
    <row r="1815" spans="1:2" x14ac:dyDescent="0.25">
      <c r="A1815" s="13"/>
      <c r="B1815" s="13"/>
    </row>
    <row r="1816" spans="1:2" x14ac:dyDescent="0.25">
      <c r="A1816" s="13"/>
      <c r="B1816" s="13"/>
    </row>
    <row r="1817" spans="1:2" x14ac:dyDescent="0.25">
      <c r="A1817" s="13"/>
      <c r="B1817" s="13"/>
    </row>
    <row r="1818" spans="1:2" x14ac:dyDescent="0.25">
      <c r="A1818" s="13"/>
      <c r="B1818" s="13"/>
    </row>
    <row r="1819" spans="1:2" x14ac:dyDescent="0.25">
      <c r="A1819" s="13"/>
      <c r="B1819" s="13"/>
    </row>
    <row r="1820" spans="1:2" x14ac:dyDescent="0.25">
      <c r="A1820" s="13"/>
      <c r="B1820" s="13"/>
    </row>
    <row r="1821" spans="1:2" x14ac:dyDescent="0.25">
      <c r="A1821" s="13"/>
      <c r="B1821" s="13"/>
    </row>
    <row r="1822" spans="1:2" x14ac:dyDescent="0.25">
      <c r="A1822" s="13"/>
      <c r="B1822" s="13"/>
    </row>
    <row r="1823" spans="1:2" x14ac:dyDescent="0.25">
      <c r="A1823" s="13"/>
      <c r="B1823" s="13"/>
    </row>
    <row r="1824" spans="1:2" x14ac:dyDescent="0.25">
      <c r="A1824" s="13"/>
      <c r="B1824" s="13"/>
    </row>
    <row r="1825" spans="1:2" x14ac:dyDescent="0.25">
      <c r="A1825" s="13"/>
      <c r="B1825" s="13"/>
    </row>
    <row r="1826" spans="1:2" x14ac:dyDescent="0.25">
      <c r="A1826" s="13"/>
      <c r="B1826" s="13"/>
    </row>
    <row r="1827" spans="1:2" x14ac:dyDescent="0.25">
      <c r="A1827" s="13"/>
      <c r="B1827" s="13"/>
    </row>
    <row r="1828" spans="1:2" x14ac:dyDescent="0.25">
      <c r="A1828" s="13"/>
      <c r="B1828" s="13"/>
    </row>
    <row r="1829" spans="1:2" x14ac:dyDescent="0.25">
      <c r="A1829" s="13"/>
      <c r="B1829" s="13"/>
    </row>
    <row r="1830" spans="1:2" x14ac:dyDescent="0.25">
      <c r="A1830" s="13"/>
      <c r="B1830" s="13"/>
    </row>
    <row r="1831" spans="1:2" x14ac:dyDescent="0.25">
      <c r="A1831" s="13"/>
      <c r="B1831" s="13"/>
    </row>
    <row r="1832" spans="1:2" x14ac:dyDescent="0.25">
      <c r="A1832" s="13"/>
      <c r="B1832" s="13"/>
    </row>
    <row r="1833" spans="1:2" x14ac:dyDescent="0.25">
      <c r="A1833" s="13"/>
      <c r="B1833" s="13"/>
    </row>
    <row r="1834" spans="1:2" x14ac:dyDescent="0.25">
      <c r="A1834" s="13"/>
      <c r="B1834" s="13"/>
    </row>
    <row r="1835" spans="1:2" x14ac:dyDescent="0.25">
      <c r="A1835" s="13"/>
      <c r="B1835" s="13"/>
    </row>
    <row r="1836" spans="1:2" x14ac:dyDescent="0.25">
      <c r="A1836" s="13"/>
      <c r="B1836" s="13"/>
    </row>
    <row r="1837" spans="1:2" x14ac:dyDescent="0.25">
      <c r="A1837" s="13"/>
      <c r="B1837" s="13"/>
    </row>
    <row r="1838" spans="1:2" x14ac:dyDescent="0.25">
      <c r="A1838" s="13"/>
      <c r="B1838" s="13"/>
    </row>
    <row r="1839" spans="1:2" x14ac:dyDescent="0.25">
      <c r="A1839" s="13"/>
      <c r="B1839" s="13"/>
    </row>
    <row r="1840" spans="1:2" x14ac:dyDescent="0.25">
      <c r="A1840" s="13"/>
      <c r="B1840" s="13"/>
    </row>
    <row r="1841" spans="1:2" x14ac:dyDescent="0.25">
      <c r="A1841" s="13"/>
      <c r="B1841" s="13"/>
    </row>
    <row r="1842" spans="1:2" x14ac:dyDescent="0.25">
      <c r="A1842" s="13"/>
      <c r="B1842" s="13"/>
    </row>
    <row r="1843" spans="1:2" x14ac:dyDescent="0.25">
      <c r="A1843" s="13"/>
      <c r="B1843" s="13"/>
    </row>
    <row r="1844" spans="1:2" x14ac:dyDescent="0.25">
      <c r="A1844" s="13"/>
      <c r="B1844" s="13"/>
    </row>
    <row r="1845" spans="1:2" x14ac:dyDescent="0.25">
      <c r="A1845" s="13"/>
      <c r="B1845" s="13"/>
    </row>
    <row r="1846" spans="1:2" x14ac:dyDescent="0.25">
      <c r="A1846" s="13"/>
      <c r="B1846" s="13"/>
    </row>
    <row r="1847" spans="1:2" x14ac:dyDescent="0.25">
      <c r="A1847" s="13"/>
      <c r="B1847" s="13"/>
    </row>
    <row r="1848" spans="1:2" x14ac:dyDescent="0.25">
      <c r="A1848" s="13"/>
      <c r="B1848" s="13"/>
    </row>
    <row r="1849" spans="1:2" x14ac:dyDescent="0.25">
      <c r="A1849" s="13"/>
      <c r="B1849" s="13"/>
    </row>
    <row r="1850" spans="1:2" x14ac:dyDescent="0.25">
      <c r="A1850" s="13"/>
      <c r="B1850" s="13"/>
    </row>
    <row r="1851" spans="1:2" x14ac:dyDescent="0.25">
      <c r="A1851" s="13"/>
      <c r="B1851" s="13"/>
    </row>
    <row r="1852" spans="1:2" x14ac:dyDescent="0.25">
      <c r="A1852" s="13"/>
      <c r="B1852" s="13"/>
    </row>
    <row r="1853" spans="1:2" x14ac:dyDescent="0.25">
      <c r="A1853" s="13"/>
      <c r="B1853" s="13"/>
    </row>
    <row r="1854" spans="1:2" x14ac:dyDescent="0.25">
      <c r="A1854" s="13"/>
      <c r="B1854" s="13"/>
    </row>
    <row r="1855" spans="1:2" x14ac:dyDescent="0.25">
      <c r="A1855" s="13"/>
      <c r="B1855" s="13"/>
    </row>
    <row r="1856" spans="1:2" x14ac:dyDescent="0.25">
      <c r="A1856" s="13"/>
      <c r="B1856" s="13"/>
    </row>
    <row r="1857" spans="1:2" x14ac:dyDescent="0.25">
      <c r="A1857" s="13"/>
      <c r="B1857" s="13"/>
    </row>
    <row r="1858" spans="1:2" x14ac:dyDescent="0.25">
      <c r="A1858" s="13"/>
      <c r="B1858" s="13"/>
    </row>
    <row r="1859" spans="1:2" x14ac:dyDescent="0.25">
      <c r="A1859" s="13"/>
      <c r="B1859" s="13"/>
    </row>
    <row r="1860" spans="1:2" x14ac:dyDescent="0.25">
      <c r="A1860" s="13"/>
      <c r="B1860" s="13"/>
    </row>
    <row r="1861" spans="1:2" x14ac:dyDescent="0.25">
      <c r="A1861" s="13"/>
      <c r="B1861" s="13"/>
    </row>
    <row r="1862" spans="1:2" x14ac:dyDescent="0.25">
      <c r="A1862" s="13"/>
      <c r="B1862" s="13"/>
    </row>
    <row r="1863" spans="1:2" x14ac:dyDescent="0.25">
      <c r="A1863" s="13"/>
      <c r="B1863" s="13"/>
    </row>
    <row r="1864" spans="1:2" x14ac:dyDescent="0.25">
      <c r="A1864" s="13"/>
      <c r="B1864" s="13"/>
    </row>
    <row r="1865" spans="1:2" x14ac:dyDescent="0.25">
      <c r="A1865" s="13"/>
      <c r="B1865" s="13"/>
    </row>
    <row r="1866" spans="1:2" x14ac:dyDescent="0.25">
      <c r="A1866" s="13"/>
      <c r="B1866" s="13"/>
    </row>
    <row r="1867" spans="1:2" x14ac:dyDescent="0.25">
      <c r="A1867" s="13"/>
      <c r="B1867" s="13"/>
    </row>
    <row r="1868" spans="1:2" x14ac:dyDescent="0.25">
      <c r="A1868" s="13"/>
      <c r="B1868" s="13"/>
    </row>
    <row r="1869" spans="1:2" x14ac:dyDescent="0.25">
      <c r="A1869" s="13"/>
      <c r="B1869" s="13"/>
    </row>
    <row r="1870" spans="1:2" x14ac:dyDescent="0.25">
      <c r="A1870" s="13"/>
      <c r="B1870" s="13"/>
    </row>
    <row r="1871" spans="1:2" x14ac:dyDescent="0.25">
      <c r="A1871" s="13"/>
      <c r="B1871" s="13"/>
    </row>
    <row r="1872" spans="1:2" x14ac:dyDescent="0.25">
      <c r="A1872" s="13"/>
      <c r="B1872" s="13"/>
    </row>
    <row r="1873" spans="1:2" x14ac:dyDescent="0.25">
      <c r="A1873" s="13"/>
      <c r="B1873" s="13"/>
    </row>
    <row r="1874" spans="1:2" x14ac:dyDescent="0.25">
      <c r="A1874" s="13"/>
      <c r="B1874" s="13"/>
    </row>
    <row r="1875" spans="1:2" x14ac:dyDescent="0.25">
      <c r="A1875" s="13"/>
      <c r="B1875" s="13"/>
    </row>
    <row r="1876" spans="1:2" x14ac:dyDescent="0.25">
      <c r="A1876" s="13"/>
      <c r="B1876" s="13"/>
    </row>
    <row r="1877" spans="1:2" x14ac:dyDescent="0.25">
      <c r="A1877" s="13"/>
      <c r="B1877" s="13"/>
    </row>
    <row r="1878" spans="1:2" x14ac:dyDescent="0.25">
      <c r="A1878" s="13"/>
      <c r="B1878" s="13"/>
    </row>
    <row r="1879" spans="1:2" x14ac:dyDescent="0.25">
      <c r="A1879" s="13"/>
      <c r="B1879" s="13"/>
    </row>
    <row r="1880" spans="1:2" x14ac:dyDescent="0.25">
      <c r="A1880" s="13"/>
      <c r="B1880" s="13"/>
    </row>
    <row r="1881" spans="1:2" x14ac:dyDescent="0.25">
      <c r="A1881" s="13"/>
      <c r="B1881" s="13"/>
    </row>
    <row r="1882" spans="1:2" x14ac:dyDescent="0.25">
      <c r="A1882" s="13"/>
      <c r="B1882" s="13"/>
    </row>
    <row r="1883" spans="1:2" x14ac:dyDescent="0.25">
      <c r="A1883" s="13"/>
      <c r="B1883" s="13"/>
    </row>
    <row r="1884" spans="1:2" x14ac:dyDescent="0.25">
      <c r="A1884" s="13"/>
      <c r="B1884" s="13"/>
    </row>
    <row r="1885" spans="1:2" x14ac:dyDescent="0.25">
      <c r="A1885" s="13"/>
      <c r="B1885" s="13"/>
    </row>
    <row r="1886" spans="1:2" x14ac:dyDescent="0.25">
      <c r="A1886" s="13"/>
      <c r="B1886" s="13"/>
    </row>
    <row r="1887" spans="1:2" x14ac:dyDescent="0.25">
      <c r="A1887" s="13"/>
      <c r="B1887" s="13"/>
    </row>
    <row r="1888" spans="1:2" x14ac:dyDescent="0.25">
      <c r="A1888" s="13"/>
      <c r="B1888" s="13"/>
    </row>
    <row r="1889" spans="1:2" x14ac:dyDescent="0.25">
      <c r="A1889" s="13"/>
      <c r="B1889" s="13"/>
    </row>
    <row r="1890" spans="1:2" x14ac:dyDescent="0.25">
      <c r="A1890" s="13"/>
      <c r="B1890" s="13"/>
    </row>
    <row r="1891" spans="1:2" x14ac:dyDescent="0.25">
      <c r="A1891" s="13"/>
      <c r="B1891" s="13"/>
    </row>
    <row r="1892" spans="1:2" x14ac:dyDescent="0.25">
      <c r="A1892" s="13"/>
      <c r="B1892" s="13"/>
    </row>
    <row r="1893" spans="1:2" x14ac:dyDescent="0.25">
      <c r="A1893" s="13"/>
      <c r="B1893" s="13"/>
    </row>
    <row r="1894" spans="1:2" x14ac:dyDescent="0.25">
      <c r="A1894" s="13"/>
      <c r="B1894" s="13"/>
    </row>
    <row r="1895" spans="1:2" x14ac:dyDescent="0.25">
      <c r="A1895" s="13"/>
      <c r="B1895" s="13"/>
    </row>
    <row r="1896" spans="1:2" x14ac:dyDescent="0.25">
      <c r="A1896" s="13"/>
      <c r="B1896" s="13"/>
    </row>
    <row r="1897" spans="1:2" x14ac:dyDescent="0.25">
      <c r="A1897" s="13"/>
      <c r="B1897" s="13"/>
    </row>
    <row r="1898" spans="1:2" x14ac:dyDescent="0.25">
      <c r="A1898" s="13"/>
      <c r="B1898" s="13"/>
    </row>
    <row r="1899" spans="1:2" x14ac:dyDescent="0.25">
      <c r="A1899" s="13"/>
      <c r="B1899" s="13"/>
    </row>
    <row r="1900" spans="1:2" x14ac:dyDescent="0.25">
      <c r="A1900" s="13"/>
      <c r="B1900" s="13"/>
    </row>
    <row r="1901" spans="1:2" x14ac:dyDescent="0.25">
      <c r="A1901" s="13"/>
      <c r="B1901" s="13"/>
    </row>
    <row r="1902" spans="1:2" x14ac:dyDescent="0.25">
      <c r="A1902" s="13"/>
      <c r="B1902" s="13"/>
    </row>
    <row r="1903" spans="1:2" x14ac:dyDescent="0.25">
      <c r="A1903" s="13"/>
      <c r="B1903" s="13"/>
    </row>
    <row r="1904" spans="1:2" x14ac:dyDescent="0.25">
      <c r="A1904" s="13"/>
      <c r="B1904" s="13"/>
    </row>
    <row r="1905" spans="1:2" x14ac:dyDescent="0.25">
      <c r="A1905" s="13"/>
      <c r="B1905" s="13"/>
    </row>
    <row r="1906" spans="1:2" x14ac:dyDescent="0.25">
      <c r="A1906" s="13"/>
      <c r="B1906" s="13"/>
    </row>
    <row r="1907" spans="1:2" x14ac:dyDescent="0.25">
      <c r="A1907" s="13"/>
      <c r="B1907" s="13"/>
    </row>
    <row r="1908" spans="1:2" x14ac:dyDescent="0.25">
      <c r="A1908" s="13"/>
      <c r="B1908" s="13"/>
    </row>
    <row r="1909" spans="1:2" x14ac:dyDescent="0.25">
      <c r="A1909" s="13"/>
      <c r="B1909" s="13"/>
    </row>
    <row r="1910" spans="1:2" x14ac:dyDescent="0.25">
      <c r="A1910" s="13"/>
      <c r="B1910" s="13"/>
    </row>
    <row r="1911" spans="1:2" x14ac:dyDescent="0.25">
      <c r="A1911" s="13"/>
      <c r="B1911" s="13"/>
    </row>
    <row r="1912" spans="1:2" x14ac:dyDescent="0.25">
      <c r="A1912" s="13"/>
      <c r="B1912" s="13"/>
    </row>
    <row r="1913" spans="1:2" x14ac:dyDescent="0.25">
      <c r="A1913" s="13"/>
      <c r="B1913" s="13"/>
    </row>
    <row r="1914" spans="1:2" x14ac:dyDescent="0.25">
      <c r="A1914" s="13"/>
      <c r="B1914" s="13"/>
    </row>
    <row r="1915" spans="1:2" x14ac:dyDescent="0.25">
      <c r="A1915" s="13"/>
      <c r="B1915" s="13"/>
    </row>
    <row r="1916" spans="1:2" x14ac:dyDescent="0.25">
      <c r="A1916" s="13"/>
      <c r="B1916" s="13"/>
    </row>
    <row r="1917" spans="1:2" x14ac:dyDescent="0.25">
      <c r="A1917" s="13"/>
      <c r="B1917" s="13"/>
    </row>
    <row r="1918" spans="1:2" x14ac:dyDescent="0.25">
      <c r="A1918" s="13"/>
      <c r="B1918" s="13"/>
    </row>
    <row r="1919" spans="1:2" x14ac:dyDescent="0.25">
      <c r="A1919" s="13"/>
      <c r="B1919" s="13"/>
    </row>
    <row r="1920" spans="1:2" x14ac:dyDescent="0.25">
      <c r="A1920" s="13"/>
      <c r="B1920" s="13"/>
    </row>
    <row r="1921" spans="1:2" x14ac:dyDescent="0.25">
      <c r="A1921" s="13"/>
      <c r="B1921" s="13"/>
    </row>
    <row r="1922" spans="1:2" x14ac:dyDescent="0.25">
      <c r="A1922" s="13"/>
      <c r="B1922" s="13"/>
    </row>
    <row r="1923" spans="1:2" x14ac:dyDescent="0.25">
      <c r="A1923" s="13"/>
      <c r="B1923" s="13"/>
    </row>
    <row r="1924" spans="1:2" x14ac:dyDescent="0.25">
      <c r="A1924" s="13"/>
      <c r="B1924" s="13"/>
    </row>
    <row r="1925" spans="1:2" x14ac:dyDescent="0.25">
      <c r="A1925" s="13"/>
      <c r="B1925" s="13"/>
    </row>
    <row r="1926" spans="1:2" x14ac:dyDescent="0.25">
      <c r="A1926" s="13"/>
      <c r="B1926" s="13"/>
    </row>
    <row r="1927" spans="1:2" x14ac:dyDescent="0.25">
      <c r="A1927" s="13"/>
      <c r="B1927" s="13"/>
    </row>
    <row r="1928" spans="1:2" x14ac:dyDescent="0.25">
      <c r="A1928" s="13"/>
      <c r="B1928" s="13"/>
    </row>
    <row r="1929" spans="1:2" x14ac:dyDescent="0.25">
      <c r="A1929" s="13"/>
      <c r="B1929" s="13"/>
    </row>
    <row r="1930" spans="1:2" x14ac:dyDescent="0.25">
      <c r="A1930" s="13"/>
      <c r="B1930" s="13"/>
    </row>
    <row r="1931" spans="1:2" x14ac:dyDescent="0.25">
      <c r="A1931" s="13"/>
      <c r="B1931" s="13"/>
    </row>
    <row r="1932" spans="1:2" x14ac:dyDescent="0.25">
      <c r="A1932" s="13"/>
      <c r="B1932" s="13"/>
    </row>
    <row r="1933" spans="1:2" x14ac:dyDescent="0.25">
      <c r="A1933" s="13"/>
      <c r="B1933" s="13"/>
    </row>
    <row r="1934" spans="1:2" x14ac:dyDescent="0.25">
      <c r="A1934" s="13"/>
      <c r="B1934" s="13"/>
    </row>
    <row r="1935" spans="1:2" x14ac:dyDescent="0.25">
      <c r="A1935" s="13"/>
      <c r="B1935" s="13"/>
    </row>
    <row r="1936" spans="1:2" x14ac:dyDescent="0.25">
      <c r="A1936" s="13"/>
      <c r="B1936" s="13"/>
    </row>
    <row r="1937" spans="1:2" x14ac:dyDescent="0.25">
      <c r="A1937" s="13"/>
      <c r="B1937" s="13"/>
    </row>
    <row r="1938" spans="1:2" x14ac:dyDescent="0.25">
      <c r="A1938" s="13"/>
      <c r="B1938" s="13"/>
    </row>
    <row r="1939" spans="1:2" x14ac:dyDescent="0.25">
      <c r="A1939" s="13"/>
      <c r="B1939" s="13"/>
    </row>
    <row r="1940" spans="1:2" x14ac:dyDescent="0.25">
      <c r="A1940" s="13"/>
      <c r="B1940" s="13"/>
    </row>
    <row r="1941" spans="1:2" x14ac:dyDescent="0.25">
      <c r="A1941" s="13"/>
      <c r="B1941" s="13"/>
    </row>
    <row r="1942" spans="1:2" x14ac:dyDescent="0.25">
      <c r="A1942" s="13"/>
      <c r="B1942" s="13"/>
    </row>
    <row r="1943" spans="1:2" x14ac:dyDescent="0.25">
      <c r="A1943" s="13"/>
      <c r="B1943" s="13"/>
    </row>
    <row r="1944" spans="1:2" x14ac:dyDescent="0.25">
      <c r="A1944" s="13"/>
      <c r="B1944" s="13"/>
    </row>
    <row r="1945" spans="1:2" x14ac:dyDescent="0.25">
      <c r="A1945" s="13"/>
      <c r="B1945" s="13"/>
    </row>
    <row r="1946" spans="1:2" x14ac:dyDescent="0.25">
      <c r="A1946" s="13"/>
      <c r="B1946" s="13"/>
    </row>
    <row r="1947" spans="1:2" x14ac:dyDescent="0.25">
      <c r="A1947" s="13"/>
      <c r="B1947" s="13"/>
    </row>
    <row r="1948" spans="1:2" x14ac:dyDescent="0.25">
      <c r="A1948" s="13"/>
      <c r="B1948" s="13"/>
    </row>
    <row r="1949" spans="1:2" x14ac:dyDescent="0.25">
      <c r="A1949" s="13"/>
      <c r="B1949" s="13"/>
    </row>
    <row r="1950" spans="1:2" x14ac:dyDescent="0.25">
      <c r="A1950" s="13"/>
      <c r="B1950" s="13"/>
    </row>
    <row r="1951" spans="1:2" x14ac:dyDescent="0.25">
      <c r="A1951" s="13"/>
      <c r="B1951" s="13"/>
    </row>
    <row r="1952" spans="1:2" x14ac:dyDescent="0.25">
      <c r="A1952" s="13"/>
      <c r="B1952" s="13"/>
    </row>
    <row r="1953" spans="1:2" x14ac:dyDescent="0.25">
      <c r="A1953" s="13"/>
      <c r="B1953" s="13"/>
    </row>
    <row r="1954" spans="1:2" x14ac:dyDescent="0.25">
      <c r="A1954" s="13"/>
      <c r="B1954" s="13"/>
    </row>
    <row r="1955" spans="1:2" x14ac:dyDescent="0.25">
      <c r="A1955" s="13"/>
      <c r="B1955" s="13"/>
    </row>
    <row r="1956" spans="1:2" x14ac:dyDescent="0.25">
      <c r="A1956" s="13"/>
      <c r="B1956" s="13"/>
    </row>
    <row r="1957" spans="1:2" x14ac:dyDescent="0.25">
      <c r="A1957" s="13"/>
      <c r="B1957" s="13"/>
    </row>
    <row r="1958" spans="1:2" x14ac:dyDescent="0.25">
      <c r="A1958" s="13"/>
      <c r="B1958" s="13"/>
    </row>
    <row r="1959" spans="1:2" x14ac:dyDescent="0.25">
      <c r="A1959" s="13"/>
      <c r="B1959" s="13"/>
    </row>
    <row r="1960" spans="1:2" x14ac:dyDescent="0.25">
      <c r="A1960" s="13"/>
      <c r="B1960" s="13"/>
    </row>
    <row r="1961" spans="1:2" x14ac:dyDescent="0.25">
      <c r="A1961" s="13"/>
      <c r="B1961" s="13"/>
    </row>
    <row r="1962" spans="1:2" x14ac:dyDescent="0.25">
      <c r="A1962" s="13"/>
      <c r="B1962" s="13"/>
    </row>
    <row r="1963" spans="1:2" x14ac:dyDescent="0.25">
      <c r="A1963" s="13"/>
      <c r="B1963" s="13"/>
    </row>
    <row r="1964" spans="1:2" x14ac:dyDescent="0.25">
      <c r="A1964" s="13"/>
      <c r="B1964" s="13"/>
    </row>
    <row r="1965" spans="1:2" x14ac:dyDescent="0.25">
      <c r="A1965" s="13"/>
      <c r="B1965" s="13"/>
    </row>
    <row r="1966" spans="1:2" x14ac:dyDescent="0.25">
      <c r="A1966" s="13"/>
      <c r="B1966" s="13"/>
    </row>
    <row r="1967" spans="1:2" x14ac:dyDescent="0.25">
      <c r="A1967" s="13"/>
      <c r="B1967" s="13"/>
    </row>
    <row r="1968" spans="1:2" x14ac:dyDescent="0.25">
      <c r="A1968" s="13"/>
      <c r="B1968" s="13"/>
    </row>
    <row r="1969" spans="1:2" x14ac:dyDescent="0.25">
      <c r="A1969" s="13"/>
      <c r="B1969" s="13"/>
    </row>
    <row r="1970" spans="1:2" x14ac:dyDescent="0.25">
      <c r="A1970" s="13"/>
      <c r="B1970" s="13"/>
    </row>
    <row r="1971" spans="1:2" x14ac:dyDescent="0.25">
      <c r="A1971" s="13"/>
      <c r="B1971" s="13"/>
    </row>
    <row r="1972" spans="1:2" x14ac:dyDescent="0.25">
      <c r="A1972" s="13"/>
      <c r="B1972" s="13"/>
    </row>
    <row r="1973" spans="1:2" x14ac:dyDescent="0.25">
      <c r="A1973" s="13"/>
      <c r="B1973" s="13"/>
    </row>
    <row r="1974" spans="1:2" x14ac:dyDescent="0.25">
      <c r="A1974" s="13"/>
      <c r="B1974" s="13"/>
    </row>
    <row r="1975" spans="1:2" x14ac:dyDescent="0.25">
      <c r="A1975" s="13"/>
      <c r="B1975" s="13"/>
    </row>
    <row r="1976" spans="1:2" x14ac:dyDescent="0.25">
      <c r="A1976" s="13"/>
      <c r="B1976" s="13"/>
    </row>
    <row r="1977" spans="1:2" x14ac:dyDescent="0.25">
      <c r="A1977" s="13"/>
      <c r="B1977" s="13"/>
    </row>
    <row r="1978" spans="1:2" x14ac:dyDescent="0.25">
      <c r="A1978" s="13"/>
      <c r="B1978" s="13"/>
    </row>
    <row r="1979" spans="1:2" x14ac:dyDescent="0.25">
      <c r="A1979" s="13"/>
      <c r="B1979" s="13"/>
    </row>
    <row r="1980" spans="1:2" x14ac:dyDescent="0.25">
      <c r="A1980" s="13"/>
      <c r="B1980" s="13"/>
    </row>
    <row r="1981" spans="1:2" x14ac:dyDescent="0.25">
      <c r="A1981" s="13"/>
      <c r="B1981" s="13"/>
    </row>
    <row r="1982" spans="1:2" x14ac:dyDescent="0.25">
      <c r="A1982" s="13"/>
      <c r="B1982" s="13"/>
    </row>
    <row r="1983" spans="1:2" x14ac:dyDescent="0.25">
      <c r="A1983" s="13"/>
      <c r="B1983" s="13"/>
    </row>
    <row r="1984" spans="1:2" x14ac:dyDescent="0.25">
      <c r="A1984" s="13"/>
      <c r="B1984" s="13"/>
    </row>
    <row r="1985" spans="1:2" x14ac:dyDescent="0.25">
      <c r="A1985" s="13"/>
      <c r="B1985" s="13"/>
    </row>
    <row r="1986" spans="1:2" x14ac:dyDescent="0.25">
      <c r="A1986" s="13"/>
      <c r="B1986" s="13"/>
    </row>
    <row r="1987" spans="1:2" x14ac:dyDescent="0.25">
      <c r="A1987" s="13"/>
      <c r="B1987" s="13"/>
    </row>
    <row r="1988" spans="1:2" x14ac:dyDescent="0.25">
      <c r="A1988" s="13"/>
      <c r="B1988" s="13"/>
    </row>
    <row r="1989" spans="1:2" x14ac:dyDescent="0.25">
      <c r="A1989" s="13"/>
      <c r="B1989" s="13"/>
    </row>
    <row r="1990" spans="1:2" x14ac:dyDescent="0.25">
      <c r="A1990" s="13"/>
      <c r="B1990" s="13"/>
    </row>
    <row r="1991" spans="1:2" x14ac:dyDescent="0.25">
      <c r="A1991" s="13"/>
      <c r="B1991" s="13"/>
    </row>
    <row r="1992" spans="1:2" x14ac:dyDescent="0.25">
      <c r="A1992" s="13"/>
      <c r="B1992" s="13"/>
    </row>
    <row r="1993" spans="1:2" x14ac:dyDescent="0.25">
      <c r="A1993" s="13"/>
      <c r="B1993" s="13"/>
    </row>
    <row r="1994" spans="1:2" x14ac:dyDescent="0.25">
      <c r="A1994" s="13"/>
      <c r="B1994" s="13"/>
    </row>
    <row r="1995" spans="1:2" x14ac:dyDescent="0.25">
      <c r="A1995" s="13"/>
      <c r="B1995" s="13"/>
    </row>
    <row r="1996" spans="1:2" x14ac:dyDescent="0.25">
      <c r="A1996" s="13"/>
      <c r="B1996" s="13"/>
    </row>
    <row r="1997" spans="1:2" x14ac:dyDescent="0.25">
      <c r="A1997" s="13"/>
      <c r="B1997" s="13"/>
    </row>
    <row r="1998" spans="1:2" x14ac:dyDescent="0.25">
      <c r="A1998" s="13"/>
      <c r="B1998" s="13"/>
    </row>
    <row r="1999" spans="1:2" x14ac:dyDescent="0.25">
      <c r="A1999" s="13"/>
      <c r="B1999" s="13"/>
    </row>
    <row r="2000" spans="1:2" x14ac:dyDescent="0.25">
      <c r="A2000" s="13"/>
      <c r="B2000" s="13"/>
    </row>
  </sheetData>
  <mergeCells count="8">
    <mergeCell ref="A19:B19"/>
    <mergeCell ref="A15:B15"/>
    <mergeCell ref="A17:B17"/>
    <mergeCell ref="A5:B5"/>
    <mergeCell ref="A7:B7"/>
    <mergeCell ref="A9:B9"/>
    <mergeCell ref="A11:B11"/>
    <mergeCell ref="A13:B13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66B8C-E545-4719-8B0C-29B6FB6B6C86}">
  <sheetPr codeName="Sheet4">
    <tabColor rgb="FF7030A0"/>
  </sheetPr>
  <dimension ref="A1:BZ1000"/>
  <sheetViews>
    <sheetView showGridLines="0" workbookViewId="0">
      <selection activeCell="H18" sqref="H18"/>
    </sheetView>
  </sheetViews>
  <sheetFormatPr defaultRowHeight="15" x14ac:dyDescent="0.25"/>
  <cols>
    <col min="1" max="1" width="5" customWidth="1"/>
    <col min="2" max="2" width="13.28515625" customWidth="1"/>
    <col min="3" max="3" width="3.7109375" customWidth="1"/>
    <col min="4" max="4" width="15.7109375" bestFit="1" customWidth="1"/>
    <col min="5" max="5" width="19.7109375" bestFit="1" customWidth="1"/>
    <col min="6" max="6" width="18.85546875" bestFit="1" customWidth="1"/>
    <col min="7" max="7" width="13.42578125" bestFit="1" customWidth="1"/>
    <col min="8" max="8" width="34" bestFit="1" customWidth="1"/>
    <col min="9" max="9" width="32.5703125" bestFit="1" customWidth="1"/>
    <col min="10" max="10" width="30.85546875" bestFit="1" customWidth="1"/>
    <col min="11" max="11" width="8.28515625" bestFit="1" customWidth="1"/>
    <col min="12" max="12" width="12.5703125" bestFit="1" customWidth="1"/>
    <col min="13" max="13" width="8.7109375" bestFit="1" customWidth="1"/>
    <col min="14" max="14" width="9.5703125" bestFit="1" customWidth="1"/>
    <col min="15" max="15" width="24" bestFit="1" customWidth="1"/>
    <col min="16" max="16" width="11.140625" bestFit="1" customWidth="1"/>
    <col min="17" max="17" width="10.140625" customWidth="1"/>
  </cols>
  <sheetData>
    <row r="1" spans="1:78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</row>
    <row r="2" spans="1:78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</row>
    <row r="3" spans="1:78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</row>
    <row r="4" spans="1:78" x14ac:dyDescent="0.25">
      <c r="A4" s="13"/>
      <c r="B4" s="13"/>
    </row>
    <row r="5" spans="1:78" x14ac:dyDescent="0.25">
      <c r="A5" s="71" t="str">
        <f>HYPERLINK("#'Controls'!d4", "Controls")</f>
        <v>Controls</v>
      </c>
      <c r="B5" s="71"/>
      <c r="D5" t="s">
        <v>50</v>
      </c>
      <c r="E5" t="s">
        <v>26</v>
      </c>
      <c r="F5" t="s">
        <v>56</v>
      </c>
      <c r="G5" t="s">
        <v>51</v>
      </c>
      <c r="H5" t="s">
        <v>9</v>
      </c>
      <c r="I5" t="s">
        <v>10</v>
      </c>
      <c r="J5" t="s">
        <v>27</v>
      </c>
      <c r="K5" t="s">
        <v>12</v>
      </c>
      <c r="L5" t="s">
        <v>28</v>
      </c>
      <c r="M5" t="s">
        <v>52</v>
      </c>
      <c r="N5" t="s">
        <v>3</v>
      </c>
      <c r="O5" t="s">
        <v>53</v>
      </c>
      <c r="P5" t="s">
        <v>54</v>
      </c>
      <c r="Q5" t="s">
        <v>55</v>
      </c>
    </row>
    <row r="6" spans="1:78" x14ac:dyDescent="0.25">
      <c r="A6" s="33"/>
      <c r="B6" s="34"/>
    </row>
    <row r="7" spans="1:78" x14ac:dyDescent="0.25">
      <c r="A7" s="71" t="str">
        <f>HYPERLINK("#'Line List'!d4", "Line List")</f>
        <v>Line List</v>
      </c>
      <c r="B7" s="71"/>
    </row>
    <row r="8" spans="1:78" x14ac:dyDescent="0.25">
      <c r="A8" s="33"/>
      <c r="B8" s="34"/>
    </row>
    <row r="9" spans="1:78" x14ac:dyDescent="0.25">
      <c r="A9" s="71" t="str">
        <f>HYPERLINK("#'Image Data'!D4", "Img Data")</f>
        <v>Img Data</v>
      </c>
      <c r="B9" s="71"/>
    </row>
    <row r="10" spans="1:78" x14ac:dyDescent="0.25">
      <c r="A10" s="33"/>
      <c r="B10" s="34"/>
    </row>
    <row r="11" spans="1:78" x14ac:dyDescent="0.25">
      <c r="A11" s="71" t="str">
        <f>HYPERLINK("#'Image Syle Not in Line List'!D4", "Img Style!=")</f>
        <v>Img Style!=</v>
      </c>
      <c r="B11" s="71"/>
    </row>
    <row r="12" spans="1:78" x14ac:dyDescent="0.25">
      <c r="A12" s="33"/>
      <c r="B12" s="34"/>
    </row>
    <row r="13" spans="1:78" x14ac:dyDescent="0.25">
      <c r="A13" s="71" t="str">
        <f>HYPERLINK("#'Images Not in Line List'!D4", "Img != List")</f>
        <v>Img != List</v>
      </c>
      <c r="B13" s="71"/>
    </row>
    <row r="14" spans="1:78" x14ac:dyDescent="0.25">
      <c r="A14" s="33"/>
      <c r="B14" s="34"/>
    </row>
    <row r="15" spans="1:78" x14ac:dyDescent="0.25">
      <c r="A15" s="71" t="str">
        <f>HYPERLINK("#'Line List Not in Images'!D4", "List != Img")</f>
        <v>List != Img</v>
      </c>
      <c r="B15" s="71"/>
    </row>
    <row r="16" spans="1:78" x14ac:dyDescent="0.25">
      <c r="A16" s="33"/>
      <c r="B16" s="34"/>
    </row>
    <row r="17" spans="1:2" x14ac:dyDescent="0.25">
      <c r="A17" s="71" t="str">
        <f>HYPERLINK("#'Renaming Data'!D4", "Renaming")</f>
        <v>Renaming</v>
      </c>
      <c r="B17" s="71"/>
    </row>
    <row r="18" spans="1:2" x14ac:dyDescent="0.25">
      <c r="A18" s="33"/>
      <c r="B18" s="34"/>
    </row>
    <row r="19" spans="1:2" x14ac:dyDescent="0.25">
      <c r="A19" s="71" t="str">
        <f>HYPERLINK("#'Execution Log'!D4", "Exec Log")</f>
        <v>Exec Log</v>
      </c>
      <c r="B19" s="71"/>
    </row>
    <row r="20" spans="1:2" x14ac:dyDescent="0.25">
      <c r="A20" s="13"/>
      <c r="B20" s="13"/>
    </row>
    <row r="21" spans="1:2" x14ac:dyDescent="0.25">
      <c r="A21" s="13"/>
      <c r="B21" s="13"/>
    </row>
    <row r="22" spans="1:2" x14ac:dyDescent="0.25">
      <c r="A22" s="13"/>
      <c r="B22" s="13"/>
    </row>
    <row r="23" spans="1:2" x14ac:dyDescent="0.25">
      <c r="A23" s="13"/>
      <c r="B23" s="13"/>
    </row>
    <row r="24" spans="1:2" x14ac:dyDescent="0.25">
      <c r="A24" s="13"/>
      <c r="B24" s="13"/>
    </row>
    <row r="25" spans="1:2" x14ac:dyDescent="0.25">
      <c r="A25" s="13"/>
      <c r="B25" s="13"/>
    </row>
    <row r="26" spans="1:2" x14ac:dyDescent="0.25">
      <c r="A26" s="13"/>
      <c r="B26" s="13"/>
    </row>
    <row r="27" spans="1:2" x14ac:dyDescent="0.25">
      <c r="A27" s="13"/>
      <c r="B27" s="13"/>
    </row>
    <row r="28" spans="1:2" x14ac:dyDescent="0.25">
      <c r="A28" s="13"/>
      <c r="B28" s="13"/>
    </row>
    <row r="29" spans="1:2" x14ac:dyDescent="0.25">
      <c r="A29" s="13"/>
      <c r="B29" s="13"/>
    </row>
    <row r="30" spans="1:2" x14ac:dyDescent="0.25">
      <c r="A30" s="13"/>
      <c r="B30" s="13"/>
    </row>
    <row r="31" spans="1:2" x14ac:dyDescent="0.25">
      <c r="A31" s="13"/>
      <c r="B31" s="13"/>
    </row>
    <row r="32" spans="1:2" x14ac:dyDescent="0.25">
      <c r="A32" s="13"/>
      <c r="B32" s="13"/>
    </row>
    <row r="33" spans="1:2" x14ac:dyDescent="0.25">
      <c r="A33" s="13"/>
      <c r="B33" s="13"/>
    </row>
    <row r="34" spans="1:2" x14ac:dyDescent="0.25">
      <c r="A34" s="13"/>
      <c r="B34" s="13"/>
    </row>
    <row r="35" spans="1:2" x14ac:dyDescent="0.25">
      <c r="A35" s="13"/>
      <c r="B35" s="13"/>
    </row>
    <row r="36" spans="1:2" x14ac:dyDescent="0.25">
      <c r="A36" s="13"/>
      <c r="B36" s="13"/>
    </row>
    <row r="37" spans="1:2" x14ac:dyDescent="0.25">
      <c r="A37" s="13"/>
      <c r="B37" s="13"/>
    </row>
    <row r="38" spans="1:2" x14ac:dyDescent="0.25">
      <c r="A38" s="13"/>
      <c r="B38" s="13"/>
    </row>
    <row r="39" spans="1:2" x14ac:dyDescent="0.25">
      <c r="A39" s="13"/>
      <c r="B39" s="13"/>
    </row>
    <row r="40" spans="1:2" x14ac:dyDescent="0.25">
      <c r="A40" s="13"/>
      <c r="B40" s="13"/>
    </row>
    <row r="41" spans="1:2" x14ac:dyDescent="0.25">
      <c r="A41" s="13"/>
      <c r="B41" s="13"/>
    </row>
    <row r="42" spans="1:2" x14ac:dyDescent="0.25">
      <c r="A42" s="13"/>
      <c r="B42" s="13"/>
    </row>
    <row r="43" spans="1:2" x14ac:dyDescent="0.25">
      <c r="A43" s="13"/>
      <c r="B43" s="13"/>
    </row>
    <row r="44" spans="1:2" x14ac:dyDescent="0.25">
      <c r="A44" s="13"/>
      <c r="B44" s="13"/>
    </row>
    <row r="45" spans="1:2" x14ac:dyDescent="0.25">
      <c r="A45" s="13"/>
      <c r="B45" s="13"/>
    </row>
    <row r="46" spans="1:2" x14ac:dyDescent="0.25">
      <c r="A46" s="13"/>
      <c r="B46" s="13"/>
    </row>
    <row r="47" spans="1:2" x14ac:dyDescent="0.25">
      <c r="A47" s="13"/>
      <c r="B47" s="13"/>
    </row>
    <row r="48" spans="1:2" x14ac:dyDescent="0.25">
      <c r="A48" s="13"/>
      <c r="B48" s="13"/>
    </row>
    <row r="49" spans="1:2" x14ac:dyDescent="0.25">
      <c r="A49" s="13"/>
      <c r="B49" s="13"/>
    </row>
    <row r="50" spans="1:2" x14ac:dyDescent="0.25">
      <c r="A50" s="13"/>
      <c r="B50" s="13"/>
    </row>
    <row r="51" spans="1:2" x14ac:dyDescent="0.25">
      <c r="A51" s="13"/>
      <c r="B51" s="13"/>
    </row>
    <row r="52" spans="1:2" x14ac:dyDescent="0.25">
      <c r="A52" s="13"/>
      <c r="B52" s="13"/>
    </row>
    <row r="53" spans="1:2" x14ac:dyDescent="0.25">
      <c r="A53" s="13"/>
      <c r="B53" s="13"/>
    </row>
    <row r="54" spans="1:2" x14ac:dyDescent="0.25">
      <c r="A54" s="13"/>
      <c r="B54" s="13"/>
    </row>
    <row r="55" spans="1:2" x14ac:dyDescent="0.25">
      <c r="A55" s="13"/>
      <c r="B55" s="13"/>
    </row>
    <row r="56" spans="1:2" x14ac:dyDescent="0.25">
      <c r="A56" s="13"/>
      <c r="B56" s="13"/>
    </row>
    <row r="57" spans="1:2" x14ac:dyDescent="0.25">
      <c r="A57" s="13"/>
      <c r="B57" s="13"/>
    </row>
    <row r="58" spans="1:2" x14ac:dyDescent="0.25">
      <c r="A58" s="13"/>
      <c r="B58" s="13"/>
    </row>
    <row r="59" spans="1:2" x14ac:dyDescent="0.25">
      <c r="A59" s="13"/>
      <c r="B59" s="13"/>
    </row>
    <row r="60" spans="1:2" x14ac:dyDescent="0.25">
      <c r="A60" s="13"/>
      <c r="B60" s="13"/>
    </row>
    <row r="61" spans="1:2" x14ac:dyDescent="0.25">
      <c r="A61" s="13"/>
      <c r="B61" s="13"/>
    </row>
    <row r="62" spans="1:2" x14ac:dyDescent="0.25">
      <c r="A62" s="13"/>
      <c r="B62" s="13"/>
    </row>
    <row r="63" spans="1:2" x14ac:dyDescent="0.25">
      <c r="A63" s="13"/>
      <c r="B63" s="13"/>
    </row>
    <row r="64" spans="1:2" x14ac:dyDescent="0.25">
      <c r="A64" s="13"/>
      <c r="B64" s="13"/>
    </row>
    <row r="65" spans="1:2" x14ac:dyDescent="0.25">
      <c r="A65" s="13"/>
      <c r="B65" s="13"/>
    </row>
    <row r="66" spans="1:2" x14ac:dyDescent="0.25">
      <c r="A66" s="13"/>
      <c r="B66" s="13"/>
    </row>
    <row r="67" spans="1:2" x14ac:dyDescent="0.25">
      <c r="A67" s="13"/>
      <c r="B67" s="13"/>
    </row>
    <row r="68" spans="1:2" x14ac:dyDescent="0.25">
      <c r="A68" s="13"/>
      <c r="B68" s="13"/>
    </row>
    <row r="69" spans="1:2" x14ac:dyDescent="0.25">
      <c r="A69" s="13"/>
      <c r="B69" s="13"/>
    </row>
    <row r="70" spans="1:2" x14ac:dyDescent="0.25">
      <c r="A70" s="13"/>
      <c r="B70" s="13"/>
    </row>
    <row r="71" spans="1:2" x14ac:dyDescent="0.25">
      <c r="A71" s="13"/>
      <c r="B71" s="13"/>
    </row>
    <row r="72" spans="1:2" x14ac:dyDescent="0.25">
      <c r="A72" s="13"/>
      <c r="B72" s="13"/>
    </row>
    <row r="73" spans="1:2" x14ac:dyDescent="0.25">
      <c r="A73" s="13"/>
      <c r="B73" s="13"/>
    </row>
    <row r="74" spans="1:2" x14ac:dyDescent="0.25">
      <c r="A74" s="13"/>
      <c r="B74" s="13"/>
    </row>
    <row r="75" spans="1:2" x14ac:dyDescent="0.25">
      <c r="A75" s="13"/>
      <c r="B75" s="13"/>
    </row>
    <row r="76" spans="1:2" x14ac:dyDescent="0.25">
      <c r="A76" s="13"/>
      <c r="B76" s="13"/>
    </row>
    <row r="77" spans="1:2" x14ac:dyDescent="0.25">
      <c r="A77" s="13"/>
      <c r="B77" s="13"/>
    </row>
    <row r="78" spans="1:2" x14ac:dyDescent="0.25">
      <c r="A78" s="13"/>
      <c r="B78" s="13"/>
    </row>
    <row r="79" spans="1:2" x14ac:dyDescent="0.25">
      <c r="A79" s="13"/>
      <c r="B79" s="13"/>
    </row>
    <row r="80" spans="1:2" x14ac:dyDescent="0.25">
      <c r="A80" s="13"/>
      <c r="B80" s="13"/>
    </row>
    <row r="81" spans="1:2" x14ac:dyDescent="0.25">
      <c r="A81" s="13"/>
      <c r="B81" s="13"/>
    </row>
    <row r="82" spans="1:2" x14ac:dyDescent="0.25">
      <c r="A82" s="13"/>
      <c r="B82" s="13"/>
    </row>
    <row r="83" spans="1:2" x14ac:dyDescent="0.25">
      <c r="A83" s="13"/>
      <c r="B83" s="13"/>
    </row>
    <row r="84" spans="1:2" x14ac:dyDescent="0.25">
      <c r="A84" s="13"/>
      <c r="B84" s="13"/>
    </row>
    <row r="85" spans="1:2" x14ac:dyDescent="0.25">
      <c r="A85" s="13"/>
      <c r="B85" s="13"/>
    </row>
    <row r="86" spans="1:2" x14ac:dyDescent="0.25">
      <c r="A86" s="13"/>
      <c r="B86" s="13"/>
    </row>
    <row r="87" spans="1:2" x14ac:dyDescent="0.25">
      <c r="A87" s="13"/>
      <c r="B87" s="13"/>
    </row>
    <row r="88" spans="1:2" x14ac:dyDescent="0.25">
      <c r="A88" s="13"/>
      <c r="B88" s="13"/>
    </row>
    <row r="89" spans="1:2" x14ac:dyDescent="0.25">
      <c r="A89" s="13"/>
      <c r="B89" s="13"/>
    </row>
    <row r="90" spans="1:2" x14ac:dyDescent="0.25">
      <c r="A90" s="13"/>
      <c r="B90" s="13"/>
    </row>
    <row r="91" spans="1:2" x14ac:dyDescent="0.25">
      <c r="A91" s="13"/>
      <c r="B91" s="13"/>
    </row>
    <row r="92" spans="1:2" x14ac:dyDescent="0.25">
      <c r="A92" s="13"/>
      <c r="B92" s="13"/>
    </row>
    <row r="93" spans="1:2" x14ac:dyDescent="0.25">
      <c r="A93" s="13"/>
      <c r="B93" s="13"/>
    </row>
    <row r="94" spans="1:2" x14ac:dyDescent="0.25">
      <c r="A94" s="13"/>
      <c r="B94" s="13"/>
    </row>
    <row r="95" spans="1:2" x14ac:dyDescent="0.25">
      <c r="A95" s="13"/>
      <c r="B95" s="13"/>
    </row>
    <row r="96" spans="1:2" x14ac:dyDescent="0.25">
      <c r="A96" s="13"/>
      <c r="B96" s="13"/>
    </row>
    <row r="97" spans="1:2" x14ac:dyDescent="0.25">
      <c r="A97" s="13"/>
      <c r="B97" s="13"/>
    </row>
    <row r="98" spans="1:2" x14ac:dyDescent="0.25">
      <c r="A98" s="13"/>
      <c r="B98" s="13"/>
    </row>
    <row r="99" spans="1:2" x14ac:dyDescent="0.25">
      <c r="A99" s="13"/>
      <c r="B99" s="13"/>
    </row>
    <row r="100" spans="1:2" x14ac:dyDescent="0.25">
      <c r="A100" s="13"/>
      <c r="B100" s="13"/>
    </row>
    <row r="101" spans="1:2" x14ac:dyDescent="0.25">
      <c r="A101" s="13"/>
      <c r="B101" s="13"/>
    </row>
    <row r="102" spans="1:2" x14ac:dyDescent="0.25">
      <c r="A102" s="13"/>
      <c r="B102" s="13"/>
    </row>
    <row r="103" spans="1:2" x14ac:dyDescent="0.25">
      <c r="A103" s="13"/>
      <c r="B103" s="13"/>
    </row>
    <row r="104" spans="1:2" x14ac:dyDescent="0.25">
      <c r="A104" s="13"/>
      <c r="B104" s="13"/>
    </row>
    <row r="105" spans="1:2" x14ac:dyDescent="0.25">
      <c r="A105" s="13"/>
      <c r="B105" s="13"/>
    </row>
    <row r="106" spans="1:2" x14ac:dyDescent="0.25">
      <c r="A106" s="13"/>
      <c r="B106" s="13"/>
    </row>
    <row r="107" spans="1:2" x14ac:dyDescent="0.25">
      <c r="A107" s="13"/>
      <c r="B107" s="13"/>
    </row>
    <row r="108" spans="1:2" x14ac:dyDescent="0.25">
      <c r="A108" s="13"/>
      <c r="B108" s="13"/>
    </row>
    <row r="109" spans="1:2" x14ac:dyDescent="0.25">
      <c r="A109" s="13"/>
      <c r="B109" s="13"/>
    </row>
    <row r="110" spans="1:2" x14ac:dyDescent="0.25">
      <c r="A110" s="13"/>
      <c r="B110" s="13"/>
    </row>
    <row r="111" spans="1:2" x14ac:dyDescent="0.25">
      <c r="A111" s="13"/>
      <c r="B111" s="13"/>
    </row>
    <row r="112" spans="1:2" x14ac:dyDescent="0.25">
      <c r="A112" s="13"/>
      <c r="B112" s="13"/>
    </row>
    <row r="113" spans="1:2" x14ac:dyDescent="0.25">
      <c r="A113" s="13"/>
      <c r="B113" s="13"/>
    </row>
    <row r="114" spans="1:2" x14ac:dyDescent="0.25">
      <c r="A114" s="13"/>
      <c r="B114" s="13"/>
    </row>
    <row r="115" spans="1:2" x14ac:dyDescent="0.25">
      <c r="A115" s="13"/>
      <c r="B115" s="13"/>
    </row>
    <row r="116" spans="1:2" x14ac:dyDescent="0.25">
      <c r="A116" s="13"/>
      <c r="B116" s="13"/>
    </row>
    <row r="117" spans="1:2" x14ac:dyDescent="0.25">
      <c r="A117" s="13"/>
      <c r="B117" s="13"/>
    </row>
    <row r="118" spans="1:2" x14ac:dyDescent="0.25">
      <c r="A118" s="13"/>
      <c r="B118" s="13"/>
    </row>
    <row r="119" spans="1:2" x14ac:dyDescent="0.25">
      <c r="A119" s="13"/>
      <c r="B119" s="13"/>
    </row>
    <row r="120" spans="1:2" x14ac:dyDescent="0.25">
      <c r="A120" s="13"/>
      <c r="B120" s="13"/>
    </row>
    <row r="121" spans="1:2" x14ac:dyDescent="0.25">
      <c r="A121" s="13"/>
      <c r="B121" s="13"/>
    </row>
    <row r="122" spans="1:2" x14ac:dyDescent="0.25">
      <c r="A122" s="13"/>
      <c r="B122" s="13"/>
    </row>
    <row r="123" spans="1:2" x14ac:dyDescent="0.25">
      <c r="A123" s="13"/>
      <c r="B123" s="13"/>
    </row>
    <row r="124" spans="1:2" x14ac:dyDescent="0.25">
      <c r="A124" s="13"/>
      <c r="B124" s="13"/>
    </row>
    <row r="125" spans="1:2" x14ac:dyDescent="0.25">
      <c r="A125" s="13"/>
      <c r="B125" s="13"/>
    </row>
    <row r="126" spans="1:2" x14ac:dyDescent="0.25">
      <c r="A126" s="13"/>
      <c r="B126" s="13"/>
    </row>
    <row r="127" spans="1:2" x14ac:dyDescent="0.25">
      <c r="A127" s="13"/>
      <c r="B127" s="13"/>
    </row>
    <row r="128" spans="1:2" x14ac:dyDescent="0.25">
      <c r="A128" s="13"/>
      <c r="B128" s="13"/>
    </row>
    <row r="129" spans="1:2" x14ac:dyDescent="0.25">
      <c r="A129" s="13"/>
      <c r="B129" s="13"/>
    </row>
    <row r="130" spans="1:2" x14ac:dyDescent="0.25">
      <c r="A130" s="13"/>
      <c r="B130" s="13"/>
    </row>
    <row r="131" spans="1:2" x14ac:dyDescent="0.25">
      <c r="A131" s="13"/>
      <c r="B131" s="13"/>
    </row>
    <row r="132" spans="1:2" x14ac:dyDescent="0.25">
      <c r="A132" s="13"/>
      <c r="B132" s="13"/>
    </row>
    <row r="133" spans="1:2" x14ac:dyDescent="0.25">
      <c r="A133" s="13"/>
      <c r="B133" s="13"/>
    </row>
    <row r="134" spans="1:2" x14ac:dyDescent="0.25">
      <c r="A134" s="13"/>
      <c r="B134" s="13"/>
    </row>
    <row r="135" spans="1:2" x14ac:dyDescent="0.25">
      <c r="A135" s="13"/>
      <c r="B135" s="13"/>
    </row>
    <row r="136" spans="1:2" x14ac:dyDescent="0.25">
      <c r="A136" s="13"/>
      <c r="B136" s="13"/>
    </row>
    <row r="137" spans="1:2" x14ac:dyDescent="0.25">
      <c r="A137" s="13"/>
      <c r="B137" s="13"/>
    </row>
    <row r="138" spans="1:2" x14ac:dyDescent="0.25">
      <c r="A138" s="13"/>
      <c r="B138" s="13"/>
    </row>
    <row r="139" spans="1:2" x14ac:dyDescent="0.25">
      <c r="A139" s="13"/>
      <c r="B139" s="13"/>
    </row>
    <row r="140" spans="1:2" x14ac:dyDescent="0.25">
      <c r="A140" s="13"/>
      <c r="B140" s="13"/>
    </row>
    <row r="141" spans="1:2" x14ac:dyDescent="0.25">
      <c r="A141" s="13"/>
      <c r="B141" s="13"/>
    </row>
    <row r="142" spans="1:2" x14ac:dyDescent="0.25">
      <c r="A142" s="13"/>
      <c r="B142" s="13"/>
    </row>
    <row r="143" spans="1:2" x14ac:dyDescent="0.25">
      <c r="A143" s="13"/>
      <c r="B143" s="13"/>
    </row>
    <row r="144" spans="1:2" x14ac:dyDescent="0.25">
      <c r="A144" s="13"/>
      <c r="B144" s="13"/>
    </row>
    <row r="145" spans="1:2" x14ac:dyDescent="0.25">
      <c r="A145" s="13"/>
      <c r="B145" s="13"/>
    </row>
    <row r="146" spans="1:2" x14ac:dyDescent="0.25">
      <c r="A146" s="13"/>
      <c r="B146" s="13"/>
    </row>
    <row r="147" spans="1:2" x14ac:dyDescent="0.25">
      <c r="A147" s="13"/>
      <c r="B147" s="13"/>
    </row>
    <row r="148" spans="1:2" x14ac:dyDescent="0.25">
      <c r="A148" s="13"/>
      <c r="B148" s="13"/>
    </row>
    <row r="149" spans="1:2" x14ac:dyDescent="0.25">
      <c r="A149" s="13"/>
      <c r="B149" s="13"/>
    </row>
    <row r="150" spans="1:2" x14ac:dyDescent="0.25">
      <c r="A150" s="13"/>
      <c r="B150" s="13"/>
    </row>
    <row r="151" spans="1:2" x14ac:dyDescent="0.25">
      <c r="A151" s="13"/>
      <c r="B151" s="13"/>
    </row>
    <row r="152" spans="1:2" x14ac:dyDescent="0.25">
      <c r="A152" s="13"/>
      <c r="B152" s="13"/>
    </row>
    <row r="153" spans="1:2" x14ac:dyDescent="0.25">
      <c r="A153" s="13"/>
      <c r="B153" s="13"/>
    </row>
    <row r="154" spans="1:2" x14ac:dyDescent="0.25">
      <c r="A154" s="13"/>
      <c r="B154" s="13"/>
    </row>
    <row r="155" spans="1:2" x14ac:dyDescent="0.25">
      <c r="A155" s="13"/>
      <c r="B155" s="13"/>
    </row>
    <row r="156" spans="1:2" x14ac:dyDescent="0.25">
      <c r="A156" s="13"/>
      <c r="B156" s="13"/>
    </row>
    <row r="157" spans="1:2" x14ac:dyDescent="0.25">
      <c r="A157" s="13"/>
      <c r="B157" s="13"/>
    </row>
    <row r="158" spans="1:2" x14ac:dyDescent="0.25">
      <c r="A158" s="13"/>
      <c r="B158" s="13"/>
    </row>
    <row r="159" spans="1:2" x14ac:dyDescent="0.25">
      <c r="A159" s="13"/>
      <c r="B159" s="13"/>
    </row>
    <row r="160" spans="1:2" x14ac:dyDescent="0.25">
      <c r="A160" s="13"/>
      <c r="B160" s="13"/>
    </row>
    <row r="161" spans="1:2" x14ac:dyDescent="0.25">
      <c r="A161" s="13"/>
      <c r="B161" s="13"/>
    </row>
    <row r="162" spans="1:2" x14ac:dyDescent="0.25">
      <c r="A162" s="13"/>
      <c r="B162" s="13"/>
    </row>
    <row r="163" spans="1:2" x14ac:dyDescent="0.25">
      <c r="A163" s="13"/>
      <c r="B163" s="13"/>
    </row>
    <row r="164" spans="1:2" x14ac:dyDescent="0.25">
      <c r="A164" s="13"/>
      <c r="B164" s="13"/>
    </row>
    <row r="165" spans="1:2" x14ac:dyDescent="0.25">
      <c r="A165" s="13"/>
      <c r="B165" s="13"/>
    </row>
    <row r="166" spans="1:2" x14ac:dyDescent="0.25">
      <c r="A166" s="13"/>
      <c r="B166" s="13"/>
    </row>
    <row r="167" spans="1:2" x14ac:dyDescent="0.25">
      <c r="A167" s="13"/>
      <c r="B167" s="13"/>
    </row>
    <row r="168" spans="1:2" x14ac:dyDescent="0.25">
      <c r="A168" s="13"/>
      <c r="B168" s="13"/>
    </row>
    <row r="169" spans="1:2" x14ac:dyDescent="0.25">
      <c r="A169" s="13"/>
      <c r="B169" s="13"/>
    </row>
    <row r="170" spans="1:2" x14ac:dyDescent="0.25">
      <c r="A170" s="13"/>
      <c r="B170" s="13"/>
    </row>
    <row r="171" spans="1:2" x14ac:dyDescent="0.25">
      <c r="A171" s="13"/>
      <c r="B171" s="13"/>
    </row>
    <row r="172" spans="1:2" x14ac:dyDescent="0.25">
      <c r="A172" s="13"/>
      <c r="B172" s="13"/>
    </row>
    <row r="173" spans="1:2" x14ac:dyDescent="0.25">
      <c r="A173" s="13"/>
      <c r="B173" s="13"/>
    </row>
    <row r="174" spans="1:2" x14ac:dyDescent="0.25">
      <c r="A174" s="13"/>
      <c r="B174" s="13"/>
    </row>
    <row r="175" spans="1:2" x14ac:dyDescent="0.25">
      <c r="A175" s="13"/>
      <c r="B175" s="13"/>
    </row>
    <row r="176" spans="1:2" x14ac:dyDescent="0.25">
      <c r="A176" s="13"/>
      <c r="B176" s="13"/>
    </row>
    <row r="177" spans="1:2" x14ac:dyDescent="0.25">
      <c r="A177" s="13"/>
      <c r="B177" s="13"/>
    </row>
    <row r="178" spans="1:2" x14ac:dyDescent="0.25">
      <c r="A178" s="13"/>
      <c r="B178" s="13"/>
    </row>
    <row r="179" spans="1:2" x14ac:dyDescent="0.25">
      <c r="A179" s="13"/>
      <c r="B179" s="13"/>
    </row>
    <row r="180" spans="1:2" x14ac:dyDescent="0.25">
      <c r="A180" s="13"/>
      <c r="B180" s="13"/>
    </row>
    <row r="181" spans="1:2" x14ac:dyDescent="0.25">
      <c r="A181" s="13"/>
      <c r="B181" s="13"/>
    </row>
    <row r="182" spans="1:2" x14ac:dyDescent="0.25">
      <c r="A182" s="13"/>
      <c r="B182" s="13"/>
    </row>
    <row r="183" spans="1:2" x14ac:dyDescent="0.25">
      <c r="A183" s="13"/>
      <c r="B183" s="13"/>
    </row>
    <row r="184" spans="1:2" x14ac:dyDescent="0.25">
      <c r="A184" s="13"/>
      <c r="B184" s="13"/>
    </row>
    <row r="185" spans="1:2" x14ac:dyDescent="0.25">
      <c r="A185" s="13"/>
      <c r="B185" s="13"/>
    </row>
    <row r="186" spans="1:2" x14ac:dyDescent="0.25">
      <c r="A186" s="13"/>
      <c r="B186" s="13"/>
    </row>
    <row r="187" spans="1:2" x14ac:dyDescent="0.25">
      <c r="A187" s="13"/>
      <c r="B187" s="13"/>
    </row>
    <row r="188" spans="1:2" x14ac:dyDescent="0.25">
      <c r="A188" s="13"/>
      <c r="B188" s="13"/>
    </row>
    <row r="189" spans="1:2" x14ac:dyDescent="0.25">
      <c r="A189" s="13"/>
      <c r="B189" s="13"/>
    </row>
    <row r="190" spans="1:2" x14ac:dyDescent="0.25">
      <c r="A190" s="13"/>
      <c r="B190" s="13"/>
    </row>
    <row r="191" spans="1:2" x14ac:dyDescent="0.25">
      <c r="A191" s="13"/>
      <c r="B191" s="13"/>
    </row>
    <row r="192" spans="1:2" x14ac:dyDescent="0.25">
      <c r="A192" s="13"/>
      <c r="B192" s="13"/>
    </row>
    <row r="193" spans="1:2" x14ac:dyDescent="0.25">
      <c r="A193" s="13"/>
      <c r="B193" s="13"/>
    </row>
    <row r="194" spans="1:2" x14ac:dyDescent="0.25">
      <c r="A194" s="13"/>
      <c r="B194" s="13"/>
    </row>
    <row r="195" spans="1:2" x14ac:dyDescent="0.25">
      <c r="A195" s="13"/>
      <c r="B195" s="13"/>
    </row>
    <row r="196" spans="1:2" x14ac:dyDescent="0.25">
      <c r="A196" s="13"/>
      <c r="B196" s="13"/>
    </row>
    <row r="197" spans="1:2" x14ac:dyDescent="0.25">
      <c r="A197" s="13"/>
      <c r="B197" s="13"/>
    </row>
    <row r="198" spans="1:2" x14ac:dyDescent="0.25">
      <c r="A198" s="13"/>
      <c r="B198" s="13"/>
    </row>
    <row r="199" spans="1:2" x14ac:dyDescent="0.25">
      <c r="A199" s="13"/>
      <c r="B199" s="13"/>
    </row>
    <row r="200" spans="1:2" x14ac:dyDescent="0.25">
      <c r="A200" s="13"/>
      <c r="B200" s="13"/>
    </row>
    <row r="201" spans="1:2" x14ac:dyDescent="0.25">
      <c r="A201" s="13"/>
      <c r="B201" s="13"/>
    </row>
    <row r="202" spans="1:2" x14ac:dyDescent="0.25">
      <c r="A202" s="13"/>
      <c r="B202" s="13"/>
    </row>
    <row r="203" spans="1:2" x14ac:dyDescent="0.25">
      <c r="A203" s="13"/>
      <c r="B203" s="13"/>
    </row>
    <row r="204" spans="1:2" x14ac:dyDescent="0.25">
      <c r="A204" s="13"/>
      <c r="B204" s="13"/>
    </row>
    <row r="205" spans="1:2" x14ac:dyDescent="0.25">
      <c r="A205" s="13"/>
      <c r="B205" s="13"/>
    </row>
    <row r="206" spans="1:2" x14ac:dyDescent="0.25">
      <c r="A206" s="13"/>
      <c r="B206" s="13"/>
    </row>
    <row r="207" spans="1:2" x14ac:dyDescent="0.25">
      <c r="A207" s="13"/>
      <c r="B207" s="13"/>
    </row>
    <row r="208" spans="1:2" x14ac:dyDescent="0.25">
      <c r="A208" s="13"/>
      <c r="B208" s="13"/>
    </row>
    <row r="209" spans="1:2" x14ac:dyDescent="0.25">
      <c r="A209" s="13"/>
      <c r="B209" s="13"/>
    </row>
    <row r="210" spans="1:2" x14ac:dyDescent="0.25">
      <c r="A210" s="13"/>
      <c r="B210" s="13"/>
    </row>
    <row r="211" spans="1:2" x14ac:dyDescent="0.25">
      <c r="A211" s="13"/>
      <c r="B211" s="13"/>
    </row>
    <row r="212" spans="1:2" x14ac:dyDescent="0.25">
      <c r="A212" s="13"/>
      <c r="B212" s="13"/>
    </row>
    <row r="213" spans="1:2" x14ac:dyDescent="0.25">
      <c r="A213" s="13"/>
      <c r="B213" s="13"/>
    </row>
    <row r="214" spans="1:2" x14ac:dyDescent="0.25">
      <c r="A214" s="13"/>
      <c r="B214" s="13"/>
    </row>
    <row r="215" spans="1:2" x14ac:dyDescent="0.25">
      <c r="A215" s="13"/>
      <c r="B215" s="13"/>
    </row>
    <row r="216" spans="1:2" x14ac:dyDescent="0.25">
      <c r="A216" s="13"/>
      <c r="B216" s="13"/>
    </row>
    <row r="217" spans="1:2" x14ac:dyDescent="0.25">
      <c r="A217" s="13"/>
      <c r="B217" s="13"/>
    </row>
    <row r="218" spans="1:2" x14ac:dyDescent="0.25">
      <c r="A218" s="13"/>
      <c r="B218" s="13"/>
    </row>
    <row r="219" spans="1:2" x14ac:dyDescent="0.25">
      <c r="A219" s="13"/>
      <c r="B219" s="13"/>
    </row>
    <row r="220" spans="1:2" x14ac:dyDescent="0.25">
      <c r="A220" s="13"/>
      <c r="B220" s="13"/>
    </row>
    <row r="221" spans="1:2" x14ac:dyDescent="0.25">
      <c r="A221" s="13"/>
      <c r="B221" s="13"/>
    </row>
    <row r="222" spans="1:2" x14ac:dyDescent="0.25">
      <c r="A222" s="13"/>
      <c r="B222" s="13"/>
    </row>
    <row r="223" spans="1:2" x14ac:dyDescent="0.25">
      <c r="A223" s="13"/>
      <c r="B223" s="13"/>
    </row>
    <row r="224" spans="1:2" x14ac:dyDescent="0.25">
      <c r="A224" s="13"/>
      <c r="B224" s="13"/>
    </row>
    <row r="225" spans="1:2" x14ac:dyDescent="0.25">
      <c r="A225" s="13"/>
      <c r="B225" s="13"/>
    </row>
    <row r="226" spans="1:2" x14ac:dyDescent="0.25">
      <c r="A226" s="13"/>
      <c r="B226" s="13"/>
    </row>
    <row r="227" spans="1:2" x14ac:dyDescent="0.25">
      <c r="A227" s="13"/>
      <c r="B227" s="13"/>
    </row>
    <row r="228" spans="1:2" x14ac:dyDescent="0.25">
      <c r="A228" s="13"/>
      <c r="B228" s="13"/>
    </row>
    <row r="229" spans="1:2" x14ac:dyDescent="0.25">
      <c r="A229" s="13"/>
      <c r="B229" s="13"/>
    </row>
    <row r="230" spans="1:2" x14ac:dyDescent="0.25">
      <c r="A230" s="13"/>
      <c r="B230" s="13"/>
    </row>
    <row r="231" spans="1:2" x14ac:dyDescent="0.25">
      <c r="A231" s="13"/>
      <c r="B231" s="13"/>
    </row>
    <row r="232" spans="1:2" x14ac:dyDescent="0.25">
      <c r="A232" s="13"/>
      <c r="B232" s="13"/>
    </row>
    <row r="233" spans="1:2" x14ac:dyDescent="0.25">
      <c r="A233" s="13"/>
      <c r="B233" s="13"/>
    </row>
    <row r="234" spans="1:2" x14ac:dyDescent="0.25">
      <c r="A234" s="13"/>
      <c r="B234" s="13"/>
    </row>
    <row r="235" spans="1:2" x14ac:dyDescent="0.25">
      <c r="A235" s="13"/>
      <c r="B235" s="13"/>
    </row>
    <row r="236" spans="1:2" x14ac:dyDescent="0.25">
      <c r="A236" s="13"/>
      <c r="B236" s="13"/>
    </row>
    <row r="237" spans="1:2" x14ac:dyDescent="0.25">
      <c r="A237" s="13"/>
      <c r="B237" s="13"/>
    </row>
    <row r="238" spans="1:2" x14ac:dyDescent="0.25">
      <c r="A238" s="13"/>
      <c r="B238" s="13"/>
    </row>
    <row r="239" spans="1:2" x14ac:dyDescent="0.25">
      <c r="A239" s="13"/>
      <c r="B239" s="13"/>
    </row>
    <row r="240" spans="1:2" x14ac:dyDescent="0.25">
      <c r="A240" s="13"/>
      <c r="B240" s="13"/>
    </row>
    <row r="241" spans="1:2" x14ac:dyDescent="0.25">
      <c r="A241" s="13"/>
      <c r="B241" s="13"/>
    </row>
    <row r="242" spans="1:2" x14ac:dyDescent="0.25">
      <c r="A242" s="13"/>
      <c r="B242" s="13"/>
    </row>
    <row r="243" spans="1:2" x14ac:dyDescent="0.25">
      <c r="A243" s="13"/>
      <c r="B243" s="13"/>
    </row>
    <row r="244" spans="1:2" x14ac:dyDescent="0.25">
      <c r="A244" s="13"/>
      <c r="B244" s="13"/>
    </row>
    <row r="245" spans="1:2" x14ac:dyDescent="0.25">
      <c r="A245" s="13"/>
      <c r="B245" s="13"/>
    </row>
    <row r="246" spans="1:2" x14ac:dyDescent="0.25">
      <c r="A246" s="13"/>
      <c r="B246" s="13"/>
    </row>
    <row r="247" spans="1:2" x14ac:dyDescent="0.25">
      <c r="A247" s="13"/>
      <c r="B247" s="13"/>
    </row>
    <row r="248" spans="1:2" x14ac:dyDescent="0.25">
      <c r="A248" s="13"/>
      <c r="B248" s="13"/>
    </row>
    <row r="249" spans="1:2" x14ac:dyDescent="0.25">
      <c r="A249" s="13"/>
      <c r="B249" s="13"/>
    </row>
    <row r="250" spans="1:2" x14ac:dyDescent="0.25">
      <c r="A250" s="13"/>
      <c r="B250" s="13"/>
    </row>
    <row r="251" spans="1:2" x14ac:dyDescent="0.25">
      <c r="A251" s="13"/>
      <c r="B251" s="13"/>
    </row>
    <row r="252" spans="1:2" x14ac:dyDescent="0.25">
      <c r="A252" s="13"/>
      <c r="B252" s="13"/>
    </row>
    <row r="253" spans="1:2" x14ac:dyDescent="0.25">
      <c r="A253" s="13"/>
      <c r="B253" s="13"/>
    </row>
    <row r="254" spans="1:2" x14ac:dyDescent="0.25">
      <c r="A254" s="13"/>
      <c r="B254" s="13"/>
    </row>
    <row r="255" spans="1:2" x14ac:dyDescent="0.25">
      <c r="A255" s="13"/>
      <c r="B255" s="13"/>
    </row>
    <row r="256" spans="1:2" x14ac:dyDescent="0.25">
      <c r="A256" s="13"/>
      <c r="B256" s="13"/>
    </row>
    <row r="257" spans="1:2" x14ac:dyDescent="0.25">
      <c r="A257" s="13"/>
      <c r="B257" s="13"/>
    </row>
    <row r="258" spans="1:2" x14ac:dyDescent="0.25">
      <c r="A258" s="13"/>
      <c r="B258" s="13"/>
    </row>
    <row r="259" spans="1:2" x14ac:dyDescent="0.25">
      <c r="A259" s="13"/>
      <c r="B259" s="13"/>
    </row>
    <row r="260" spans="1:2" x14ac:dyDescent="0.25">
      <c r="A260" s="13"/>
      <c r="B260" s="13"/>
    </row>
    <row r="261" spans="1:2" x14ac:dyDescent="0.25">
      <c r="A261" s="13"/>
      <c r="B261" s="13"/>
    </row>
    <row r="262" spans="1:2" x14ac:dyDescent="0.25">
      <c r="A262" s="13"/>
      <c r="B262" s="13"/>
    </row>
    <row r="263" spans="1:2" x14ac:dyDescent="0.25">
      <c r="A263" s="13"/>
      <c r="B263" s="13"/>
    </row>
    <row r="264" spans="1:2" x14ac:dyDescent="0.25">
      <c r="A264" s="13"/>
      <c r="B264" s="13"/>
    </row>
    <row r="265" spans="1:2" x14ac:dyDescent="0.25">
      <c r="A265" s="13"/>
      <c r="B265" s="13"/>
    </row>
    <row r="266" spans="1:2" x14ac:dyDescent="0.25">
      <c r="A266" s="13"/>
      <c r="B266" s="13"/>
    </row>
    <row r="267" spans="1:2" x14ac:dyDescent="0.25">
      <c r="A267" s="13"/>
      <c r="B267" s="13"/>
    </row>
    <row r="268" spans="1:2" x14ac:dyDescent="0.25">
      <c r="A268" s="13"/>
      <c r="B268" s="13"/>
    </row>
    <row r="269" spans="1:2" x14ac:dyDescent="0.25">
      <c r="A269" s="13"/>
      <c r="B269" s="13"/>
    </row>
    <row r="270" spans="1:2" x14ac:dyDescent="0.25">
      <c r="A270" s="13"/>
      <c r="B270" s="13"/>
    </row>
    <row r="271" spans="1:2" x14ac:dyDescent="0.25">
      <c r="A271" s="13"/>
      <c r="B271" s="13"/>
    </row>
    <row r="272" spans="1:2" x14ac:dyDescent="0.25">
      <c r="A272" s="13"/>
      <c r="B272" s="13"/>
    </row>
    <row r="273" spans="1:2" x14ac:dyDescent="0.25">
      <c r="A273" s="13"/>
      <c r="B273" s="13"/>
    </row>
    <row r="274" spans="1:2" x14ac:dyDescent="0.25">
      <c r="A274" s="13"/>
      <c r="B274" s="13"/>
    </row>
    <row r="275" spans="1:2" x14ac:dyDescent="0.25">
      <c r="A275" s="13"/>
      <c r="B275" s="13"/>
    </row>
    <row r="276" spans="1:2" x14ac:dyDescent="0.25">
      <c r="A276" s="13"/>
      <c r="B276" s="13"/>
    </row>
    <row r="277" spans="1:2" x14ac:dyDescent="0.25">
      <c r="A277" s="13"/>
      <c r="B277" s="13"/>
    </row>
    <row r="278" spans="1:2" x14ac:dyDescent="0.25">
      <c r="A278" s="13"/>
      <c r="B278" s="13"/>
    </row>
    <row r="279" spans="1:2" x14ac:dyDescent="0.25">
      <c r="A279" s="13"/>
      <c r="B279" s="13"/>
    </row>
    <row r="280" spans="1:2" x14ac:dyDescent="0.25">
      <c r="A280" s="13"/>
      <c r="B280" s="13"/>
    </row>
    <row r="281" spans="1:2" x14ac:dyDescent="0.25">
      <c r="A281" s="13"/>
      <c r="B281" s="13"/>
    </row>
    <row r="282" spans="1:2" x14ac:dyDescent="0.25">
      <c r="A282" s="13"/>
      <c r="B282" s="13"/>
    </row>
    <row r="283" spans="1:2" x14ac:dyDescent="0.25">
      <c r="A283" s="13"/>
      <c r="B283" s="13"/>
    </row>
    <row r="284" spans="1:2" x14ac:dyDescent="0.25">
      <c r="A284" s="13"/>
      <c r="B284" s="13"/>
    </row>
    <row r="285" spans="1:2" x14ac:dyDescent="0.25">
      <c r="A285" s="13"/>
      <c r="B285" s="13"/>
    </row>
    <row r="286" spans="1:2" x14ac:dyDescent="0.25">
      <c r="A286" s="13"/>
      <c r="B286" s="13"/>
    </row>
    <row r="287" spans="1:2" x14ac:dyDescent="0.25">
      <c r="A287" s="13"/>
      <c r="B287" s="13"/>
    </row>
    <row r="288" spans="1:2" x14ac:dyDescent="0.25">
      <c r="A288" s="13"/>
      <c r="B288" s="13"/>
    </row>
    <row r="289" spans="1:2" x14ac:dyDescent="0.25">
      <c r="A289" s="13"/>
      <c r="B289" s="13"/>
    </row>
    <row r="290" spans="1:2" x14ac:dyDescent="0.25">
      <c r="A290" s="13"/>
      <c r="B290" s="13"/>
    </row>
    <row r="291" spans="1:2" x14ac:dyDescent="0.25">
      <c r="A291" s="13"/>
      <c r="B291" s="13"/>
    </row>
    <row r="292" spans="1:2" x14ac:dyDescent="0.25">
      <c r="A292" s="13"/>
      <c r="B292" s="13"/>
    </row>
    <row r="293" spans="1:2" x14ac:dyDescent="0.25">
      <c r="A293" s="13"/>
      <c r="B293" s="13"/>
    </row>
    <row r="294" spans="1:2" x14ac:dyDescent="0.25">
      <c r="A294" s="13"/>
      <c r="B294" s="13"/>
    </row>
    <row r="295" spans="1:2" x14ac:dyDescent="0.25">
      <c r="A295" s="13"/>
      <c r="B295" s="13"/>
    </row>
    <row r="296" spans="1:2" x14ac:dyDescent="0.25">
      <c r="A296" s="13"/>
      <c r="B296" s="13"/>
    </row>
    <row r="297" spans="1:2" x14ac:dyDescent="0.25">
      <c r="A297" s="13"/>
      <c r="B297" s="13"/>
    </row>
    <row r="298" spans="1:2" x14ac:dyDescent="0.25">
      <c r="A298" s="13"/>
      <c r="B298" s="13"/>
    </row>
    <row r="299" spans="1:2" x14ac:dyDescent="0.25">
      <c r="A299" s="13"/>
      <c r="B299" s="13"/>
    </row>
    <row r="300" spans="1:2" x14ac:dyDescent="0.25">
      <c r="A300" s="13"/>
      <c r="B300" s="13"/>
    </row>
    <row r="301" spans="1:2" x14ac:dyDescent="0.25">
      <c r="A301" s="13"/>
      <c r="B301" s="13"/>
    </row>
    <row r="302" spans="1:2" x14ac:dyDescent="0.25">
      <c r="A302" s="13"/>
      <c r="B302" s="13"/>
    </row>
    <row r="303" spans="1:2" x14ac:dyDescent="0.25">
      <c r="A303" s="13"/>
      <c r="B303" s="13"/>
    </row>
    <row r="304" spans="1:2" x14ac:dyDescent="0.25">
      <c r="A304" s="13"/>
      <c r="B304" s="13"/>
    </row>
    <row r="305" spans="1:2" x14ac:dyDescent="0.25">
      <c r="A305" s="13"/>
      <c r="B305" s="13"/>
    </row>
    <row r="306" spans="1:2" x14ac:dyDescent="0.25">
      <c r="A306" s="13"/>
      <c r="B306" s="13"/>
    </row>
    <row r="307" spans="1:2" x14ac:dyDescent="0.25">
      <c r="A307" s="13"/>
      <c r="B307" s="13"/>
    </row>
    <row r="308" spans="1:2" x14ac:dyDescent="0.25">
      <c r="A308" s="13"/>
      <c r="B308" s="13"/>
    </row>
    <row r="309" spans="1:2" x14ac:dyDescent="0.25">
      <c r="A309" s="13"/>
      <c r="B309" s="13"/>
    </row>
    <row r="310" spans="1:2" x14ac:dyDescent="0.25">
      <c r="A310" s="13"/>
      <c r="B310" s="13"/>
    </row>
    <row r="311" spans="1:2" x14ac:dyDescent="0.25">
      <c r="A311" s="13"/>
      <c r="B311" s="13"/>
    </row>
    <row r="312" spans="1:2" x14ac:dyDescent="0.25">
      <c r="A312" s="13"/>
      <c r="B312" s="13"/>
    </row>
    <row r="313" spans="1:2" x14ac:dyDescent="0.25">
      <c r="A313" s="13"/>
      <c r="B313" s="13"/>
    </row>
    <row r="314" spans="1:2" x14ac:dyDescent="0.25">
      <c r="A314" s="13"/>
      <c r="B314" s="13"/>
    </row>
    <row r="315" spans="1:2" x14ac:dyDescent="0.25">
      <c r="A315" s="13"/>
      <c r="B315" s="13"/>
    </row>
    <row r="316" spans="1:2" x14ac:dyDescent="0.25">
      <c r="A316" s="13"/>
      <c r="B316" s="13"/>
    </row>
    <row r="317" spans="1:2" x14ac:dyDescent="0.25">
      <c r="A317" s="13"/>
      <c r="B317" s="13"/>
    </row>
    <row r="318" spans="1:2" x14ac:dyDescent="0.25">
      <c r="A318" s="13"/>
      <c r="B318" s="13"/>
    </row>
    <row r="319" spans="1:2" x14ac:dyDescent="0.25">
      <c r="A319" s="13"/>
      <c r="B319" s="13"/>
    </row>
    <row r="320" spans="1:2" x14ac:dyDescent="0.25">
      <c r="A320" s="13"/>
      <c r="B320" s="13"/>
    </row>
    <row r="321" spans="1:2" x14ac:dyDescent="0.25">
      <c r="A321" s="13"/>
      <c r="B321" s="13"/>
    </row>
    <row r="322" spans="1:2" x14ac:dyDescent="0.25">
      <c r="A322" s="13"/>
      <c r="B322" s="13"/>
    </row>
    <row r="323" spans="1:2" x14ac:dyDescent="0.25">
      <c r="A323" s="13"/>
      <c r="B323" s="13"/>
    </row>
    <row r="324" spans="1:2" x14ac:dyDescent="0.25">
      <c r="A324" s="13"/>
      <c r="B324" s="13"/>
    </row>
    <row r="325" spans="1:2" x14ac:dyDescent="0.25">
      <c r="A325" s="13"/>
      <c r="B325" s="13"/>
    </row>
    <row r="326" spans="1:2" x14ac:dyDescent="0.25">
      <c r="A326" s="13"/>
      <c r="B326" s="13"/>
    </row>
    <row r="327" spans="1:2" x14ac:dyDescent="0.25">
      <c r="A327" s="13"/>
      <c r="B327" s="13"/>
    </row>
    <row r="328" spans="1:2" x14ac:dyDescent="0.25">
      <c r="A328" s="13"/>
      <c r="B328" s="13"/>
    </row>
    <row r="329" spans="1:2" x14ac:dyDescent="0.25">
      <c r="A329" s="13"/>
      <c r="B329" s="13"/>
    </row>
    <row r="330" spans="1:2" x14ac:dyDescent="0.25">
      <c r="A330" s="13"/>
      <c r="B330" s="13"/>
    </row>
    <row r="331" spans="1:2" x14ac:dyDescent="0.25">
      <c r="A331" s="13"/>
      <c r="B331" s="13"/>
    </row>
    <row r="332" spans="1:2" x14ac:dyDescent="0.25">
      <c r="A332" s="13"/>
      <c r="B332" s="13"/>
    </row>
    <row r="333" spans="1:2" x14ac:dyDescent="0.25">
      <c r="A333" s="13"/>
      <c r="B333" s="13"/>
    </row>
    <row r="334" spans="1:2" x14ac:dyDescent="0.25">
      <c r="A334" s="13"/>
      <c r="B334" s="13"/>
    </row>
    <row r="335" spans="1:2" x14ac:dyDescent="0.25">
      <c r="A335" s="13"/>
      <c r="B335" s="13"/>
    </row>
    <row r="336" spans="1:2" x14ac:dyDescent="0.25">
      <c r="A336" s="13"/>
      <c r="B336" s="13"/>
    </row>
    <row r="337" spans="1:2" x14ac:dyDescent="0.25">
      <c r="A337" s="13"/>
      <c r="B337" s="13"/>
    </row>
    <row r="338" spans="1:2" x14ac:dyDescent="0.25">
      <c r="A338" s="13"/>
      <c r="B338" s="13"/>
    </row>
    <row r="339" spans="1:2" x14ac:dyDescent="0.25">
      <c r="A339" s="13"/>
      <c r="B339" s="13"/>
    </row>
    <row r="340" spans="1:2" x14ac:dyDescent="0.25">
      <c r="A340" s="13"/>
      <c r="B340" s="13"/>
    </row>
    <row r="341" spans="1:2" x14ac:dyDescent="0.25">
      <c r="A341" s="13"/>
      <c r="B341" s="13"/>
    </row>
    <row r="342" spans="1:2" x14ac:dyDescent="0.25">
      <c r="A342" s="13"/>
      <c r="B342" s="13"/>
    </row>
    <row r="343" spans="1:2" x14ac:dyDescent="0.25">
      <c r="A343" s="13"/>
      <c r="B343" s="13"/>
    </row>
    <row r="344" spans="1:2" x14ac:dyDescent="0.25">
      <c r="A344" s="13"/>
      <c r="B344" s="13"/>
    </row>
    <row r="345" spans="1:2" x14ac:dyDescent="0.25">
      <c r="A345" s="13"/>
      <c r="B345" s="13"/>
    </row>
    <row r="346" spans="1:2" x14ac:dyDescent="0.25">
      <c r="A346" s="13"/>
      <c r="B346" s="13"/>
    </row>
    <row r="347" spans="1:2" x14ac:dyDescent="0.25">
      <c r="A347" s="13"/>
      <c r="B347" s="13"/>
    </row>
    <row r="348" spans="1:2" x14ac:dyDescent="0.25">
      <c r="A348" s="13"/>
      <c r="B348" s="13"/>
    </row>
    <row r="349" spans="1:2" x14ac:dyDescent="0.25">
      <c r="A349" s="13"/>
      <c r="B349" s="13"/>
    </row>
    <row r="350" spans="1:2" x14ac:dyDescent="0.25">
      <c r="A350" s="13"/>
      <c r="B350" s="13"/>
    </row>
    <row r="351" spans="1:2" x14ac:dyDescent="0.25">
      <c r="A351" s="13"/>
      <c r="B351" s="13"/>
    </row>
    <row r="352" spans="1:2" x14ac:dyDescent="0.25">
      <c r="A352" s="13"/>
      <c r="B352" s="13"/>
    </row>
    <row r="353" spans="1:2" x14ac:dyDescent="0.25">
      <c r="A353" s="13"/>
      <c r="B353" s="13"/>
    </row>
    <row r="354" spans="1:2" x14ac:dyDescent="0.25">
      <c r="A354" s="13"/>
      <c r="B354" s="13"/>
    </row>
    <row r="355" spans="1:2" x14ac:dyDescent="0.25">
      <c r="A355" s="13"/>
      <c r="B355" s="13"/>
    </row>
    <row r="356" spans="1:2" x14ac:dyDescent="0.25">
      <c r="A356" s="13"/>
      <c r="B356" s="13"/>
    </row>
    <row r="357" spans="1:2" x14ac:dyDescent="0.25">
      <c r="A357" s="13"/>
      <c r="B357" s="13"/>
    </row>
    <row r="358" spans="1:2" x14ac:dyDescent="0.25">
      <c r="A358" s="13"/>
      <c r="B358" s="13"/>
    </row>
    <row r="359" spans="1:2" x14ac:dyDescent="0.25">
      <c r="A359" s="13"/>
      <c r="B359" s="13"/>
    </row>
    <row r="360" spans="1:2" x14ac:dyDescent="0.25">
      <c r="A360" s="13"/>
      <c r="B360" s="13"/>
    </row>
    <row r="361" spans="1:2" x14ac:dyDescent="0.25">
      <c r="A361" s="13"/>
      <c r="B361" s="13"/>
    </row>
    <row r="362" spans="1:2" x14ac:dyDescent="0.25">
      <c r="A362" s="13"/>
      <c r="B362" s="13"/>
    </row>
    <row r="363" spans="1:2" x14ac:dyDescent="0.25">
      <c r="A363" s="13"/>
      <c r="B363" s="13"/>
    </row>
    <row r="364" spans="1:2" x14ac:dyDescent="0.25">
      <c r="A364" s="13"/>
      <c r="B364" s="13"/>
    </row>
    <row r="365" spans="1:2" x14ac:dyDescent="0.25">
      <c r="A365" s="13"/>
      <c r="B365" s="13"/>
    </row>
    <row r="366" spans="1:2" x14ac:dyDescent="0.25">
      <c r="A366" s="13"/>
      <c r="B366" s="13"/>
    </row>
    <row r="367" spans="1:2" x14ac:dyDescent="0.25">
      <c r="A367" s="13"/>
      <c r="B367" s="13"/>
    </row>
    <row r="368" spans="1:2" x14ac:dyDescent="0.25">
      <c r="A368" s="13"/>
      <c r="B368" s="13"/>
    </row>
    <row r="369" spans="1:2" x14ac:dyDescent="0.25">
      <c r="A369" s="13"/>
      <c r="B369" s="13"/>
    </row>
    <row r="370" spans="1:2" x14ac:dyDescent="0.25">
      <c r="A370" s="13"/>
      <c r="B370" s="13"/>
    </row>
    <row r="371" spans="1:2" x14ac:dyDescent="0.25">
      <c r="A371" s="13"/>
      <c r="B371" s="13"/>
    </row>
    <row r="372" spans="1:2" x14ac:dyDescent="0.25">
      <c r="A372" s="13"/>
      <c r="B372" s="13"/>
    </row>
    <row r="373" spans="1:2" x14ac:dyDescent="0.25">
      <c r="A373" s="13"/>
      <c r="B373" s="13"/>
    </row>
    <row r="374" spans="1:2" x14ac:dyDescent="0.25">
      <c r="A374" s="13"/>
      <c r="B374" s="13"/>
    </row>
    <row r="375" spans="1:2" x14ac:dyDescent="0.25">
      <c r="A375" s="13"/>
      <c r="B375" s="13"/>
    </row>
    <row r="376" spans="1:2" x14ac:dyDescent="0.25">
      <c r="A376" s="13"/>
      <c r="B376" s="13"/>
    </row>
    <row r="377" spans="1:2" x14ac:dyDescent="0.25">
      <c r="A377" s="13"/>
      <c r="B377" s="13"/>
    </row>
    <row r="378" spans="1:2" x14ac:dyDescent="0.25">
      <c r="A378" s="13"/>
      <c r="B378" s="13"/>
    </row>
    <row r="379" spans="1:2" x14ac:dyDescent="0.25">
      <c r="A379" s="13"/>
      <c r="B379" s="13"/>
    </row>
    <row r="380" spans="1:2" x14ac:dyDescent="0.25">
      <c r="A380" s="13"/>
      <c r="B380" s="13"/>
    </row>
    <row r="381" spans="1:2" x14ac:dyDescent="0.25">
      <c r="A381" s="13"/>
      <c r="B381" s="13"/>
    </row>
    <row r="382" spans="1:2" x14ac:dyDescent="0.25">
      <c r="A382" s="13"/>
      <c r="B382" s="13"/>
    </row>
    <row r="383" spans="1:2" x14ac:dyDescent="0.25">
      <c r="A383" s="13"/>
      <c r="B383" s="13"/>
    </row>
    <row r="384" spans="1:2" x14ac:dyDescent="0.25">
      <c r="A384" s="13"/>
      <c r="B384" s="13"/>
    </row>
    <row r="385" spans="1:2" x14ac:dyDescent="0.25">
      <c r="A385" s="13"/>
      <c r="B385" s="13"/>
    </row>
    <row r="386" spans="1:2" x14ac:dyDescent="0.25">
      <c r="A386" s="13"/>
      <c r="B386" s="13"/>
    </row>
    <row r="387" spans="1:2" x14ac:dyDescent="0.25">
      <c r="A387" s="13"/>
      <c r="B387" s="13"/>
    </row>
    <row r="388" spans="1:2" x14ac:dyDescent="0.25">
      <c r="A388" s="13"/>
      <c r="B388" s="13"/>
    </row>
    <row r="389" spans="1:2" x14ac:dyDescent="0.25">
      <c r="A389" s="13"/>
      <c r="B389" s="13"/>
    </row>
    <row r="390" spans="1:2" x14ac:dyDescent="0.25">
      <c r="A390" s="13"/>
      <c r="B390" s="13"/>
    </row>
    <row r="391" spans="1:2" x14ac:dyDescent="0.25">
      <c r="A391" s="13"/>
      <c r="B391" s="13"/>
    </row>
    <row r="392" spans="1:2" x14ac:dyDescent="0.25">
      <c r="A392" s="13"/>
      <c r="B392" s="13"/>
    </row>
    <row r="393" spans="1:2" x14ac:dyDescent="0.25">
      <c r="A393" s="13"/>
      <c r="B393" s="13"/>
    </row>
    <row r="394" spans="1:2" x14ac:dyDescent="0.25">
      <c r="A394" s="13"/>
      <c r="B394" s="13"/>
    </row>
    <row r="395" spans="1:2" x14ac:dyDescent="0.25">
      <c r="A395" s="13"/>
      <c r="B395" s="13"/>
    </row>
    <row r="396" spans="1:2" x14ac:dyDescent="0.25">
      <c r="A396" s="13"/>
      <c r="B396" s="13"/>
    </row>
    <row r="397" spans="1:2" x14ac:dyDescent="0.25">
      <c r="A397" s="13"/>
      <c r="B397" s="13"/>
    </row>
    <row r="398" spans="1:2" x14ac:dyDescent="0.25">
      <c r="A398" s="13"/>
      <c r="B398" s="13"/>
    </row>
    <row r="399" spans="1:2" x14ac:dyDescent="0.25">
      <c r="A399" s="13"/>
      <c r="B399" s="13"/>
    </row>
    <row r="400" spans="1:2" x14ac:dyDescent="0.25">
      <c r="A400" s="13"/>
      <c r="B400" s="13"/>
    </row>
    <row r="401" spans="1:2" x14ac:dyDescent="0.25">
      <c r="A401" s="13"/>
      <c r="B401" s="13"/>
    </row>
    <row r="402" spans="1:2" x14ac:dyDescent="0.25">
      <c r="A402" s="13"/>
      <c r="B402" s="13"/>
    </row>
    <row r="403" spans="1:2" x14ac:dyDescent="0.25">
      <c r="A403" s="13"/>
      <c r="B403" s="13"/>
    </row>
    <row r="404" spans="1:2" x14ac:dyDescent="0.25">
      <c r="A404" s="13"/>
      <c r="B404" s="13"/>
    </row>
    <row r="405" spans="1:2" x14ac:dyDescent="0.25">
      <c r="A405" s="13"/>
      <c r="B405" s="13"/>
    </row>
    <row r="406" spans="1:2" x14ac:dyDescent="0.25">
      <c r="A406" s="13"/>
      <c r="B406" s="13"/>
    </row>
    <row r="407" spans="1:2" x14ac:dyDescent="0.25">
      <c r="A407" s="13"/>
      <c r="B407" s="13"/>
    </row>
    <row r="408" spans="1:2" x14ac:dyDescent="0.25">
      <c r="A408" s="13"/>
      <c r="B408" s="13"/>
    </row>
    <row r="409" spans="1:2" x14ac:dyDescent="0.25">
      <c r="A409" s="13"/>
      <c r="B409" s="13"/>
    </row>
    <row r="410" spans="1:2" x14ac:dyDescent="0.25">
      <c r="A410" s="13"/>
      <c r="B410" s="13"/>
    </row>
    <row r="411" spans="1:2" x14ac:dyDescent="0.25">
      <c r="A411" s="13"/>
      <c r="B411" s="13"/>
    </row>
    <row r="412" spans="1:2" x14ac:dyDescent="0.25">
      <c r="A412" s="13"/>
      <c r="B412" s="13"/>
    </row>
    <row r="413" spans="1:2" x14ac:dyDescent="0.25">
      <c r="A413" s="13"/>
      <c r="B413" s="13"/>
    </row>
    <row r="414" spans="1:2" x14ac:dyDescent="0.25">
      <c r="A414" s="13"/>
      <c r="B414" s="13"/>
    </row>
    <row r="415" spans="1:2" x14ac:dyDescent="0.25">
      <c r="A415" s="13"/>
      <c r="B415" s="13"/>
    </row>
    <row r="416" spans="1:2" x14ac:dyDescent="0.25">
      <c r="A416" s="13"/>
      <c r="B416" s="13"/>
    </row>
    <row r="417" spans="1:2" x14ac:dyDescent="0.25">
      <c r="A417" s="13"/>
      <c r="B417" s="13"/>
    </row>
    <row r="418" spans="1:2" x14ac:dyDescent="0.25">
      <c r="A418" s="13"/>
      <c r="B418" s="13"/>
    </row>
    <row r="419" spans="1:2" x14ac:dyDescent="0.25">
      <c r="A419" s="13"/>
      <c r="B419" s="13"/>
    </row>
    <row r="420" spans="1:2" x14ac:dyDescent="0.25">
      <c r="A420" s="13"/>
      <c r="B420" s="13"/>
    </row>
    <row r="421" spans="1:2" x14ac:dyDescent="0.25">
      <c r="A421" s="13"/>
      <c r="B421" s="13"/>
    </row>
    <row r="422" spans="1:2" x14ac:dyDescent="0.25">
      <c r="A422" s="13"/>
      <c r="B422" s="13"/>
    </row>
    <row r="423" spans="1:2" x14ac:dyDescent="0.25">
      <c r="A423" s="13"/>
      <c r="B423" s="13"/>
    </row>
    <row r="424" spans="1:2" x14ac:dyDescent="0.25">
      <c r="A424" s="13"/>
      <c r="B424" s="13"/>
    </row>
    <row r="425" spans="1:2" x14ac:dyDescent="0.25">
      <c r="A425" s="13"/>
      <c r="B425" s="13"/>
    </row>
    <row r="426" spans="1:2" x14ac:dyDescent="0.25">
      <c r="A426" s="13"/>
      <c r="B426" s="13"/>
    </row>
    <row r="427" spans="1:2" x14ac:dyDescent="0.25">
      <c r="A427" s="13"/>
      <c r="B427" s="13"/>
    </row>
    <row r="428" spans="1:2" x14ac:dyDescent="0.25">
      <c r="A428" s="13"/>
      <c r="B428" s="13"/>
    </row>
    <row r="429" spans="1:2" x14ac:dyDescent="0.25">
      <c r="A429" s="13"/>
      <c r="B429" s="13"/>
    </row>
    <row r="430" spans="1:2" x14ac:dyDescent="0.25">
      <c r="A430" s="13"/>
      <c r="B430" s="13"/>
    </row>
    <row r="431" spans="1:2" x14ac:dyDescent="0.25">
      <c r="A431" s="13"/>
      <c r="B431" s="13"/>
    </row>
    <row r="432" spans="1:2" x14ac:dyDescent="0.25">
      <c r="A432" s="13"/>
      <c r="B432" s="13"/>
    </row>
    <row r="433" spans="1:2" x14ac:dyDescent="0.25">
      <c r="A433" s="13"/>
      <c r="B433" s="13"/>
    </row>
    <row r="434" spans="1:2" x14ac:dyDescent="0.25">
      <c r="A434" s="13"/>
      <c r="B434" s="13"/>
    </row>
    <row r="435" spans="1:2" x14ac:dyDescent="0.25">
      <c r="A435" s="13"/>
      <c r="B435" s="13"/>
    </row>
    <row r="436" spans="1:2" x14ac:dyDescent="0.25">
      <c r="A436" s="13"/>
      <c r="B436" s="13"/>
    </row>
    <row r="437" spans="1:2" x14ac:dyDescent="0.25">
      <c r="A437" s="13"/>
      <c r="B437" s="13"/>
    </row>
    <row r="438" spans="1:2" x14ac:dyDescent="0.25">
      <c r="A438" s="13"/>
      <c r="B438" s="13"/>
    </row>
    <row r="439" spans="1:2" x14ac:dyDescent="0.25">
      <c r="A439" s="13"/>
      <c r="B439" s="13"/>
    </row>
    <row r="440" spans="1:2" x14ac:dyDescent="0.25">
      <c r="A440" s="13"/>
      <c r="B440" s="13"/>
    </row>
    <row r="441" spans="1:2" x14ac:dyDescent="0.25">
      <c r="A441" s="13"/>
      <c r="B441" s="13"/>
    </row>
    <row r="442" spans="1:2" x14ac:dyDescent="0.25">
      <c r="A442" s="13"/>
      <c r="B442" s="13"/>
    </row>
    <row r="443" spans="1:2" x14ac:dyDescent="0.25">
      <c r="A443" s="13"/>
      <c r="B443" s="13"/>
    </row>
    <row r="444" spans="1:2" x14ac:dyDescent="0.25">
      <c r="A444" s="13"/>
      <c r="B444" s="13"/>
    </row>
    <row r="445" spans="1:2" x14ac:dyDescent="0.25">
      <c r="A445" s="13"/>
      <c r="B445" s="13"/>
    </row>
    <row r="446" spans="1:2" x14ac:dyDescent="0.25">
      <c r="A446" s="13"/>
      <c r="B446" s="13"/>
    </row>
    <row r="447" spans="1:2" x14ac:dyDescent="0.25">
      <c r="A447" s="13"/>
      <c r="B447" s="13"/>
    </row>
    <row r="448" spans="1:2" x14ac:dyDescent="0.25">
      <c r="A448" s="13"/>
      <c r="B448" s="13"/>
    </row>
    <row r="449" spans="1:2" x14ac:dyDescent="0.25">
      <c r="A449" s="13"/>
      <c r="B449" s="13"/>
    </row>
    <row r="450" spans="1:2" x14ac:dyDescent="0.25">
      <c r="A450" s="13"/>
      <c r="B450" s="13"/>
    </row>
    <row r="451" spans="1:2" x14ac:dyDescent="0.25">
      <c r="A451" s="13"/>
      <c r="B451" s="13"/>
    </row>
    <row r="452" spans="1:2" x14ac:dyDescent="0.25">
      <c r="A452" s="13"/>
      <c r="B452" s="13"/>
    </row>
    <row r="453" spans="1:2" x14ac:dyDescent="0.25">
      <c r="A453" s="13"/>
      <c r="B453" s="13"/>
    </row>
    <row r="454" spans="1:2" x14ac:dyDescent="0.25">
      <c r="A454" s="13"/>
      <c r="B454" s="13"/>
    </row>
    <row r="455" spans="1:2" x14ac:dyDescent="0.25">
      <c r="A455" s="13"/>
      <c r="B455" s="13"/>
    </row>
    <row r="456" spans="1:2" x14ac:dyDescent="0.25">
      <c r="A456" s="13"/>
      <c r="B456" s="13"/>
    </row>
    <row r="457" spans="1:2" x14ac:dyDescent="0.25">
      <c r="A457" s="13"/>
      <c r="B457" s="13"/>
    </row>
    <row r="458" spans="1:2" x14ac:dyDescent="0.25">
      <c r="A458" s="13"/>
      <c r="B458" s="13"/>
    </row>
    <row r="459" spans="1:2" x14ac:dyDescent="0.25">
      <c r="A459" s="13"/>
      <c r="B459" s="13"/>
    </row>
    <row r="460" spans="1:2" x14ac:dyDescent="0.25">
      <c r="A460" s="13"/>
      <c r="B460" s="13"/>
    </row>
    <row r="461" spans="1:2" x14ac:dyDescent="0.25">
      <c r="A461" s="13"/>
      <c r="B461" s="13"/>
    </row>
    <row r="462" spans="1:2" x14ac:dyDescent="0.25">
      <c r="A462" s="13"/>
      <c r="B462" s="13"/>
    </row>
    <row r="463" spans="1:2" x14ac:dyDescent="0.25">
      <c r="A463" s="13"/>
      <c r="B463" s="13"/>
    </row>
    <row r="464" spans="1:2" x14ac:dyDescent="0.25">
      <c r="A464" s="13"/>
      <c r="B464" s="13"/>
    </row>
    <row r="465" spans="1:2" x14ac:dyDescent="0.25">
      <c r="A465" s="13"/>
      <c r="B465" s="13"/>
    </row>
    <row r="466" spans="1:2" x14ac:dyDescent="0.25">
      <c r="A466" s="13"/>
      <c r="B466" s="13"/>
    </row>
    <row r="467" spans="1:2" x14ac:dyDescent="0.25">
      <c r="A467" s="13"/>
      <c r="B467" s="13"/>
    </row>
    <row r="468" spans="1:2" x14ac:dyDescent="0.25">
      <c r="A468" s="13"/>
      <c r="B468" s="13"/>
    </row>
    <row r="469" spans="1:2" x14ac:dyDescent="0.25">
      <c r="A469" s="13"/>
      <c r="B469" s="13"/>
    </row>
    <row r="470" spans="1:2" x14ac:dyDescent="0.25">
      <c r="A470" s="13"/>
      <c r="B470" s="13"/>
    </row>
    <row r="471" spans="1:2" x14ac:dyDescent="0.25">
      <c r="A471" s="13"/>
      <c r="B471" s="13"/>
    </row>
    <row r="472" spans="1:2" x14ac:dyDescent="0.25">
      <c r="A472" s="13"/>
      <c r="B472" s="13"/>
    </row>
    <row r="473" spans="1:2" x14ac:dyDescent="0.25">
      <c r="A473" s="13"/>
      <c r="B473" s="13"/>
    </row>
    <row r="474" spans="1:2" x14ac:dyDescent="0.25">
      <c r="A474" s="13"/>
      <c r="B474" s="13"/>
    </row>
    <row r="475" spans="1:2" x14ac:dyDescent="0.25">
      <c r="A475" s="13"/>
      <c r="B475" s="13"/>
    </row>
    <row r="476" spans="1:2" x14ac:dyDescent="0.25">
      <c r="A476" s="13"/>
      <c r="B476" s="13"/>
    </row>
    <row r="477" spans="1:2" x14ac:dyDescent="0.25">
      <c r="A477" s="13"/>
      <c r="B477" s="13"/>
    </row>
    <row r="478" spans="1:2" x14ac:dyDescent="0.25">
      <c r="A478" s="13"/>
      <c r="B478" s="13"/>
    </row>
    <row r="479" spans="1:2" x14ac:dyDescent="0.25">
      <c r="A479" s="13"/>
      <c r="B479" s="13"/>
    </row>
    <row r="480" spans="1:2" x14ac:dyDescent="0.25">
      <c r="A480" s="13"/>
      <c r="B480" s="13"/>
    </row>
    <row r="481" spans="1:2" x14ac:dyDescent="0.25">
      <c r="A481" s="13"/>
      <c r="B481" s="13"/>
    </row>
    <row r="482" spans="1:2" x14ac:dyDescent="0.25">
      <c r="A482" s="13"/>
      <c r="B482" s="13"/>
    </row>
    <row r="483" spans="1:2" x14ac:dyDescent="0.25">
      <c r="A483" s="13"/>
      <c r="B483" s="13"/>
    </row>
    <row r="484" spans="1:2" x14ac:dyDescent="0.25">
      <c r="A484" s="13"/>
      <c r="B484" s="13"/>
    </row>
    <row r="485" spans="1:2" x14ac:dyDescent="0.25">
      <c r="A485" s="13"/>
      <c r="B485" s="13"/>
    </row>
    <row r="486" spans="1:2" x14ac:dyDescent="0.25">
      <c r="A486" s="13"/>
      <c r="B486" s="13"/>
    </row>
    <row r="487" spans="1:2" x14ac:dyDescent="0.25">
      <c r="A487" s="13"/>
      <c r="B487" s="13"/>
    </row>
    <row r="488" spans="1:2" x14ac:dyDescent="0.25">
      <c r="A488" s="13"/>
      <c r="B488" s="13"/>
    </row>
    <row r="489" spans="1:2" x14ac:dyDescent="0.25">
      <c r="A489" s="13"/>
      <c r="B489" s="13"/>
    </row>
    <row r="490" spans="1:2" x14ac:dyDescent="0.25">
      <c r="A490" s="13"/>
      <c r="B490" s="13"/>
    </row>
    <row r="491" spans="1:2" x14ac:dyDescent="0.25">
      <c r="A491" s="13"/>
      <c r="B491" s="13"/>
    </row>
    <row r="492" spans="1:2" x14ac:dyDescent="0.25">
      <c r="A492" s="13"/>
      <c r="B492" s="13"/>
    </row>
    <row r="493" spans="1:2" x14ac:dyDescent="0.25">
      <c r="A493" s="13"/>
      <c r="B493" s="13"/>
    </row>
    <row r="494" spans="1:2" x14ac:dyDescent="0.25">
      <c r="A494" s="13"/>
      <c r="B494" s="13"/>
    </row>
    <row r="495" spans="1:2" x14ac:dyDescent="0.25">
      <c r="A495" s="13"/>
      <c r="B495" s="13"/>
    </row>
    <row r="496" spans="1:2" x14ac:dyDescent="0.25">
      <c r="A496" s="13"/>
      <c r="B496" s="13"/>
    </row>
    <row r="497" spans="1:2" x14ac:dyDescent="0.25">
      <c r="A497" s="13"/>
      <c r="B497" s="13"/>
    </row>
    <row r="498" spans="1:2" x14ac:dyDescent="0.25">
      <c r="A498" s="13"/>
      <c r="B498" s="13"/>
    </row>
    <row r="499" spans="1:2" x14ac:dyDescent="0.25">
      <c r="A499" s="13"/>
      <c r="B499" s="13"/>
    </row>
    <row r="500" spans="1:2" x14ac:dyDescent="0.25">
      <c r="A500" s="13"/>
      <c r="B500" s="13"/>
    </row>
    <row r="501" spans="1:2" x14ac:dyDescent="0.25">
      <c r="A501" s="13"/>
      <c r="B501" s="13"/>
    </row>
    <row r="502" spans="1:2" x14ac:dyDescent="0.25">
      <c r="A502" s="13"/>
      <c r="B502" s="13"/>
    </row>
    <row r="503" spans="1:2" x14ac:dyDescent="0.25">
      <c r="A503" s="13"/>
      <c r="B503" s="13"/>
    </row>
    <row r="504" spans="1:2" x14ac:dyDescent="0.25">
      <c r="A504" s="13"/>
      <c r="B504" s="13"/>
    </row>
    <row r="505" spans="1:2" x14ac:dyDescent="0.25">
      <c r="A505" s="13"/>
      <c r="B505" s="13"/>
    </row>
    <row r="506" spans="1:2" x14ac:dyDescent="0.25">
      <c r="A506" s="13"/>
      <c r="B506" s="13"/>
    </row>
    <row r="507" spans="1:2" x14ac:dyDescent="0.25">
      <c r="A507" s="13"/>
      <c r="B507" s="13"/>
    </row>
    <row r="508" spans="1:2" x14ac:dyDescent="0.25">
      <c r="A508" s="13"/>
      <c r="B508" s="13"/>
    </row>
    <row r="509" spans="1:2" x14ac:dyDescent="0.25">
      <c r="A509" s="13"/>
      <c r="B509" s="13"/>
    </row>
    <row r="510" spans="1:2" x14ac:dyDescent="0.25">
      <c r="A510" s="13"/>
      <c r="B510" s="13"/>
    </row>
    <row r="511" spans="1:2" x14ac:dyDescent="0.25">
      <c r="A511" s="13"/>
      <c r="B511" s="13"/>
    </row>
    <row r="512" spans="1:2" x14ac:dyDescent="0.25">
      <c r="A512" s="13"/>
      <c r="B512" s="13"/>
    </row>
    <row r="513" spans="1:2" x14ac:dyDescent="0.25">
      <c r="A513" s="13"/>
      <c r="B513" s="13"/>
    </row>
    <row r="514" spans="1:2" x14ac:dyDescent="0.25">
      <c r="A514" s="13"/>
      <c r="B514" s="13"/>
    </row>
    <row r="515" spans="1:2" x14ac:dyDescent="0.25">
      <c r="A515" s="13"/>
      <c r="B515" s="13"/>
    </row>
    <row r="516" spans="1:2" x14ac:dyDescent="0.25">
      <c r="A516" s="13"/>
      <c r="B516" s="13"/>
    </row>
    <row r="517" spans="1:2" x14ac:dyDescent="0.25">
      <c r="A517" s="13"/>
      <c r="B517" s="13"/>
    </row>
    <row r="518" spans="1:2" x14ac:dyDescent="0.25">
      <c r="A518" s="13"/>
      <c r="B518" s="13"/>
    </row>
    <row r="519" spans="1:2" x14ac:dyDescent="0.25">
      <c r="A519" s="13"/>
      <c r="B519" s="13"/>
    </row>
    <row r="520" spans="1:2" x14ac:dyDescent="0.25">
      <c r="A520" s="13"/>
      <c r="B520" s="13"/>
    </row>
    <row r="521" spans="1:2" x14ac:dyDescent="0.25">
      <c r="A521" s="13"/>
      <c r="B521" s="13"/>
    </row>
    <row r="522" spans="1:2" x14ac:dyDescent="0.25">
      <c r="A522" s="13"/>
      <c r="B522" s="13"/>
    </row>
    <row r="523" spans="1:2" x14ac:dyDescent="0.25">
      <c r="A523" s="13"/>
      <c r="B523" s="13"/>
    </row>
    <row r="524" spans="1:2" x14ac:dyDescent="0.25">
      <c r="A524" s="13"/>
      <c r="B524" s="13"/>
    </row>
    <row r="525" spans="1:2" x14ac:dyDescent="0.25">
      <c r="A525" s="13"/>
      <c r="B525" s="13"/>
    </row>
    <row r="526" spans="1:2" x14ac:dyDescent="0.25">
      <c r="A526" s="13"/>
      <c r="B526" s="13"/>
    </row>
    <row r="527" spans="1:2" x14ac:dyDescent="0.25">
      <c r="A527" s="13"/>
      <c r="B527" s="13"/>
    </row>
    <row r="528" spans="1:2" x14ac:dyDescent="0.25">
      <c r="A528" s="13"/>
      <c r="B528" s="13"/>
    </row>
    <row r="529" spans="1:2" x14ac:dyDescent="0.25">
      <c r="A529" s="13"/>
      <c r="B529" s="13"/>
    </row>
    <row r="530" spans="1:2" x14ac:dyDescent="0.25">
      <c r="A530" s="13"/>
      <c r="B530" s="13"/>
    </row>
    <row r="531" spans="1:2" x14ac:dyDescent="0.25">
      <c r="A531" s="13"/>
      <c r="B531" s="13"/>
    </row>
    <row r="532" spans="1:2" x14ac:dyDescent="0.25">
      <c r="A532" s="13"/>
      <c r="B532" s="13"/>
    </row>
    <row r="533" spans="1:2" x14ac:dyDescent="0.25">
      <c r="A533" s="13"/>
      <c r="B533" s="13"/>
    </row>
    <row r="534" spans="1:2" x14ac:dyDescent="0.25">
      <c r="A534" s="13"/>
      <c r="B534" s="13"/>
    </row>
    <row r="535" spans="1:2" x14ac:dyDescent="0.25">
      <c r="A535" s="13"/>
      <c r="B535" s="13"/>
    </row>
    <row r="536" spans="1:2" x14ac:dyDescent="0.25">
      <c r="A536" s="13"/>
      <c r="B536" s="13"/>
    </row>
    <row r="537" spans="1:2" x14ac:dyDescent="0.25">
      <c r="A537" s="13"/>
      <c r="B537" s="13"/>
    </row>
    <row r="538" spans="1:2" x14ac:dyDescent="0.25">
      <c r="A538" s="13"/>
      <c r="B538" s="13"/>
    </row>
    <row r="539" spans="1:2" x14ac:dyDescent="0.25">
      <c r="A539" s="13"/>
      <c r="B539" s="13"/>
    </row>
    <row r="540" spans="1:2" x14ac:dyDescent="0.25">
      <c r="A540" s="13"/>
      <c r="B540" s="13"/>
    </row>
    <row r="541" spans="1:2" x14ac:dyDescent="0.25">
      <c r="A541" s="13"/>
      <c r="B541" s="13"/>
    </row>
    <row r="542" spans="1:2" x14ac:dyDescent="0.25">
      <c r="A542" s="13"/>
      <c r="B542" s="13"/>
    </row>
    <row r="543" spans="1:2" x14ac:dyDescent="0.25">
      <c r="A543" s="13"/>
      <c r="B543" s="13"/>
    </row>
    <row r="544" spans="1:2" x14ac:dyDescent="0.25">
      <c r="A544" s="13"/>
      <c r="B544" s="13"/>
    </row>
    <row r="545" spans="1:2" x14ac:dyDescent="0.25">
      <c r="A545" s="13"/>
      <c r="B545" s="13"/>
    </row>
    <row r="546" spans="1:2" x14ac:dyDescent="0.25">
      <c r="A546" s="13"/>
      <c r="B546" s="13"/>
    </row>
    <row r="547" spans="1:2" x14ac:dyDescent="0.25">
      <c r="A547" s="13"/>
      <c r="B547" s="13"/>
    </row>
    <row r="548" spans="1:2" x14ac:dyDescent="0.25">
      <c r="A548" s="13"/>
      <c r="B548" s="13"/>
    </row>
    <row r="549" spans="1:2" x14ac:dyDescent="0.25">
      <c r="A549" s="13"/>
      <c r="B549" s="13"/>
    </row>
    <row r="550" spans="1:2" x14ac:dyDescent="0.25">
      <c r="A550" s="13"/>
      <c r="B550" s="13"/>
    </row>
    <row r="551" spans="1:2" x14ac:dyDescent="0.25">
      <c r="A551" s="13"/>
      <c r="B551" s="13"/>
    </row>
    <row r="552" spans="1:2" x14ac:dyDescent="0.25">
      <c r="A552" s="13"/>
      <c r="B552" s="13"/>
    </row>
    <row r="553" spans="1:2" x14ac:dyDescent="0.25">
      <c r="A553" s="13"/>
      <c r="B553" s="13"/>
    </row>
    <row r="554" spans="1:2" x14ac:dyDescent="0.25">
      <c r="A554" s="13"/>
      <c r="B554" s="13"/>
    </row>
    <row r="555" spans="1:2" x14ac:dyDescent="0.25">
      <c r="A555" s="13"/>
      <c r="B555" s="13"/>
    </row>
    <row r="556" spans="1:2" x14ac:dyDescent="0.25">
      <c r="A556" s="13"/>
      <c r="B556" s="13"/>
    </row>
    <row r="557" spans="1:2" x14ac:dyDescent="0.25">
      <c r="A557" s="13"/>
      <c r="B557" s="13"/>
    </row>
    <row r="558" spans="1:2" x14ac:dyDescent="0.25">
      <c r="A558" s="13"/>
      <c r="B558" s="13"/>
    </row>
    <row r="559" spans="1:2" x14ac:dyDescent="0.25">
      <c r="A559" s="13"/>
      <c r="B559" s="13"/>
    </row>
    <row r="560" spans="1:2" x14ac:dyDescent="0.25">
      <c r="A560" s="13"/>
      <c r="B560" s="13"/>
    </row>
    <row r="561" spans="1:2" x14ac:dyDescent="0.25">
      <c r="A561" s="13"/>
      <c r="B561" s="13"/>
    </row>
    <row r="562" spans="1:2" x14ac:dyDescent="0.25">
      <c r="A562" s="13"/>
      <c r="B562" s="13"/>
    </row>
    <row r="563" spans="1:2" x14ac:dyDescent="0.25">
      <c r="A563" s="13"/>
      <c r="B563" s="13"/>
    </row>
    <row r="564" spans="1:2" x14ac:dyDescent="0.25">
      <c r="A564" s="13"/>
      <c r="B564" s="13"/>
    </row>
    <row r="565" spans="1:2" x14ac:dyDescent="0.25">
      <c r="A565" s="13"/>
      <c r="B565" s="13"/>
    </row>
    <row r="566" spans="1:2" x14ac:dyDescent="0.25">
      <c r="A566" s="13"/>
      <c r="B566" s="13"/>
    </row>
    <row r="567" spans="1:2" x14ac:dyDescent="0.25">
      <c r="A567" s="13"/>
      <c r="B567" s="13"/>
    </row>
    <row r="568" spans="1:2" x14ac:dyDescent="0.25">
      <c r="A568" s="13"/>
      <c r="B568" s="13"/>
    </row>
    <row r="569" spans="1:2" x14ac:dyDescent="0.25">
      <c r="A569" s="13"/>
      <c r="B569" s="13"/>
    </row>
    <row r="570" spans="1:2" x14ac:dyDescent="0.25">
      <c r="A570" s="13"/>
      <c r="B570" s="13"/>
    </row>
    <row r="571" spans="1:2" x14ac:dyDescent="0.25">
      <c r="A571" s="13"/>
      <c r="B571" s="13"/>
    </row>
    <row r="572" spans="1:2" x14ac:dyDescent="0.25">
      <c r="A572" s="13"/>
      <c r="B572" s="13"/>
    </row>
    <row r="573" spans="1:2" x14ac:dyDescent="0.25">
      <c r="A573" s="13"/>
      <c r="B573" s="13"/>
    </row>
    <row r="574" spans="1:2" x14ac:dyDescent="0.25">
      <c r="A574" s="13"/>
      <c r="B574" s="13"/>
    </row>
    <row r="575" spans="1:2" x14ac:dyDescent="0.25">
      <c r="A575" s="13"/>
      <c r="B575" s="13"/>
    </row>
    <row r="576" spans="1:2" x14ac:dyDescent="0.25">
      <c r="A576" s="13"/>
      <c r="B576" s="13"/>
    </row>
    <row r="577" spans="1:2" x14ac:dyDescent="0.25">
      <c r="A577" s="13"/>
      <c r="B577" s="13"/>
    </row>
    <row r="578" spans="1:2" x14ac:dyDescent="0.25">
      <c r="A578" s="13"/>
      <c r="B578" s="13"/>
    </row>
    <row r="579" spans="1:2" x14ac:dyDescent="0.25">
      <c r="A579" s="13"/>
      <c r="B579" s="13"/>
    </row>
    <row r="580" spans="1:2" x14ac:dyDescent="0.25">
      <c r="A580" s="13"/>
      <c r="B580" s="13"/>
    </row>
    <row r="581" spans="1:2" x14ac:dyDescent="0.25">
      <c r="A581" s="13"/>
      <c r="B581" s="13"/>
    </row>
    <row r="582" spans="1:2" x14ac:dyDescent="0.25">
      <c r="A582" s="13"/>
      <c r="B582" s="13"/>
    </row>
    <row r="583" spans="1:2" x14ac:dyDescent="0.25">
      <c r="A583" s="13"/>
      <c r="B583" s="13"/>
    </row>
    <row r="584" spans="1:2" x14ac:dyDescent="0.25">
      <c r="A584" s="13"/>
      <c r="B584" s="13"/>
    </row>
    <row r="585" spans="1:2" x14ac:dyDescent="0.25">
      <c r="A585" s="13"/>
      <c r="B585" s="13"/>
    </row>
    <row r="586" spans="1:2" x14ac:dyDescent="0.25">
      <c r="A586" s="13"/>
      <c r="B586" s="13"/>
    </row>
    <row r="587" spans="1:2" x14ac:dyDescent="0.25">
      <c r="A587" s="13"/>
      <c r="B587" s="13"/>
    </row>
    <row r="588" spans="1:2" x14ac:dyDescent="0.25">
      <c r="A588" s="13"/>
      <c r="B588" s="13"/>
    </row>
    <row r="589" spans="1:2" x14ac:dyDescent="0.25">
      <c r="A589" s="13"/>
      <c r="B589" s="13"/>
    </row>
    <row r="590" spans="1:2" x14ac:dyDescent="0.25">
      <c r="A590" s="13"/>
      <c r="B590" s="13"/>
    </row>
    <row r="591" spans="1:2" x14ac:dyDescent="0.25">
      <c r="A591" s="13"/>
      <c r="B591" s="13"/>
    </row>
    <row r="592" spans="1:2" x14ac:dyDescent="0.25">
      <c r="A592" s="13"/>
      <c r="B592" s="13"/>
    </row>
    <row r="593" spans="1:2" x14ac:dyDescent="0.25">
      <c r="A593" s="13"/>
      <c r="B593" s="13"/>
    </row>
    <row r="594" spans="1:2" x14ac:dyDescent="0.25">
      <c r="A594" s="13"/>
      <c r="B594" s="13"/>
    </row>
    <row r="595" spans="1:2" x14ac:dyDescent="0.25">
      <c r="A595" s="13"/>
      <c r="B595" s="13"/>
    </row>
    <row r="596" spans="1:2" x14ac:dyDescent="0.25">
      <c r="A596" s="13"/>
      <c r="B596" s="13"/>
    </row>
    <row r="597" spans="1:2" x14ac:dyDescent="0.25">
      <c r="A597" s="13"/>
      <c r="B597" s="13"/>
    </row>
    <row r="598" spans="1:2" x14ac:dyDescent="0.25">
      <c r="A598" s="13"/>
      <c r="B598" s="13"/>
    </row>
    <row r="599" spans="1:2" x14ac:dyDescent="0.25">
      <c r="A599" s="13"/>
      <c r="B599" s="13"/>
    </row>
    <row r="600" spans="1:2" x14ac:dyDescent="0.25">
      <c r="A600" s="13"/>
      <c r="B600" s="13"/>
    </row>
    <row r="601" spans="1:2" x14ac:dyDescent="0.25">
      <c r="A601" s="13"/>
      <c r="B601" s="13"/>
    </row>
    <row r="602" spans="1:2" x14ac:dyDescent="0.25">
      <c r="A602" s="13"/>
      <c r="B602" s="13"/>
    </row>
    <row r="603" spans="1:2" x14ac:dyDescent="0.25">
      <c r="A603" s="13"/>
      <c r="B603" s="13"/>
    </row>
    <row r="604" spans="1:2" x14ac:dyDescent="0.25">
      <c r="A604" s="13"/>
      <c r="B604" s="13"/>
    </row>
    <row r="605" spans="1:2" x14ac:dyDescent="0.25">
      <c r="A605" s="13"/>
      <c r="B605" s="13"/>
    </row>
    <row r="606" spans="1:2" x14ac:dyDescent="0.25">
      <c r="A606" s="13"/>
      <c r="B606" s="13"/>
    </row>
    <row r="607" spans="1:2" x14ac:dyDescent="0.25">
      <c r="A607" s="13"/>
      <c r="B607" s="13"/>
    </row>
    <row r="608" spans="1:2" x14ac:dyDescent="0.25">
      <c r="A608" s="13"/>
      <c r="B608" s="13"/>
    </row>
    <row r="609" spans="1:2" x14ac:dyDescent="0.25">
      <c r="A609" s="13"/>
      <c r="B609" s="13"/>
    </row>
    <row r="610" spans="1:2" x14ac:dyDescent="0.25">
      <c r="A610" s="13"/>
      <c r="B610" s="13"/>
    </row>
    <row r="611" spans="1:2" x14ac:dyDescent="0.25">
      <c r="A611" s="13"/>
      <c r="B611" s="13"/>
    </row>
    <row r="612" spans="1:2" x14ac:dyDescent="0.25">
      <c r="A612" s="13"/>
      <c r="B612" s="13"/>
    </row>
    <row r="613" spans="1:2" x14ac:dyDescent="0.25">
      <c r="A613" s="13"/>
      <c r="B613" s="13"/>
    </row>
    <row r="614" spans="1:2" x14ac:dyDescent="0.25">
      <c r="A614" s="13"/>
      <c r="B614" s="13"/>
    </row>
    <row r="615" spans="1:2" x14ac:dyDescent="0.25">
      <c r="A615" s="13"/>
      <c r="B615" s="13"/>
    </row>
    <row r="616" spans="1:2" x14ac:dyDescent="0.25">
      <c r="A616" s="13"/>
      <c r="B616" s="13"/>
    </row>
    <row r="617" spans="1:2" x14ac:dyDescent="0.25">
      <c r="A617" s="13"/>
      <c r="B617" s="13"/>
    </row>
    <row r="618" spans="1:2" x14ac:dyDescent="0.25">
      <c r="A618" s="13"/>
      <c r="B618" s="13"/>
    </row>
    <row r="619" spans="1:2" x14ac:dyDescent="0.25">
      <c r="A619" s="13"/>
      <c r="B619" s="13"/>
    </row>
    <row r="620" spans="1:2" x14ac:dyDescent="0.25">
      <c r="A620" s="13"/>
      <c r="B620" s="13"/>
    </row>
    <row r="621" spans="1:2" x14ac:dyDescent="0.25">
      <c r="A621" s="13"/>
      <c r="B621" s="13"/>
    </row>
    <row r="622" spans="1:2" x14ac:dyDescent="0.25">
      <c r="A622" s="13"/>
      <c r="B622" s="13"/>
    </row>
    <row r="623" spans="1:2" x14ac:dyDescent="0.25">
      <c r="A623" s="13"/>
      <c r="B623" s="13"/>
    </row>
    <row r="624" spans="1:2" x14ac:dyDescent="0.25">
      <c r="A624" s="13"/>
      <c r="B624" s="13"/>
    </row>
    <row r="625" spans="1:2" x14ac:dyDescent="0.25">
      <c r="A625" s="13"/>
      <c r="B625" s="13"/>
    </row>
    <row r="626" spans="1:2" x14ac:dyDescent="0.25">
      <c r="A626" s="13"/>
      <c r="B626" s="13"/>
    </row>
    <row r="627" spans="1:2" x14ac:dyDescent="0.25">
      <c r="A627" s="13"/>
      <c r="B627" s="13"/>
    </row>
    <row r="628" spans="1:2" x14ac:dyDescent="0.25">
      <c r="A628" s="13"/>
      <c r="B628" s="13"/>
    </row>
    <row r="629" spans="1:2" x14ac:dyDescent="0.25">
      <c r="A629" s="13"/>
      <c r="B629" s="13"/>
    </row>
    <row r="630" spans="1:2" x14ac:dyDescent="0.25">
      <c r="A630" s="13"/>
      <c r="B630" s="13"/>
    </row>
    <row r="631" spans="1:2" x14ac:dyDescent="0.25">
      <c r="A631" s="13"/>
      <c r="B631" s="13"/>
    </row>
    <row r="632" spans="1:2" x14ac:dyDescent="0.25">
      <c r="A632" s="13"/>
      <c r="B632" s="13"/>
    </row>
    <row r="633" spans="1:2" x14ac:dyDescent="0.25">
      <c r="A633" s="13"/>
      <c r="B633" s="13"/>
    </row>
    <row r="634" spans="1:2" x14ac:dyDescent="0.25">
      <c r="A634" s="13"/>
      <c r="B634" s="13"/>
    </row>
    <row r="635" spans="1:2" x14ac:dyDescent="0.25">
      <c r="A635" s="13"/>
      <c r="B635" s="13"/>
    </row>
    <row r="636" spans="1:2" x14ac:dyDescent="0.25">
      <c r="A636" s="13"/>
      <c r="B636" s="13"/>
    </row>
    <row r="637" spans="1:2" x14ac:dyDescent="0.25">
      <c r="A637" s="13"/>
      <c r="B637" s="13"/>
    </row>
    <row r="638" spans="1:2" x14ac:dyDescent="0.25">
      <c r="A638" s="13"/>
      <c r="B638" s="13"/>
    </row>
    <row r="639" spans="1:2" x14ac:dyDescent="0.25">
      <c r="A639" s="13"/>
      <c r="B639" s="13"/>
    </row>
    <row r="640" spans="1:2" x14ac:dyDescent="0.25">
      <c r="A640" s="13"/>
      <c r="B640" s="13"/>
    </row>
    <row r="641" spans="1:2" x14ac:dyDescent="0.25">
      <c r="A641" s="13"/>
      <c r="B641" s="13"/>
    </row>
    <row r="642" spans="1:2" x14ac:dyDescent="0.25">
      <c r="A642" s="13"/>
      <c r="B642" s="13"/>
    </row>
    <row r="643" spans="1:2" x14ac:dyDescent="0.25">
      <c r="A643" s="13"/>
      <c r="B643" s="13"/>
    </row>
    <row r="644" spans="1:2" x14ac:dyDescent="0.25">
      <c r="A644" s="13"/>
      <c r="B644" s="13"/>
    </row>
    <row r="645" spans="1:2" x14ac:dyDescent="0.25">
      <c r="A645" s="13"/>
      <c r="B645" s="13"/>
    </row>
    <row r="646" spans="1:2" x14ac:dyDescent="0.25">
      <c r="A646" s="13"/>
      <c r="B646" s="13"/>
    </row>
    <row r="647" spans="1:2" x14ac:dyDescent="0.25">
      <c r="A647" s="13"/>
      <c r="B647" s="13"/>
    </row>
    <row r="648" spans="1:2" x14ac:dyDescent="0.25">
      <c r="A648" s="13"/>
      <c r="B648" s="13"/>
    </row>
    <row r="649" spans="1:2" x14ac:dyDescent="0.25">
      <c r="A649" s="13"/>
      <c r="B649" s="13"/>
    </row>
    <row r="650" spans="1:2" x14ac:dyDescent="0.25">
      <c r="A650" s="13"/>
      <c r="B650" s="13"/>
    </row>
    <row r="651" spans="1:2" x14ac:dyDescent="0.25">
      <c r="A651" s="13"/>
      <c r="B651" s="13"/>
    </row>
    <row r="652" spans="1:2" x14ac:dyDescent="0.25">
      <c r="A652" s="13"/>
      <c r="B652" s="13"/>
    </row>
    <row r="653" spans="1:2" x14ac:dyDescent="0.25">
      <c r="A653" s="13"/>
      <c r="B653" s="13"/>
    </row>
    <row r="654" spans="1:2" x14ac:dyDescent="0.25">
      <c r="A654" s="13"/>
      <c r="B654" s="13"/>
    </row>
    <row r="655" spans="1:2" x14ac:dyDescent="0.25">
      <c r="A655" s="13"/>
      <c r="B655" s="13"/>
    </row>
    <row r="656" spans="1:2" x14ac:dyDescent="0.25">
      <c r="A656" s="13"/>
      <c r="B656" s="13"/>
    </row>
    <row r="657" spans="1:2" x14ac:dyDescent="0.25">
      <c r="A657" s="13"/>
      <c r="B657" s="13"/>
    </row>
    <row r="658" spans="1:2" x14ac:dyDescent="0.25">
      <c r="A658" s="13"/>
      <c r="B658" s="13"/>
    </row>
    <row r="659" spans="1:2" x14ac:dyDescent="0.25">
      <c r="A659" s="13"/>
      <c r="B659" s="13"/>
    </row>
    <row r="660" spans="1:2" x14ac:dyDescent="0.25">
      <c r="A660" s="13"/>
      <c r="B660" s="13"/>
    </row>
    <row r="661" spans="1:2" x14ac:dyDescent="0.25">
      <c r="A661" s="13"/>
      <c r="B661" s="13"/>
    </row>
    <row r="662" spans="1:2" x14ac:dyDescent="0.25">
      <c r="A662" s="13"/>
      <c r="B662" s="13"/>
    </row>
    <row r="663" spans="1:2" x14ac:dyDescent="0.25">
      <c r="A663" s="13"/>
      <c r="B663" s="13"/>
    </row>
    <row r="664" spans="1:2" x14ac:dyDescent="0.25">
      <c r="A664" s="13"/>
      <c r="B664" s="13"/>
    </row>
    <row r="665" spans="1:2" x14ac:dyDescent="0.25">
      <c r="A665" s="13"/>
      <c r="B665" s="13"/>
    </row>
    <row r="666" spans="1:2" x14ac:dyDescent="0.25">
      <c r="A666" s="13"/>
      <c r="B666" s="13"/>
    </row>
    <row r="667" spans="1:2" x14ac:dyDescent="0.25">
      <c r="A667" s="13"/>
      <c r="B667" s="13"/>
    </row>
    <row r="668" spans="1:2" x14ac:dyDescent="0.25">
      <c r="A668" s="13"/>
      <c r="B668" s="13"/>
    </row>
    <row r="669" spans="1:2" x14ac:dyDescent="0.25">
      <c r="A669" s="13"/>
      <c r="B669" s="13"/>
    </row>
    <row r="670" spans="1:2" x14ac:dyDescent="0.25">
      <c r="A670" s="13"/>
      <c r="B670" s="13"/>
    </row>
    <row r="671" spans="1:2" x14ac:dyDescent="0.25">
      <c r="A671" s="13"/>
      <c r="B671" s="13"/>
    </row>
    <row r="672" spans="1:2" x14ac:dyDescent="0.25">
      <c r="A672" s="13"/>
      <c r="B672" s="13"/>
    </row>
    <row r="673" spans="1:2" x14ac:dyDescent="0.25">
      <c r="A673" s="13"/>
      <c r="B673" s="13"/>
    </row>
    <row r="674" spans="1:2" x14ac:dyDescent="0.25">
      <c r="A674" s="13"/>
      <c r="B674" s="13"/>
    </row>
    <row r="675" spans="1:2" x14ac:dyDescent="0.25">
      <c r="A675" s="13"/>
      <c r="B675" s="13"/>
    </row>
    <row r="676" spans="1:2" x14ac:dyDescent="0.25">
      <c r="A676" s="13"/>
      <c r="B676" s="13"/>
    </row>
    <row r="677" spans="1:2" x14ac:dyDescent="0.25">
      <c r="A677" s="13"/>
      <c r="B677" s="13"/>
    </row>
    <row r="678" spans="1:2" x14ac:dyDescent="0.25">
      <c r="A678" s="13"/>
      <c r="B678" s="13"/>
    </row>
    <row r="679" spans="1:2" x14ac:dyDescent="0.25">
      <c r="A679" s="13"/>
      <c r="B679" s="13"/>
    </row>
    <row r="680" spans="1:2" x14ac:dyDescent="0.25">
      <c r="A680" s="13"/>
      <c r="B680" s="13"/>
    </row>
    <row r="681" spans="1:2" x14ac:dyDescent="0.25">
      <c r="A681" s="13"/>
      <c r="B681" s="13"/>
    </row>
    <row r="682" spans="1:2" x14ac:dyDescent="0.25">
      <c r="A682" s="13"/>
      <c r="B682" s="13"/>
    </row>
    <row r="683" spans="1:2" x14ac:dyDescent="0.25">
      <c r="A683" s="13"/>
      <c r="B683" s="13"/>
    </row>
    <row r="684" spans="1:2" x14ac:dyDescent="0.25">
      <c r="A684" s="13"/>
      <c r="B684" s="13"/>
    </row>
    <row r="685" spans="1:2" x14ac:dyDescent="0.25">
      <c r="A685" s="13"/>
      <c r="B685" s="13"/>
    </row>
    <row r="686" spans="1:2" x14ac:dyDescent="0.25">
      <c r="A686" s="13"/>
      <c r="B686" s="13"/>
    </row>
    <row r="687" spans="1:2" x14ac:dyDescent="0.25">
      <c r="A687" s="13"/>
      <c r="B687" s="13"/>
    </row>
    <row r="688" spans="1:2" x14ac:dyDescent="0.25">
      <c r="A688" s="13"/>
      <c r="B688" s="13"/>
    </row>
    <row r="689" spans="1:2" x14ac:dyDescent="0.25">
      <c r="A689" s="13"/>
      <c r="B689" s="13"/>
    </row>
    <row r="690" spans="1:2" x14ac:dyDescent="0.25">
      <c r="A690" s="13"/>
      <c r="B690" s="13"/>
    </row>
    <row r="691" spans="1:2" x14ac:dyDescent="0.25">
      <c r="A691" s="13"/>
      <c r="B691" s="13"/>
    </row>
    <row r="692" spans="1:2" x14ac:dyDescent="0.25">
      <c r="A692" s="13"/>
      <c r="B692" s="13"/>
    </row>
    <row r="693" spans="1:2" x14ac:dyDescent="0.25">
      <c r="A693" s="13"/>
      <c r="B693" s="13"/>
    </row>
    <row r="694" spans="1:2" x14ac:dyDescent="0.25">
      <c r="A694" s="13"/>
      <c r="B694" s="13"/>
    </row>
    <row r="695" spans="1:2" x14ac:dyDescent="0.25">
      <c r="A695" s="13"/>
      <c r="B695" s="13"/>
    </row>
    <row r="696" spans="1:2" x14ac:dyDescent="0.25">
      <c r="A696" s="13"/>
      <c r="B696" s="13"/>
    </row>
    <row r="697" spans="1:2" x14ac:dyDescent="0.25">
      <c r="A697" s="13"/>
      <c r="B697" s="13"/>
    </row>
    <row r="698" spans="1:2" x14ac:dyDescent="0.25">
      <c r="A698" s="13"/>
      <c r="B698" s="13"/>
    </row>
    <row r="699" spans="1:2" x14ac:dyDescent="0.25">
      <c r="A699" s="13"/>
      <c r="B699" s="13"/>
    </row>
    <row r="700" spans="1:2" x14ac:dyDescent="0.25">
      <c r="A700" s="13"/>
      <c r="B700" s="13"/>
    </row>
    <row r="701" spans="1:2" x14ac:dyDescent="0.25">
      <c r="A701" s="13"/>
      <c r="B701" s="13"/>
    </row>
    <row r="702" spans="1:2" x14ac:dyDescent="0.25">
      <c r="A702" s="13"/>
      <c r="B702" s="13"/>
    </row>
    <row r="703" spans="1:2" x14ac:dyDescent="0.25">
      <c r="A703" s="13"/>
      <c r="B703" s="13"/>
    </row>
    <row r="704" spans="1:2" x14ac:dyDescent="0.25">
      <c r="A704" s="13"/>
      <c r="B704" s="13"/>
    </row>
    <row r="705" spans="1:2" x14ac:dyDescent="0.25">
      <c r="A705" s="13"/>
      <c r="B705" s="13"/>
    </row>
    <row r="706" spans="1:2" x14ac:dyDescent="0.25">
      <c r="A706" s="13"/>
      <c r="B706" s="13"/>
    </row>
    <row r="707" spans="1:2" x14ac:dyDescent="0.25">
      <c r="A707" s="13"/>
      <c r="B707" s="13"/>
    </row>
    <row r="708" spans="1:2" x14ac:dyDescent="0.25">
      <c r="A708" s="13"/>
      <c r="B708" s="13"/>
    </row>
    <row r="709" spans="1:2" x14ac:dyDescent="0.25">
      <c r="A709" s="13"/>
      <c r="B709" s="13"/>
    </row>
    <row r="710" spans="1:2" x14ac:dyDescent="0.25">
      <c r="A710" s="13"/>
      <c r="B710" s="13"/>
    </row>
    <row r="711" spans="1:2" x14ac:dyDescent="0.25">
      <c r="A711" s="13"/>
      <c r="B711" s="13"/>
    </row>
    <row r="712" spans="1:2" x14ac:dyDescent="0.25">
      <c r="A712" s="13"/>
      <c r="B712" s="13"/>
    </row>
    <row r="713" spans="1:2" x14ac:dyDescent="0.25">
      <c r="A713" s="13"/>
      <c r="B713" s="13"/>
    </row>
    <row r="714" spans="1:2" x14ac:dyDescent="0.25">
      <c r="A714" s="13"/>
      <c r="B714" s="13"/>
    </row>
    <row r="715" spans="1:2" x14ac:dyDescent="0.25">
      <c r="A715" s="13"/>
      <c r="B715" s="13"/>
    </row>
    <row r="716" spans="1:2" x14ac:dyDescent="0.25">
      <c r="A716" s="13"/>
      <c r="B716" s="13"/>
    </row>
    <row r="717" spans="1:2" x14ac:dyDescent="0.25">
      <c r="A717" s="13"/>
      <c r="B717" s="13"/>
    </row>
    <row r="718" spans="1:2" x14ac:dyDescent="0.25">
      <c r="A718" s="13"/>
      <c r="B718" s="13"/>
    </row>
    <row r="719" spans="1:2" x14ac:dyDescent="0.25">
      <c r="A719" s="13"/>
      <c r="B719" s="13"/>
    </row>
    <row r="720" spans="1:2" x14ac:dyDescent="0.25">
      <c r="A720" s="13"/>
      <c r="B720" s="13"/>
    </row>
    <row r="721" spans="1:2" x14ac:dyDescent="0.25">
      <c r="A721" s="13"/>
      <c r="B721" s="13"/>
    </row>
    <row r="722" spans="1:2" x14ac:dyDescent="0.25">
      <c r="A722" s="13"/>
      <c r="B722" s="13"/>
    </row>
    <row r="723" spans="1:2" x14ac:dyDescent="0.25">
      <c r="A723" s="13"/>
      <c r="B723" s="13"/>
    </row>
    <row r="724" spans="1:2" x14ac:dyDescent="0.25">
      <c r="A724" s="13"/>
      <c r="B724" s="13"/>
    </row>
    <row r="725" spans="1:2" x14ac:dyDescent="0.25">
      <c r="A725" s="13"/>
      <c r="B725" s="13"/>
    </row>
    <row r="726" spans="1:2" x14ac:dyDescent="0.25">
      <c r="A726" s="13"/>
      <c r="B726" s="13"/>
    </row>
    <row r="727" spans="1:2" x14ac:dyDescent="0.25">
      <c r="A727" s="13"/>
      <c r="B727" s="13"/>
    </row>
    <row r="728" spans="1:2" x14ac:dyDescent="0.25">
      <c r="A728" s="13"/>
      <c r="B728" s="13"/>
    </row>
    <row r="729" spans="1:2" x14ac:dyDescent="0.25">
      <c r="A729" s="13"/>
      <c r="B729" s="13"/>
    </row>
    <row r="730" spans="1:2" x14ac:dyDescent="0.25">
      <c r="A730" s="13"/>
      <c r="B730" s="13"/>
    </row>
    <row r="731" spans="1:2" x14ac:dyDescent="0.25">
      <c r="A731" s="13"/>
      <c r="B731" s="13"/>
    </row>
    <row r="732" spans="1:2" x14ac:dyDescent="0.25">
      <c r="A732" s="13"/>
      <c r="B732" s="13"/>
    </row>
    <row r="733" spans="1:2" x14ac:dyDescent="0.25">
      <c r="A733" s="13"/>
      <c r="B733" s="13"/>
    </row>
    <row r="734" spans="1:2" x14ac:dyDescent="0.25">
      <c r="A734" s="13"/>
      <c r="B734" s="13"/>
    </row>
    <row r="735" spans="1:2" x14ac:dyDescent="0.25">
      <c r="A735" s="13"/>
      <c r="B735" s="13"/>
    </row>
    <row r="736" spans="1:2" x14ac:dyDescent="0.25">
      <c r="A736" s="13"/>
      <c r="B736" s="13"/>
    </row>
    <row r="737" spans="1:2" x14ac:dyDescent="0.25">
      <c r="A737" s="13"/>
      <c r="B737" s="13"/>
    </row>
    <row r="738" spans="1:2" x14ac:dyDescent="0.25">
      <c r="A738" s="13"/>
      <c r="B738" s="13"/>
    </row>
    <row r="739" spans="1:2" x14ac:dyDescent="0.25">
      <c r="A739" s="13"/>
      <c r="B739" s="13"/>
    </row>
    <row r="740" spans="1:2" x14ac:dyDescent="0.25">
      <c r="A740" s="13"/>
      <c r="B740" s="13"/>
    </row>
    <row r="741" spans="1:2" x14ac:dyDescent="0.25">
      <c r="A741" s="13"/>
      <c r="B741" s="13"/>
    </row>
    <row r="742" spans="1:2" x14ac:dyDescent="0.25">
      <c r="A742" s="13"/>
      <c r="B742" s="13"/>
    </row>
    <row r="743" spans="1:2" x14ac:dyDescent="0.25">
      <c r="A743" s="13"/>
      <c r="B743" s="13"/>
    </row>
    <row r="744" spans="1:2" x14ac:dyDescent="0.25">
      <c r="A744" s="13"/>
      <c r="B744" s="13"/>
    </row>
    <row r="745" spans="1:2" x14ac:dyDescent="0.25">
      <c r="A745" s="13"/>
      <c r="B745" s="13"/>
    </row>
    <row r="746" spans="1:2" x14ac:dyDescent="0.25">
      <c r="A746" s="13"/>
      <c r="B746" s="13"/>
    </row>
    <row r="747" spans="1:2" x14ac:dyDescent="0.25">
      <c r="A747" s="13"/>
      <c r="B747" s="13"/>
    </row>
    <row r="748" spans="1:2" x14ac:dyDescent="0.25">
      <c r="A748" s="13"/>
      <c r="B748" s="13"/>
    </row>
    <row r="749" spans="1:2" x14ac:dyDescent="0.25">
      <c r="A749" s="13"/>
      <c r="B749" s="13"/>
    </row>
    <row r="750" spans="1:2" x14ac:dyDescent="0.25">
      <c r="A750" s="13"/>
      <c r="B750" s="13"/>
    </row>
    <row r="751" spans="1:2" x14ac:dyDescent="0.25">
      <c r="A751" s="13"/>
      <c r="B751" s="13"/>
    </row>
    <row r="752" spans="1:2" x14ac:dyDescent="0.25">
      <c r="A752" s="13"/>
      <c r="B752" s="13"/>
    </row>
    <row r="753" spans="1:2" x14ac:dyDescent="0.25">
      <c r="A753" s="13"/>
      <c r="B753" s="13"/>
    </row>
    <row r="754" spans="1:2" x14ac:dyDescent="0.25">
      <c r="A754" s="13"/>
      <c r="B754" s="13"/>
    </row>
    <row r="755" spans="1:2" x14ac:dyDescent="0.25">
      <c r="A755" s="13"/>
      <c r="B755" s="13"/>
    </row>
    <row r="756" spans="1:2" x14ac:dyDescent="0.25">
      <c r="A756" s="13"/>
      <c r="B756" s="13"/>
    </row>
    <row r="757" spans="1:2" x14ac:dyDescent="0.25">
      <c r="A757" s="13"/>
      <c r="B757" s="13"/>
    </row>
    <row r="758" spans="1:2" x14ac:dyDescent="0.25">
      <c r="A758" s="13"/>
      <c r="B758" s="13"/>
    </row>
    <row r="759" spans="1:2" x14ac:dyDescent="0.25">
      <c r="A759" s="13"/>
      <c r="B759" s="13"/>
    </row>
    <row r="760" spans="1:2" x14ac:dyDescent="0.25">
      <c r="A760" s="13"/>
      <c r="B760" s="13"/>
    </row>
    <row r="761" spans="1:2" x14ac:dyDescent="0.25">
      <c r="A761" s="13"/>
      <c r="B761" s="13"/>
    </row>
    <row r="762" spans="1:2" x14ac:dyDescent="0.25">
      <c r="A762" s="13"/>
      <c r="B762" s="13"/>
    </row>
    <row r="763" spans="1:2" x14ac:dyDescent="0.25">
      <c r="A763" s="13"/>
      <c r="B763" s="13"/>
    </row>
    <row r="764" spans="1:2" x14ac:dyDescent="0.25">
      <c r="A764" s="13"/>
      <c r="B764" s="13"/>
    </row>
    <row r="765" spans="1:2" x14ac:dyDescent="0.25">
      <c r="A765" s="13"/>
      <c r="B765" s="13"/>
    </row>
    <row r="766" spans="1:2" x14ac:dyDescent="0.25">
      <c r="A766" s="13"/>
      <c r="B766" s="13"/>
    </row>
    <row r="767" spans="1:2" x14ac:dyDescent="0.25">
      <c r="A767" s="13"/>
      <c r="B767" s="13"/>
    </row>
    <row r="768" spans="1:2" x14ac:dyDescent="0.25">
      <c r="A768" s="13"/>
      <c r="B768" s="13"/>
    </row>
    <row r="769" spans="1:2" x14ac:dyDescent="0.25">
      <c r="A769" s="13"/>
      <c r="B769" s="13"/>
    </row>
    <row r="770" spans="1:2" x14ac:dyDescent="0.25">
      <c r="A770" s="13"/>
      <c r="B770" s="13"/>
    </row>
    <row r="771" spans="1:2" x14ac:dyDescent="0.25">
      <c r="A771" s="13"/>
      <c r="B771" s="13"/>
    </row>
    <row r="772" spans="1:2" x14ac:dyDescent="0.25">
      <c r="A772" s="13"/>
      <c r="B772" s="13"/>
    </row>
    <row r="773" spans="1:2" x14ac:dyDescent="0.25">
      <c r="A773" s="13"/>
      <c r="B773" s="13"/>
    </row>
    <row r="774" spans="1:2" x14ac:dyDescent="0.25">
      <c r="A774" s="13"/>
      <c r="B774" s="13"/>
    </row>
    <row r="775" spans="1:2" x14ac:dyDescent="0.25">
      <c r="A775" s="13"/>
      <c r="B775" s="13"/>
    </row>
    <row r="776" spans="1:2" x14ac:dyDescent="0.25">
      <c r="A776" s="13"/>
      <c r="B776" s="13"/>
    </row>
    <row r="777" spans="1:2" x14ac:dyDescent="0.25">
      <c r="A777" s="13"/>
      <c r="B777" s="13"/>
    </row>
    <row r="778" spans="1:2" x14ac:dyDescent="0.25">
      <c r="A778" s="13"/>
      <c r="B778" s="13"/>
    </row>
    <row r="779" spans="1:2" x14ac:dyDescent="0.25">
      <c r="A779" s="13"/>
      <c r="B779" s="13"/>
    </row>
    <row r="780" spans="1:2" x14ac:dyDescent="0.25">
      <c r="A780" s="13"/>
      <c r="B780" s="13"/>
    </row>
    <row r="781" spans="1:2" x14ac:dyDescent="0.25">
      <c r="A781" s="13"/>
      <c r="B781" s="13"/>
    </row>
    <row r="782" spans="1:2" x14ac:dyDescent="0.25">
      <c r="A782" s="13"/>
      <c r="B782" s="13"/>
    </row>
    <row r="783" spans="1:2" x14ac:dyDescent="0.25">
      <c r="A783" s="13"/>
      <c r="B783" s="13"/>
    </row>
    <row r="784" spans="1:2" x14ac:dyDescent="0.25">
      <c r="A784" s="13"/>
      <c r="B784" s="13"/>
    </row>
    <row r="785" spans="1:2" x14ac:dyDescent="0.25">
      <c r="A785" s="13"/>
      <c r="B785" s="13"/>
    </row>
    <row r="786" spans="1:2" x14ac:dyDescent="0.25">
      <c r="A786" s="13"/>
      <c r="B786" s="13"/>
    </row>
    <row r="787" spans="1:2" x14ac:dyDescent="0.25">
      <c r="A787" s="13"/>
      <c r="B787" s="13"/>
    </row>
    <row r="788" spans="1:2" x14ac:dyDescent="0.25">
      <c r="A788" s="13"/>
      <c r="B788" s="13"/>
    </row>
    <row r="789" spans="1:2" x14ac:dyDescent="0.25">
      <c r="A789" s="13"/>
      <c r="B789" s="13"/>
    </row>
    <row r="790" spans="1:2" x14ac:dyDescent="0.25">
      <c r="A790" s="13"/>
      <c r="B790" s="13"/>
    </row>
    <row r="791" spans="1:2" x14ac:dyDescent="0.25">
      <c r="A791" s="13"/>
      <c r="B791" s="13"/>
    </row>
    <row r="792" spans="1:2" x14ac:dyDescent="0.25">
      <c r="A792" s="13"/>
      <c r="B792" s="13"/>
    </row>
    <row r="793" spans="1:2" x14ac:dyDescent="0.25">
      <c r="A793" s="13"/>
      <c r="B793" s="13"/>
    </row>
    <row r="794" spans="1:2" x14ac:dyDescent="0.25">
      <c r="A794" s="13"/>
      <c r="B794" s="13"/>
    </row>
    <row r="795" spans="1:2" x14ac:dyDescent="0.25">
      <c r="A795" s="13"/>
      <c r="B795" s="13"/>
    </row>
    <row r="796" spans="1:2" x14ac:dyDescent="0.25">
      <c r="A796" s="13"/>
      <c r="B796" s="13"/>
    </row>
    <row r="797" spans="1:2" x14ac:dyDescent="0.25">
      <c r="A797" s="13"/>
      <c r="B797" s="13"/>
    </row>
    <row r="798" spans="1:2" x14ac:dyDescent="0.25">
      <c r="A798" s="13"/>
      <c r="B798" s="13"/>
    </row>
    <row r="799" spans="1:2" x14ac:dyDescent="0.25">
      <c r="A799" s="13"/>
      <c r="B799" s="13"/>
    </row>
    <row r="800" spans="1:2" x14ac:dyDescent="0.25">
      <c r="A800" s="13"/>
      <c r="B800" s="13"/>
    </row>
    <row r="801" spans="1:2" x14ac:dyDescent="0.25">
      <c r="A801" s="13"/>
      <c r="B801" s="13"/>
    </row>
    <row r="802" spans="1:2" x14ac:dyDescent="0.25">
      <c r="A802" s="13"/>
      <c r="B802" s="13"/>
    </row>
    <row r="803" spans="1:2" x14ac:dyDescent="0.25">
      <c r="A803" s="13"/>
      <c r="B803" s="13"/>
    </row>
    <row r="804" spans="1:2" x14ac:dyDescent="0.25">
      <c r="A804" s="13"/>
      <c r="B804" s="13"/>
    </row>
    <row r="805" spans="1:2" x14ac:dyDescent="0.25">
      <c r="A805" s="13"/>
      <c r="B805" s="13"/>
    </row>
    <row r="806" spans="1:2" x14ac:dyDescent="0.25">
      <c r="A806" s="13"/>
      <c r="B806" s="13"/>
    </row>
    <row r="807" spans="1:2" x14ac:dyDescent="0.25">
      <c r="A807" s="13"/>
      <c r="B807" s="13"/>
    </row>
    <row r="808" spans="1:2" x14ac:dyDescent="0.25">
      <c r="A808" s="13"/>
      <c r="B808" s="13"/>
    </row>
    <row r="809" spans="1:2" x14ac:dyDescent="0.25">
      <c r="A809" s="13"/>
      <c r="B809" s="13"/>
    </row>
    <row r="810" spans="1:2" x14ac:dyDescent="0.25">
      <c r="A810" s="13"/>
      <c r="B810" s="13"/>
    </row>
    <row r="811" spans="1:2" x14ac:dyDescent="0.25">
      <c r="A811" s="13"/>
      <c r="B811" s="13"/>
    </row>
    <row r="812" spans="1:2" x14ac:dyDescent="0.25">
      <c r="A812" s="13"/>
      <c r="B812" s="13"/>
    </row>
    <row r="813" spans="1:2" x14ac:dyDescent="0.25">
      <c r="A813" s="13"/>
      <c r="B813" s="13"/>
    </row>
    <row r="814" spans="1:2" x14ac:dyDescent="0.25">
      <c r="A814" s="13"/>
      <c r="B814" s="13"/>
    </row>
    <row r="815" spans="1:2" x14ac:dyDescent="0.25">
      <c r="A815" s="13"/>
      <c r="B815" s="13"/>
    </row>
    <row r="816" spans="1:2" x14ac:dyDescent="0.25">
      <c r="A816" s="13"/>
      <c r="B816" s="13"/>
    </row>
    <row r="817" spans="1:2" x14ac:dyDescent="0.25">
      <c r="A817" s="13"/>
      <c r="B817" s="13"/>
    </row>
    <row r="818" spans="1:2" x14ac:dyDescent="0.25">
      <c r="A818" s="13"/>
      <c r="B818" s="13"/>
    </row>
    <row r="819" spans="1:2" x14ac:dyDescent="0.25">
      <c r="A819" s="13"/>
      <c r="B819" s="13"/>
    </row>
    <row r="820" spans="1:2" x14ac:dyDescent="0.25">
      <c r="A820" s="13"/>
      <c r="B820" s="13"/>
    </row>
    <row r="821" spans="1:2" x14ac:dyDescent="0.25">
      <c r="A821" s="13"/>
      <c r="B821" s="13"/>
    </row>
    <row r="822" spans="1:2" x14ac:dyDescent="0.25">
      <c r="A822" s="13"/>
      <c r="B822" s="13"/>
    </row>
    <row r="823" spans="1:2" x14ac:dyDescent="0.25">
      <c r="A823" s="13"/>
      <c r="B823" s="13"/>
    </row>
    <row r="824" spans="1:2" x14ac:dyDescent="0.25">
      <c r="A824" s="13"/>
      <c r="B824" s="13"/>
    </row>
    <row r="825" spans="1:2" x14ac:dyDescent="0.25">
      <c r="A825" s="13"/>
      <c r="B825" s="13"/>
    </row>
    <row r="826" spans="1:2" x14ac:dyDescent="0.25">
      <c r="A826" s="13"/>
      <c r="B826" s="13"/>
    </row>
    <row r="827" spans="1:2" x14ac:dyDescent="0.25">
      <c r="A827" s="13"/>
      <c r="B827" s="13"/>
    </row>
    <row r="828" spans="1:2" x14ac:dyDescent="0.25">
      <c r="A828" s="13"/>
      <c r="B828" s="13"/>
    </row>
    <row r="829" spans="1:2" x14ac:dyDescent="0.25">
      <c r="A829" s="13"/>
      <c r="B829" s="13"/>
    </row>
    <row r="830" spans="1:2" x14ac:dyDescent="0.25">
      <c r="A830" s="13"/>
      <c r="B830" s="13"/>
    </row>
    <row r="831" spans="1:2" x14ac:dyDescent="0.25">
      <c r="A831" s="13"/>
      <c r="B831" s="13"/>
    </row>
    <row r="832" spans="1:2" x14ac:dyDescent="0.25">
      <c r="A832" s="13"/>
      <c r="B832" s="13"/>
    </row>
    <row r="833" spans="1:2" x14ac:dyDescent="0.25">
      <c r="A833" s="13"/>
      <c r="B833" s="13"/>
    </row>
    <row r="834" spans="1:2" x14ac:dyDescent="0.25">
      <c r="A834" s="13"/>
      <c r="B834" s="13"/>
    </row>
    <row r="835" spans="1:2" x14ac:dyDescent="0.25">
      <c r="A835" s="13"/>
      <c r="B835" s="13"/>
    </row>
    <row r="836" spans="1:2" x14ac:dyDescent="0.25">
      <c r="A836" s="13"/>
      <c r="B836" s="13"/>
    </row>
    <row r="837" spans="1:2" x14ac:dyDescent="0.25">
      <c r="A837" s="13"/>
      <c r="B837" s="13"/>
    </row>
    <row r="838" spans="1:2" x14ac:dyDescent="0.25">
      <c r="A838" s="13"/>
      <c r="B838" s="13"/>
    </row>
    <row r="839" spans="1:2" x14ac:dyDescent="0.25">
      <c r="A839" s="13"/>
      <c r="B839" s="13"/>
    </row>
    <row r="840" spans="1:2" x14ac:dyDescent="0.25">
      <c r="A840" s="13"/>
      <c r="B840" s="13"/>
    </row>
    <row r="841" spans="1:2" x14ac:dyDescent="0.25">
      <c r="A841" s="13"/>
      <c r="B841" s="13"/>
    </row>
    <row r="842" spans="1:2" x14ac:dyDescent="0.25">
      <c r="A842" s="13"/>
      <c r="B842" s="13"/>
    </row>
    <row r="843" spans="1:2" x14ac:dyDescent="0.25">
      <c r="A843" s="13"/>
      <c r="B843" s="13"/>
    </row>
    <row r="844" spans="1:2" x14ac:dyDescent="0.25">
      <c r="A844" s="13"/>
      <c r="B844" s="13"/>
    </row>
    <row r="845" spans="1:2" x14ac:dyDescent="0.25">
      <c r="A845" s="13"/>
      <c r="B845" s="13"/>
    </row>
    <row r="846" spans="1:2" x14ac:dyDescent="0.25">
      <c r="A846" s="13"/>
      <c r="B846" s="13"/>
    </row>
    <row r="847" spans="1:2" x14ac:dyDescent="0.25">
      <c r="A847" s="13"/>
      <c r="B847" s="13"/>
    </row>
    <row r="848" spans="1:2" x14ac:dyDescent="0.25">
      <c r="A848" s="13"/>
      <c r="B848" s="13"/>
    </row>
    <row r="849" spans="1:2" x14ac:dyDescent="0.25">
      <c r="A849" s="13"/>
      <c r="B849" s="13"/>
    </row>
    <row r="850" spans="1:2" x14ac:dyDescent="0.25">
      <c r="A850" s="13"/>
      <c r="B850" s="13"/>
    </row>
    <row r="851" spans="1:2" x14ac:dyDescent="0.25">
      <c r="A851" s="13"/>
      <c r="B851" s="13"/>
    </row>
    <row r="852" spans="1:2" x14ac:dyDescent="0.25">
      <c r="A852" s="13"/>
      <c r="B852" s="13"/>
    </row>
    <row r="853" spans="1:2" x14ac:dyDescent="0.25">
      <c r="A853" s="13"/>
      <c r="B853" s="13"/>
    </row>
    <row r="854" spans="1:2" x14ac:dyDescent="0.25">
      <c r="A854" s="13"/>
      <c r="B854" s="13"/>
    </row>
    <row r="855" spans="1:2" x14ac:dyDescent="0.25">
      <c r="A855" s="13"/>
      <c r="B855" s="13"/>
    </row>
    <row r="856" spans="1:2" x14ac:dyDescent="0.25">
      <c r="A856" s="13"/>
      <c r="B856" s="13"/>
    </row>
    <row r="857" spans="1:2" x14ac:dyDescent="0.25">
      <c r="A857" s="13"/>
      <c r="B857" s="13"/>
    </row>
    <row r="858" spans="1:2" x14ac:dyDescent="0.25">
      <c r="A858" s="13"/>
      <c r="B858" s="13"/>
    </row>
    <row r="859" spans="1:2" x14ac:dyDescent="0.25">
      <c r="A859" s="13"/>
      <c r="B859" s="13"/>
    </row>
    <row r="860" spans="1:2" x14ac:dyDescent="0.25">
      <c r="A860" s="13"/>
      <c r="B860" s="13"/>
    </row>
    <row r="861" spans="1:2" x14ac:dyDescent="0.25">
      <c r="A861" s="13"/>
      <c r="B861" s="13"/>
    </row>
    <row r="862" spans="1:2" x14ac:dyDescent="0.25">
      <c r="A862" s="13"/>
      <c r="B862" s="13"/>
    </row>
    <row r="863" spans="1:2" x14ac:dyDescent="0.25">
      <c r="A863" s="13"/>
      <c r="B863" s="13"/>
    </row>
    <row r="864" spans="1:2" x14ac:dyDescent="0.25">
      <c r="A864" s="13"/>
      <c r="B864" s="13"/>
    </row>
    <row r="865" spans="1:2" x14ac:dyDescent="0.25">
      <c r="A865" s="13"/>
      <c r="B865" s="13"/>
    </row>
    <row r="866" spans="1:2" x14ac:dyDescent="0.25">
      <c r="A866" s="13"/>
      <c r="B866" s="13"/>
    </row>
    <row r="867" spans="1:2" x14ac:dyDescent="0.25">
      <c r="A867" s="13"/>
      <c r="B867" s="13"/>
    </row>
    <row r="868" spans="1:2" x14ac:dyDescent="0.25">
      <c r="A868" s="13"/>
      <c r="B868" s="13"/>
    </row>
    <row r="869" spans="1:2" x14ac:dyDescent="0.25">
      <c r="A869" s="13"/>
      <c r="B869" s="13"/>
    </row>
    <row r="870" spans="1:2" x14ac:dyDescent="0.25">
      <c r="A870" s="13"/>
      <c r="B870" s="13"/>
    </row>
    <row r="871" spans="1:2" x14ac:dyDescent="0.25">
      <c r="A871" s="13"/>
      <c r="B871" s="13"/>
    </row>
    <row r="872" spans="1:2" x14ac:dyDescent="0.25">
      <c r="A872" s="13"/>
      <c r="B872" s="13"/>
    </row>
    <row r="873" spans="1:2" x14ac:dyDescent="0.25">
      <c r="A873" s="13"/>
      <c r="B873" s="13"/>
    </row>
    <row r="874" spans="1:2" x14ac:dyDescent="0.25">
      <c r="A874" s="13"/>
      <c r="B874" s="13"/>
    </row>
    <row r="875" spans="1:2" x14ac:dyDescent="0.25">
      <c r="A875" s="13"/>
      <c r="B875" s="13"/>
    </row>
    <row r="876" spans="1:2" x14ac:dyDescent="0.25">
      <c r="A876" s="13"/>
      <c r="B876" s="13"/>
    </row>
    <row r="877" spans="1:2" x14ac:dyDescent="0.25">
      <c r="A877" s="13"/>
      <c r="B877" s="13"/>
    </row>
    <row r="878" spans="1:2" x14ac:dyDescent="0.25">
      <c r="A878" s="13"/>
      <c r="B878" s="13"/>
    </row>
    <row r="879" spans="1:2" x14ac:dyDescent="0.25">
      <c r="A879" s="13"/>
      <c r="B879" s="13"/>
    </row>
    <row r="880" spans="1:2" x14ac:dyDescent="0.25">
      <c r="A880" s="13"/>
      <c r="B880" s="13"/>
    </row>
    <row r="881" spans="1:2" x14ac:dyDescent="0.25">
      <c r="A881" s="13"/>
      <c r="B881" s="13"/>
    </row>
    <row r="882" spans="1:2" x14ac:dyDescent="0.25">
      <c r="A882" s="13"/>
      <c r="B882" s="13"/>
    </row>
    <row r="883" spans="1:2" x14ac:dyDescent="0.25">
      <c r="A883" s="13"/>
      <c r="B883" s="13"/>
    </row>
    <row r="884" spans="1:2" x14ac:dyDescent="0.25">
      <c r="A884" s="13"/>
      <c r="B884" s="13"/>
    </row>
    <row r="885" spans="1:2" x14ac:dyDescent="0.25">
      <c r="A885" s="13"/>
      <c r="B885" s="13"/>
    </row>
    <row r="886" spans="1:2" x14ac:dyDescent="0.25">
      <c r="A886" s="13"/>
      <c r="B886" s="13"/>
    </row>
    <row r="887" spans="1:2" x14ac:dyDescent="0.25">
      <c r="A887" s="13"/>
      <c r="B887" s="13"/>
    </row>
    <row r="888" spans="1:2" x14ac:dyDescent="0.25">
      <c r="A888" s="13"/>
      <c r="B888" s="13"/>
    </row>
    <row r="889" spans="1:2" x14ac:dyDescent="0.25">
      <c r="A889" s="13"/>
      <c r="B889" s="13"/>
    </row>
    <row r="890" spans="1:2" x14ac:dyDescent="0.25">
      <c r="A890" s="13"/>
      <c r="B890" s="13"/>
    </row>
    <row r="891" spans="1:2" x14ac:dyDescent="0.25">
      <c r="A891" s="13"/>
      <c r="B891" s="13"/>
    </row>
    <row r="892" spans="1:2" x14ac:dyDescent="0.25">
      <c r="A892" s="13"/>
      <c r="B892" s="13"/>
    </row>
    <row r="893" spans="1:2" x14ac:dyDescent="0.25">
      <c r="A893" s="13"/>
      <c r="B893" s="13"/>
    </row>
    <row r="894" spans="1:2" x14ac:dyDescent="0.25">
      <c r="A894" s="13"/>
      <c r="B894" s="13"/>
    </row>
    <row r="895" spans="1:2" x14ac:dyDescent="0.25">
      <c r="A895" s="13"/>
      <c r="B895" s="13"/>
    </row>
    <row r="896" spans="1:2" x14ac:dyDescent="0.25">
      <c r="A896" s="13"/>
      <c r="B896" s="13"/>
    </row>
    <row r="897" spans="1:2" x14ac:dyDescent="0.25">
      <c r="A897" s="13"/>
      <c r="B897" s="13"/>
    </row>
    <row r="898" spans="1:2" x14ac:dyDescent="0.25">
      <c r="A898" s="13"/>
      <c r="B898" s="13"/>
    </row>
    <row r="899" spans="1:2" x14ac:dyDescent="0.25">
      <c r="A899" s="13"/>
      <c r="B899" s="13"/>
    </row>
    <row r="900" spans="1:2" x14ac:dyDescent="0.25">
      <c r="A900" s="13"/>
      <c r="B900" s="13"/>
    </row>
    <row r="901" spans="1:2" x14ac:dyDescent="0.25">
      <c r="A901" s="13"/>
      <c r="B901" s="13"/>
    </row>
    <row r="902" spans="1:2" x14ac:dyDescent="0.25">
      <c r="A902" s="13"/>
      <c r="B902" s="13"/>
    </row>
    <row r="903" spans="1:2" x14ac:dyDescent="0.25">
      <c r="A903" s="13"/>
      <c r="B903" s="13"/>
    </row>
    <row r="904" spans="1:2" x14ac:dyDescent="0.25">
      <c r="A904" s="13"/>
      <c r="B904" s="13"/>
    </row>
    <row r="905" spans="1:2" x14ac:dyDescent="0.25">
      <c r="A905" s="13"/>
      <c r="B905" s="13"/>
    </row>
    <row r="906" spans="1:2" x14ac:dyDescent="0.25">
      <c r="A906" s="13"/>
      <c r="B906" s="13"/>
    </row>
    <row r="907" spans="1:2" x14ac:dyDescent="0.25">
      <c r="A907" s="13"/>
      <c r="B907" s="13"/>
    </row>
    <row r="908" spans="1:2" x14ac:dyDescent="0.25">
      <c r="A908" s="13"/>
      <c r="B908" s="13"/>
    </row>
    <row r="909" spans="1:2" x14ac:dyDescent="0.25">
      <c r="A909" s="13"/>
      <c r="B909" s="13"/>
    </row>
    <row r="910" spans="1:2" x14ac:dyDescent="0.25">
      <c r="A910" s="13"/>
      <c r="B910" s="13"/>
    </row>
    <row r="911" spans="1:2" x14ac:dyDescent="0.25">
      <c r="A911" s="13"/>
      <c r="B911" s="13"/>
    </row>
    <row r="912" spans="1:2" x14ac:dyDescent="0.25">
      <c r="A912" s="13"/>
      <c r="B912" s="13"/>
    </row>
    <row r="913" spans="1:2" x14ac:dyDescent="0.25">
      <c r="A913" s="13"/>
      <c r="B913" s="13"/>
    </row>
    <row r="914" spans="1:2" x14ac:dyDescent="0.25">
      <c r="A914" s="13"/>
      <c r="B914" s="13"/>
    </row>
    <row r="915" spans="1:2" x14ac:dyDescent="0.25">
      <c r="A915" s="13"/>
      <c r="B915" s="13"/>
    </row>
    <row r="916" spans="1:2" x14ac:dyDescent="0.25">
      <c r="A916" s="13"/>
      <c r="B916" s="13"/>
    </row>
    <row r="917" spans="1:2" x14ac:dyDescent="0.25">
      <c r="A917" s="13"/>
      <c r="B917" s="13"/>
    </row>
    <row r="918" spans="1:2" x14ac:dyDescent="0.25">
      <c r="A918" s="13"/>
      <c r="B918" s="13"/>
    </row>
    <row r="919" spans="1:2" x14ac:dyDescent="0.25">
      <c r="A919" s="13"/>
      <c r="B919" s="13"/>
    </row>
    <row r="920" spans="1:2" x14ac:dyDescent="0.25">
      <c r="A920" s="13"/>
      <c r="B920" s="13"/>
    </row>
    <row r="921" spans="1:2" x14ac:dyDescent="0.25">
      <c r="A921" s="13"/>
      <c r="B921" s="13"/>
    </row>
    <row r="922" spans="1:2" x14ac:dyDescent="0.25">
      <c r="A922" s="13"/>
      <c r="B922" s="13"/>
    </row>
    <row r="923" spans="1:2" x14ac:dyDescent="0.25">
      <c r="A923" s="13"/>
      <c r="B923" s="13"/>
    </row>
    <row r="924" spans="1:2" x14ac:dyDescent="0.25">
      <c r="A924" s="13"/>
      <c r="B924" s="13"/>
    </row>
    <row r="925" spans="1:2" x14ac:dyDescent="0.25">
      <c r="A925" s="13"/>
      <c r="B925" s="13"/>
    </row>
    <row r="926" spans="1:2" x14ac:dyDescent="0.25">
      <c r="A926" s="13"/>
      <c r="B926" s="13"/>
    </row>
    <row r="927" spans="1:2" x14ac:dyDescent="0.25">
      <c r="A927" s="13"/>
      <c r="B927" s="13"/>
    </row>
    <row r="928" spans="1:2" x14ac:dyDescent="0.25">
      <c r="A928" s="13"/>
      <c r="B928" s="13"/>
    </row>
    <row r="929" spans="1:2" x14ac:dyDescent="0.25">
      <c r="A929" s="13"/>
      <c r="B929" s="13"/>
    </row>
    <row r="930" spans="1:2" x14ac:dyDescent="0.25">
      <c r="A930" s="13"/>
      <c r="B930" s="13"/>
    </row>
    <row r="931" spans="1:2" x14ac:dyDescent="0.25">
      <c r="A931" s="13"/>
      <c r="B931" s="13"/>
    </row>
    <row r="932" spans="1:2" x14ac:dyDescent="0.25">
      <c r="A932" s="13"/>
      <c r="B932" s="13"/>
    </row>
    <row r="933" spans="1:2" x14ac:dyDescent="0.25">
      <c r="A933" s="13"/>
      <c r="B933" s="13"/>
    </row>
    <row r="934" spans="1:2" x14ac:dyDescent="0.25">
      <c r="A934" s="13"/>
      <c r="B934" s="13"/>
    </row>
    <row r="935" spans="1:2" x14ac:dyDescent="0.25">
      <c r="A935" s="13"/>
      <c r="B935" s="13"/>
    </row>
    <row r="936" spans="1:2" x14ac:dyDescent="0.25">
      <c r="A936" s="13"/>
      <c r="B936" s="13"/>
    </row>
    <row r="937" spans="1:2" x14ac:dyDescent="0.25">
      <c r="A937" s="13"/>
      <c r="B937" s="13"/>
    </row>
    <row r="938" spans="1:2" x14ac:dyDescent="0.25">
      <c r="A938" s="13"/>
      <c r="B938" s="13"/>
    </row>
    <row r="939" spans="1:2" x14ac:dyDescent="0.25">
      <c r="A939" s="13"/>
      <c r="B939" s="13"/>
    </row>
    <row r="940" spans="1:2" x14ac:dyDescent="0.25">
      <c r="A940" s="13"/>
      <c r="B940" s="13"/>
    </row>
    <row r="941" spans="1:2" x14ac:dyDescent="0.25">
      <c r="A941" s="13"/>
      <c r="B941" s="13"/>
    </row>
    <row r="942" spans="1:2" x14ac:dyDescent="0.25">
      <c r="A942" s="13"/>
      <c r="B942" s="13"/>
    </row>
    <row r="943" spans="1:2" x14ac:dyDescent="0.25">
      <c r="A943" s="13"/>
      <c r="B943" s="13"/>
    </row>
    <row r="944" spans="1:2" x14ac:dyDescent="0.25">
      <c r="A944" s="13"/>
      <c r="B944" s="13"/>
    </row>
    <row r="945" spans="1:2" x14ac:dyDescent="0.25">
      <c r="A945" s="13"/>
      <c r="B945" s="13"/>
    </row>
    <row r="946" spans="1:2" x14ac:dyDescent="0.25">
      <c r="A946" s="13"/>
      <c r="B946" s="13"/>
    </row>
    <row r="947" spans="1:2" x14ac:dyDescent="0.25">
      <c r="A947" s="13"/>
      <c r="B947" s="13"/>
    </row>
    <row r="948" spans="1:2" x14ac:dyDescent="0.25">
      <c r="A948" s="13"/>
      <c r="B948" s="13"/>
    </row>
    <row r="949" spans="1:2" x14ac:dyDescent="0.25">
      <c r="A949" s="13"/>
      <c r="B949" s="13"/>
    </row>
    <row r="950" spans="1:2" x14ac:dyDescent="0.25">
      <c r="A950" s="13"/>
      <c r="B950" s="13"/>
    </row>
    <row r="951" spans="1:2" x14ac:dyDescent="0.25">
      <c r="A951" s="13"/>
      <c r="B951" s="13"/>
    </row>
    <row r="952" spans="1:2" x14ac:dyDescent="0.25">
      <c r="A952" s="13"/>
      <c r="B952" s="13"/>
    </row>
    <row r="953" spans="1:2" x14ac:dyDescent="0.25">
      <c r="A953" s="13"/>
      <c r="B953" s="13"/>
    </row>
    <row r="954" spans="1:2" x14ac:dyDescent="0.25">
      <c r="A954" s="13"/>
      <c r="B954" s="13"/>
    </row>
    <row r="955" spans="1:2" x14ac:dyDescent="0.25">
      <c r="A955" s="13"/>
      <c r="B955" s="13"/>
    </row>
    <row r="956" spans="1:2" x14ac:dyDescent="0.25">
      <c r="A956" s="13"/>
      <c r="B956" s="13"/>
    </row>
    <row r="957" spans="1:2" x14ac:dyDescent="0.25">
      <c r="A957" s="13"/>
      <c r="B957" s="13"/>
    </row>
    <row r="958" spans="1:2" x14ac:dyDescent="0.25">
      <c r="A958" s="13"/>
      <c r="B958" s="13"/>
    </row>
    <row r="959" spans="1:2" x14ac:dyDescent="0.25">
      <c r="A959" s="13"/>
      <c r="B959" s="13"/>
    </row>
    <row r="960" spans="1:2" x14ac:dyDescent="0.25">
      <c r="A960" s="13"/>
      <c r="B960" s="13"/>
    </row>
    <row r="961" spans="1:2" x14ac:dyDescent="0.25">
      <c r="A961" s="13"/>
      <c r="B961" s="13"/>
    </row>
    <row r="962" spans="1:2" x14ac:dyDescent="0.25">
      <c r="A962" s="13"/>
      <c r="B962" s="13"/>
    </row>
    <row r="963" spans="1:2" x14ac:dyDescent="0.25">
      <c r="A963" s="13"/>
      <c r="B963" s="13"/>
    </row>
    <row r="964" spans="1:2" x14ac:dyDescent="0.25">
      <c r="A964" s="13"/>
      <c r="B964" s="13"/>
    </row>
    <row r="965" spans="1:2" x14ac:dyDescent="0.25">
      <c r="A965" s="13"/>
      <c r="B965" s="13"/>
    </row>
    <row r="966" spans="1:2" x14ac:dyDescent="0.25">
      <c r="A966" s="13"/>
      <c r="B966" s="13"/>
    </row>
    <row r="967" spans="1:2" x14ac:dyDescent="0.25">
      <c r="A967" s="13"/>
      <c r="B967" s="13"/>
    </row>
    <row r="968" spans="1:2" x14ac:dyDescent="0.25">
      <c r="A968" s="13"/>
      <c r="B968" s="13"/>
    </row>
    <row r="969" spans="1:2" x14ac:dyDescent="0.25">
      <c r="A969" s="13"/>
      <c r="B969" s="13"/>
    </row>
    <row r="970" spans="1:2" x14ac:dyDescent="0.25">
      <c r="A970" s="13"/>
      <c r="B970" s="13"/>
    </row>
    <row r="971" spans="1:2" x14ac:dyDescent="0.25">
      <c r="A971" s="13"/>
      <c r="B971" s="13"/>
    </row>
    <row r="972" spans="1:2" x14ac:dyDescent="0.25">
      <c r="A972" s="13"/>
      <c r="B972" s="13"/>
    </row>
    <row r="973" spans="1:2" x14ac:dyDescent="0.25">
      <c r="A973" s="13"/>
      <c r="B973" s="13"/>
    </row>
    <row r="974" spans="1:2" x14ac:dyDescent="0.25">
      <c r="A974" s="13"/>
      <c r="B974" s="13"/>
    </row>
    <row r="975" spans="1:2" x14ac:dyDescent="0.25">
      <c r="A975" s="13"/>
      <c r="B975" s="13"/>
    </row>
    <row r="976" spans="1:2" x14ac:dyDescent="0.25">
      <c r="A976" s="13"/>
      <c r="B976" s="13"/>
    </row>
    <row r="977" spans="1:2" x14ac:dyDescent="0.25">
      <c r="A977" s="13"/>
      <c r="B977" s="13"/>
    </row>
    <row r="978" spans="1:2" x14ac:dyDescent="0.25">
      <c r="A978" s="13"/>
      <c r="B978" s="13"/>
    </row>
    <row r="979" spans="1:2" x14ac:dyDescent="0.25">
      <c r="A979" s="13"/>
      <c r="B979" s="13"/>
    </row>
    <row r="980" spans="1:2" x14ac:dyDescent="0.25">
      <c r="A980" s="13"/>
      <c r="B980" s="13"/>
    </row>
    <row r="981" spans="1:2" x14ac:dyDescent="0.25">
      <c r="A981" s="13"/>
      <c r="B981" s="13"/>
    </row>
    <row r="982" spans="1:2" x14ac:dyDescent="0.25">
      <c r="A982" s="13"/>
      <c r="B982" s="13"/>
    </row>
    <row r="983" spans="1:2" x14ac:dyDescent="0.25">
      <c r="A983" s="13"/>
      <c r="B983" s="13"/>
    </row>
    <row r="984" spans="1:2" x14ac:dyDescent="0.25">
      <c r="A984" s="13"/>
      <c r="B984" s="13"/>
    </row>
    <row r="985" spans="1:2" x14ac:dyDescent="0.25">
      <c r="A985" s="13"/>
      <c r="B985" s="13"/>
    </row>
    <row r="986" spans="1:2" x14ac:dyDescent="0.25">
      <c r="A986" s="13"/>
      <c r="B986" s="13"/>
    </row>
    <row r="987" spans="1:2" x14ac:dyDescent="0.25">
      <c r="A987" s="13"/>
      <c r="B987" s="13"/>
    </row>
    <row r="988" spans="1:2" x14ac:dyDescent="0.25">
      <c r="A988" s="13"/>
      <c r="B988" s="13"/>
    </row>
    <row r="989" spans="1:2" x14ac:dyDescent="0.25">
      <c r="A989" s="13"/>
      <c r="B989" s="13"/>
    </row>
    <row r="990" spans="1:2" x14ac:dyDescent="0.25">
      <c r="A990" s="13"/>
      <c r="B990" s="13"/>
    </row>
    <row r="991" spans="1:2" x14ac:dyDescent="0.25">
      <c r="A991" s="13"/>
      <c r="B991" s="13"/>
    </row>
    <row r="992" spans="1:2" x14ac:dyDescent="0.25">
      <c r="A992" s="13"/>
      <c r="B992" s="13"/>
    </row>
    <row r="993" spans="1:2" x14ac:dyDescent="0.25">
      <c r="A993" s="13"/>
      <c r="B993" s="13"/>
    </row>
    <row r="994" spans="1:2" x14ac:dyDescent="0.25">
      <c r="A994" s="13"/>
      <c r="B994" s="13"/>
    </row>
    <row r="995" spans="1:2" x14ac:dyDescent="0.25">
      <c r="A995" s="13"/>
      <c r="B995" s="13"/>
    </row>
    <row r="996" spans="1:2" x14ac:dyDescent="0.25">
      <c r="A996" s="13"/>
      <c r="B996" s="13"/>
    </row>
    <row r="997" spans="1:2" x14ac:dyDescent="0.25">
      <c r="A997" s="13"/>
      <c r="B997" s="13"/>
    </row>
    <row r="998" spans="1:2" x14ac:dyDescent="0.25">
      <c r="A998" s="13"/>
      <c r="B998" s="13"/>
    </row>
    <row r="999" spans="1:2" x14ac:dyDescent="0.25">
      <c r="A999" s="13"/>
      <c r="B999" s="13"/>
    </row>
    <row r="1000" spans="1:2" x14ac:dyDescent="0.25">
      <c r="A1000" s="13"/>
      <c r="B1000" s="13"/>
    </row>
  </sheetData>
  <mergeCells count="8">
    <mergeCell ref="A19:B19"/>
    <mergeCell ref="A17:B17"/>
    <mergeCell ref="A5:B5"/>
    <mergeCell ref="A7:B7"/>
    <mergeCell ref="A9:B9"/>
    <mergeCell ref="A11:B11"/>
    <mergeCell ref="A13:B13"/>
    <mergeCell ref="A15:B15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94ED0-5EA3-4F38-879E-EB1D55030B03}">
  <sheetPr codeName="Sheet7">
    <tabColor theme="8"/>
  </sheetPr>
  <dimension ref="A1:BZ1000"/>
  <sheetViews>
    <sheetView showGridLines="0" showRowColHeaders="0" workbookViewId="0">
      <selection activeCell="D9" sqref="D9"/>
    </sheetView>
  </sheetViews>
  <sheetFormatPr defaultRowHeight="15" x14ac:dyDescent="0.25"/>
  <cols>
    <col min="1" max="1" width="5" customWidth="1"/>
    <col min="2" max="2" width="13.28515625" customWidth="1"/>
    <col min="3" max="3" width="4.28515625" customWidth="1"/>
    <col min="4" max="4" width="40.140625" bestFit="1" customWidth="1"/>
    <col min="5" max="5" width="30" bestFit="1" customWidth="1"/>
    <col min="6" max="6" width="32.140625" bestFit="1" customWidth="1"/>
    <col min="7" max="7" width="22.42578125" bestFit="1" customWidth="1"/>
    <col min="8" max="8" width="8.7109375" bestFit="1" customWidth="1"/>
    <col min="9" max="9" width="6.7109375" bestFit="1" customWidth="1"/>
    <col min="10" max="10" width="7.28515625" bestFit="1" customWidth="1"/>
    <col min="11" max="11" width="8.85546875" bestFit="1" customWidth="1"/>
    <col min="12" max="12" width="10.140625" bestFit="1" customWidth="1"/>
  </cols>
  <sheetData>
    <row r="1" spans="1:78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</row>
    <row r="2" spans="1:78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</row>
    <row r="3" spans="1:78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</row>
    <row r="4" spans="1:78" x14ac:dyDescent="0.25">
      <c r="A4" s="13"/>
      <c r="B4" s="13"/>
    </row>
    <row r="5" spans="1:78" x14ac:dyDescent="0.25">
      <c r="A5" s="71" t="str">
        <f>HYPERLINK("#'Controls'!d4", "Controls")</f>
        <v>Controls</v>
      </c>
      <c r="B5" s="71"/>
      <c r="D5" s="21" t="str" cm="1">
        <f t="array" ref="D5:L5">IFERROR(_xlfn.LET(_xlpm.Item_Key, _xlfn.UNIQUE(_xlfn._xlws.FILTER(Image_Data[Item Key], ISNA(_xlfn.XMATCH(Image_Data[Item Key], Line_List[Item Key], 0)))),
_xlfn.VSTACK({"Item Key","Description","Description 2","Colours","Size Unit","UOM","Season","Category","Group"},
_xlfn.HSTACK(_xlpm.Item_Key,
_xlfn.XLOOKUP(_xlpm.Item_Key, Item_Data[Vendor Reference] &amp; "_" &amp; SUBSTITUTE(Item_Data[Colours],"/", "~"), Item_Data[Description], ""),
_xlfn.XLOOKUP(_xlpm.Item_Key, Item_Data[Vendor Reference] &amp; "_" &amp; SUBSTITUTE(Item_Data[Colours],"/", "~"), Item_Data[Description 2], ""),
_xlfn.XLOOKUP(_xlpm.Item_Key, Item_Data[Vendor Reference] &amp; "_" &amp; SUBSTITUTE(Item_Data[Colours],"/", "~"), Item_Data[Colours], ""),
_xlfn.XLOOKUP(_xlpm.Item_Key, Item_Data[Vendor Reference] &amp; "_" &amp; SUBSTITUTE(Item_Data[Colours],"/", "~"), Item_Data[Size 1 Unit], ""),
_xlfn.XLOOKUP(_xlpm.Item_Key, Item_Data[Vendor Reference] &amp; "_" &amp; SUBSTITUTE(Item_Data[Colours],"/", "~"), Item_Data[UOM], ""),
_xlfn.XLOOKUP(_xlpm.Item_Key, Item_Data[Vendor Reference] &amp; "_" &amp; SUBSTITUTE(Item_Data[Colours],"/", "~"), Item_Data[Season], ""),
_xlfn.XLOOKUP(_xlpm.Item_Key, Item_Data[Vendor Reference] &amp; "_" &amp; SUBSTITUTE(Item_Data[Colours],"/", "~"), Item_Data[Category], ""),
_xlfn.XLOOKUP(_xlpm.Item_Key, Item_Data[Vendor Reference] &amp; "_" &amp; SUBSTITUTE(Item_Data[Colours],"/", "~"), Item_Data[Group], "")))),
{"Item Key","Description","Description 2","Colours","Size Unit","UOM","Season","Category","Group"})</f>
        <v>Item Key</v>
      </c>
      <c r="E5" s="22" t="str">
        <v>Description</v>
      </c>
      <c r="F5" s="22" t="str">
        <v>Description 2</v>
      </c>
      <c r="G5" s="22" t="str">
        <v>Colours</v>
      </c>
      <c r="H5" s="22" t="str">
        <v>Size Unit</v>
      </c>
      <c r="I5" s="22" t="str">
        <v>UOM</v>
      </c>
      <c r="J5" s="22" t="str">
        <v>Season</v>
      </c>
      <c r="K5" s="22" t="str">
        <v>Category</v>
      </c>
      <c r="L5" s="23" t="str">
        <v>Group</v>
      </c>
    </row>
    <row r="6" spans="1:78" x14ac:dyDescent="0.25">
      <c r="A6" s="33"/>
      <c r="B6" s="34"/>
    </row>
    <row r="7" spans="1:78" x14ac:dyDescent="0.25">
      <c r="A7" s="71" t="str">
        <f>HYPERLINK("#'Line List'!d4", "Line List")</f>
        <v>Line List</v>
      </c>
      <c r="B7" s="71"/>
    </row>
    <row r="8" spans="1:78" x14ac:dyDescent="0.25">
      <c r="A8" s="33"/>
      <c r="B8" s="34"/>
    </row>
    <row r="9" spans="1:78" x14ac:dyDescent="0.25">
      <c r="A9" s="71" t="str">
        <f>HYPERLINK("#'Image Data'!D4", "Img Data")</f>
        <v>Img Data</v>
      </c>
      <c r="B9" s="71"/>
    </row>
    <row r="10" spans="1:78" x14ac:dyDescent="0.25">
      <c r="A10" s="33"/>
      <c r="B10" s="34"/>
    </row>
    <row r="11" spans="1:78" x14ac:dyDescent="0.25">
      <c r="A11" s="71" t="str">
        <f>HYPERLINK("#'Image Syle Not in Line List'!D4", "Img Style!=")</f>
        <v>Img Style!=</v>
      </c>
      <c r="B11" s="71"/>
    </row>
    <row r="12" spans="1:78" x14ac:dyDescent="0.25">
      <c r="A12" s="33"/>
      <c r="B12" s="34"/>
    </row>
    <row r="13" spans="1:78" x14ac:dyDescent="0.25">
      <c r="A13" s="71" t="str">
        <f>HYPERLINK("#'Images Not in Line List'!D4", "Img != List")</f>
        <v>Img != List</v>
      </c>
      <c r="B13" s="71"/>
    </row>
    <row r="14" spans="1:78" x14ac:dyDescent="0.25">
      <c r="A14" s="33"/>
      <c r="B14" s="34"/>
    </row>
    <row r="15" spans="1:78" x14ac:dyDescent="0.25">
      <c r="A15" s="71" t="str">
        <f>HYPERLINK("#'Line List Not in Images'!D4", "List != Img")</f>
        <v>List != Img</v>
      </c>
      <c r="B15" s="71"/>
    </row>
    <row r="16" spans="1:78" x14ac:dyDescent="0.25">
      <c r="A16" s="33"/>
      <c r="B16" s="34"/>
    </row>
    <row r="17" spans="1:2" x14ac:dyDescent="0.25">
      <c r="A17" s="71" t="str">
        <f>HYPERLINK("#'Renaming Data'!D4", "Renaming")</f>
        <v>Renaming</v>
      </c>
      <c r="B17" s="71"/>
    </row>
    <row r="18" spans="1:2" x14ac:dyDescent="0.25">
      <c r="A18" s="13"/>
      <c r="B18" s="13"/>
    </row>
    <row r="19" spans="1:2" x14ac:dyDescent="0.25">
      <c r="A19" s="71" t="str">
        <f>HYPERLINK("#'Execution Log'!D4", "Exec Log")</f>
        <v>Exec Log</v>
      </c>
      <c r="B19" s="71"/>
    </row>
    <row r="20" spans="1:2" x14ac:dyDescent="0.25">
      <c r="A20" s="13"/>
      <c r="B20" s="13"/>
    </row>
    <row r="21" spans="1:2" x14ac:dyDescent="0.25">
      <c r="A21" s="13"/>
      <c r="B21" s="13"/>
    </row>
    <row r="22" spans="1:2" x14ac:dyDescent="0.25">
      <c r="A22" s="13"/>
      <c r="B22" s="13"/>
    </row>
    <row r="23" spans="1:2" x14ac:dyDescent="0.25">
      <c r="A23" s="13"/>
      <c r="B23" s="13"/>
    </row>
    <row r="24" spans="1:2" x14ac:dyDescent="0.25">
      <c r="A24" s="13"/>
      <c r="B24" s="13"/>
    </row>
    <row r="25" spans="1:2" x14ac:dyDescent="0.25">
      <c r="A25" s="13"/>
      <c r="B25" s="13"/>
    </row>
    <row r="26" spans="1:2" x14ac:dyDescent="0.25">
      <c r="A26" s="13"/>
      <c r="B26" s="13"/>
    </row>
    <row r="27" spans="1:2" x14ac:dyDescent="0.25">
      <c r="A27" s="13"/>
      <c r="B27" s="13"/>
    </row>
    <row r="28" spans="1:2" x14ac:dyDescent="0.25">
      <c r="A28" s="13"/>
      <c r="B28" s="13"/>
    </row>
    <row r="29" spans="1:2" x14ac:dyDescent="0.25">
      <c r="A29" s="13"/>
      <c r="B29" s="13"/>
    </row>
    <row r="30" spans="1:2" x14ac:dyDescent="0.25">
      <c r="A30" s="13"/>
      <c r="B30" s="13"/>
    </row>
    <row r="31" spans="1:2" x14ac:dyDescent="0.25">
      <c r="A31" s="13"/>
      <c r="B31" s="13"/>
    </row>
    <row r="32" spans="1:2" x14ac:dyDescent="0.25">
      <c r="A32" s="13"/>
      <c r="B32" s="13"/>
    </row>
    <row r="33" spans="1:2" x14ac:dyDescent="0.25">
      <c r="A33" s="13"/>
      <c r="B33" s="13"/>
    </row>
    <row r="34" spans="1:2" x14ac:dyDescent="0.25">
      <c r="A34" s="13"/>
      <c r="B34" s="13"/>
    </row>
    <row r="35" spans="1:2" x14ac:dyDescent="0.25">
      <c r="A35" s="13"/>
      <c r="B35" s="13"/>
    </row>
    <row r="36" spans="1:2" x14ac:dyDescent="0.25">
      <c r="A36" s="13"/>
      <c r="B36" s="13"/>
    </row>
    <row r="37" spans="1:2" x14ac:dyDescent="0.25">
      <c r="A37" s="13"/>
      <c r="B37" s="13"/>
    </row>
    <row r="38" spans="1:2" x14ac:dyDescent="0.25">
      <c r="A38" s="13"/>
      <c r="B38" s="13"/>
    </row>
    <row r="39" spans="1:2" x14ac:dyDescent="0.25">
      <c r="A39" s="13"/>
      <c r="B39" s="13"/>
    </row>
    <row r="40" spans="1:2" x14ac:dyDescent="0.25">
      <c r="A40" s="13"/>
      <c r="B40" s="13"/>
    </row>
    <row r="41" spans="1:2" x14ac:dyDescent="0.25">
      <c r="A41" s="13"/>
      <c r="B41" s="13"/>
    </row>
    <row r="42" spans="1:2" x14ac:dyDescent="0.25">
      <c r="A42" s="13"/>
      <c r="B42" s="13"/>
    </row>
    <row r="43" spans="1:2" x14ac:dyDescent="0.25">
      <c r="A43" s="13"/>
      <c r="B43" s="13"/>
    </row>
    <row r="44" spans="1:2" x14ac:dyDescent="0.25">
      <c r="A44" s="13"/>
      <c r="B44" s="13"/>
    </row>
    <row r="45" spans="1:2" x14ac:dyDescent="0.25">
      <c r="A45" s="13"/>
      <c r="B45" s="13"/>
    </row>
    <row r="46" spans="1:2" x14ac:dyDescent="0.25">
      <c r="A46" s="13"/>
      <c r="B46" s="13"/>
    </row>
    <row r="47" spans="1:2" x14ac:dyDescent="0.25">
      <c r="A47" s="13"/>
      <c r="B47" s="13"/>
    </row>
    <row r="48" spans="1:2" x14ac:dyDescent="0.25">
      <c r="A48" s="13"/>
      <c r="B48" s="13"/>
    </row>
    <row r="49" spans="1:2" x14ac:dyDescent="0.25">
      <c r="A49" s="13"/>
      <c r="B49" s="13"/>
    </row>
    <row r="50" spans="1:2" x14ac:dyDescent="0.25">
      <c r="A50" s="13"/>
      <c r="B50" s="13"/>
    </row>
    <row r="51" spans="1:2" x14ac:dyDescent="0.25">
      <c r="A51" s="13"/>
      <c r="B51" s="13"/>
    </row>
    <row r="52" spans="1:2" x14ac:dyDescent="0.25">
      <c r="A52" s="13"/>
      <c r="B52" s="13"/>
    </row>
    <row r="53" spans="1:2" x14ac:dyDescent="0.25">
      <c r="A53" s="13"/>
      <c r="B53" s="13"/>
    </row>
    <row r="54" spans="1:2" x14ac:dyDescent="0.25">
      <c r="A54" s="13"/>
      <c r="B54" s="13"/>
    </row>
    <row r="55" spans="1:2" x14ac:dyDescent="0.25">
      <c r="A55" s="13"/>
      <c r="B55" s="13"/>
    </row>
    <row r="56" spans="1:2" x14ac:dyDescent="0.25">
      <c r="A56" s="13"/>
      <c r="B56" s="13"/>
    </row>
    <row r="57" spans="1:2" x14ac:dyDescent="0.25">
      <c r="A57" s="13"/>
      <c r="B57" s="13"/>
    </row>
    <row r="58" spans="1:2" x14ac:dyDescent="0.25">
      <c r="A58" s="13"/>
      <c r="B58" s="13"/>
    </row>
    <row r="59" spans="1:2" x14ac:dyDescent="0.25">
      <c r="A59" s="13"/>
      <c r="B59" s="13"/>
    </row>
    <row r="60" spans="1:2" x14ac:dyDescent="0.25">
      <c r="A60" s="13"/>
      <c r="B60" s="13"/>
    </row>
    <row r="61" spans="1:2" x14ac:dyDescent="0.25">
      <c r="A61" s="13"/>
      <c r="B61" s="13"/>
    </row>
    <row r="62" spans="1:2" x14ac:dyDescent="0.25">
      <c r="A62" s="13"/>
      <c r="B62" s="13"/>
    </row>
    <row r="63" spans="1:2" x14ac:dyDescent="0.25">
      <c r="A63" s="13"/>
      <c r="B63" s="13"/>
    </row>
    <row r="64" spans="1:2" x14ac:dyDescent="0.25">
      <c r="A64" s="13"/>
      <c r="B64" s="13"/>
    </row>
    <row r="65" spans="1:2" x14ac:dyDescent="0.25">
      <c r="A65" s="13"/>
      <c r="B65" s="13"/>
    </row>
    <row r="66" spans="1:2" x14ac:dyDescent="0.25">
      <c r="A66" s="13"/>
      <c r="B66" s="13"/>
    </row>
    <row r="67" spans="1:2" x14ac:dyDescent="0.25">
      <c r="A67" s="13"/>
      <c r="B67" s="13"/>
    </row>
    <row r="68" spans="1:2" x14ac:dyDescent="0.25">
      <c r="A68" s="13"/>
      <c r="B68" s="13"/>
    </row>
    <row r="69" spans="1:2" x14ac:dyDescent="0.25">
      <c r="A69" s="13"/>
      <c r="B69" s="13"/>
    </row>
    <row r="70" spans="1:2" x14ac:dyDescent="0.25">
      <c r="A70" s="13"/>
      <c r="B70" s="13"/>
    </row>
    <row r="71" spans="1:2" x14ac:dyDescent="0.25">
      <c r="A71" s="13"/>
      <c r="B71" s="13"/>
    </row>
    <row r="72" spans="1:2" x14ac:dyDescent="0.25">
      <c r="A72" s="13"/>
      <c r="B72" s="13"/>
    </row>
    <row r="73" spans="1:2" x14ac:dyDescent="0.25">
      <c r="A73" s="13"/>
      <c r="B73" s="13"/>
    </row>
    <row r="74" spans="1:2" x14ac:dyDescent="0.25">
      <c r="A74" s="13"/>
      <c r="B74" s="13"/>
    </row>
    <row r="75" spans="1:2" x14ac:dyDescent="0.25">
      <c r="A75" s="13"/>
      <c r="B75" s="13"/>
    </row>
    <row r="76" spans="1:2" x14ac:dyDescent="0.25">
      <c r="A76" s="13"/>
      <c r="B76" s="13"/>
    </row>
    <row r="77" spans="1:2" x14ac:dyDescent="0.25">
      <c r="A77" s="13"/>
      <c r="B77" s="13"/>
    </row>
    <row r="78" spans="1:2" x14ac:dyDescent="0.25">
      <c r="A78" s="13"/>
      <c r="B78" s="13"/>
    </row>
    <row r="79" spans="1:2" x14ac:dyDescent="0.25">
      <c r="A79" s="13"/>
      <c r="B79" s="13"/>
    </row>
    <row r="80" spans="1:2" x14ac:dyDescent="0.25">
      <c r="A80" s="13"/>
      <c r="B80" s="13"/>
    </row>
    <row r="81" spans="1:2" x14ac:dyDescent="0.25">
      <c r="A81" s="13"/>
      <c r="B81" s="13"/>
    </row>
    <row r="82" spans="1:2" x14ac:dyDescent="0.25">
      <c r="A82" s="13"/>
      <c r="B82" s="13"/>
    </row>
    <row r="83" spans="1:2" x14ac:dyDescent="0.25">
      <c r="A83" s="13"/>
      <c r="B83" s="13"/>
    </row>
    <row r="84" spans="1:2" x14ac:dyDescent="0.25">
      <c r="A84" s="13"/>
      <c r="B84" s="13"/>
    </row>
    <row r="85" spans="1:2" x14ac:dyDescent="0.25">
      <c r="A85" s="13"/>
      <c r="B85" s="13"/>
    </row>
    <row r="86" spans="1:2" x14ac:dyDescent="0.25">
      <c r="A86" s="13"/>
      <c r="B86" s="13"/>
    </row>
    <row r="87" spans="1:2" x14ac:dyDescent="0.25">
      <c r="A87" s="13"/>
      <c r="B87" s="13"/>
    </row>
    <row r="88" spans="1:2" x14ac:dyDescent="0.25">
      <c r="A88" s="13"/>
      <c r="B88" s="13"/>
    </row>
    <row r="89" spans="1:2" x14ac:dyDescent="0.25">
      <c r="A89" s="13"/>
      <c r="B89" s="13"/>
    </row>
    <row r="90" spans="1:2" x14ac:dyDescent="0.25">
      <c r="A90" s="13"/>
      <c r="B90" s="13"/>
    </row>
    <row r="91" spans="1:2" x14ac:dyDescent="0.25">
      <c r="A91" s="13"/>
      <c r="B91" s="13"/>
    </row>
    <row r="92" spans="1:2" x14ac:dyDescent="0.25">
      <c r="A92" s="13"/>
      <c r="B92" s="13"/>
    </row>
    <row r="93" spans="1:2" x14ac:dyDescent="0.25">
      <c r="A93" s="13"/>
      <c r="B93" s="13"/>
    </row>
    <row r="94" spans="1:2" x14ac:dyDescent="0.25">
      <c r="A94" s="13"/>
      <c r="B94" s="13"/>
    </row>
    <row r="95" spans="1:2" x14ac:dyDescent="0.25">
      <c r="A95" s="13"/>
      <c r="B95" s="13"/>
    </row>
    <row r="96" spans="1:2" x14ac:dyDescent="0.25">
      <c r="A96" s="13"/>
      <c r="B96" s="13"/>
    </row>
    <row r="97" spans="1:2" x14ac:dyDescent="0.25">
      <c r="A97" s="13"/>
      <c r="B97" s="13"/>
    </row>
    <row r="98" spans="1:2" x14ac:dyDescent="0.25">
      <c r="A98" s="13"/>
      <c r="B98" s="13"/>
    </row>
    <row r="99" spans="1:2" x14ac:dyDescent="0.25">
      <c r="A99" s="13"/>
      <c r="B99" s="13"/>
    </row>
    <row r="100" spans="1:2" x14ac:dyDescent="0.25">
      <c r="A100" s="13"/>
      <c r="B100" s="13"/>
    </row>
    <row r="101" spans="1:2" x14ac:dyDescent="0.25">
      <c r="A101" s="13"/>
      <c r="B101" s="13"/>
    </row>
    <row r="102" spans="1:2" x14ac:dyDescent="0.25">
      <c r="A102" s="13"/>
      <c r="B102" s="13"/>
    </row>
    <row r="103" spans="1:2" x14ac:dyDescent="0.25">
      <c r="A103" s="13"/>
      <c r="B103" s="13"/>
    </row>
    <row r="104" spans="1:2" x14ac:dyDescent="0.25">
      <c r="A104" s="13"/>
      <c r="B104" s="13"/>
    </row>
    <row r="105" spans="1:2" x14ac:dyDescent="0.25">
      <c r="A105" s="13"/>
      <c r="B105" s="13"/>
    </row>
    <row r="106" spans="1:2" x14ac:dyDescent="0.25">
      <c r="A106" s="13"/>
      <c r="B106" s="13"/>
    </row>
    <row r="107" spans="1:2" x14ac:dyDescent="0.25">
      <c r="A107" s="13"/>
      <c r="B107" s="13"/>
    </row>
    <row r="108" spans="1:2" x14ac:dyDescent="0.25">
      <c r="A108" s="13"/>
      <c r="B108" s="13"/>
    </row>
    <row r="109" spans="1:2" x14ac:dyDescent="0.25">
      <c r="A109" s="13"/>
      <c r="B109" s="13"/>
    </row>
    <row r="110" spans="1:2" x14ac:dyDescent="0.25">
      <c r="A110" s="13"/>
      <c r="B110" s="13"/>
    </row>
    <row r="111" spans="1:2" x14ac:dyDescent="0.25">
      <c r="A111" s="13"/>
      <c r="B111" s="13"/>
    </row>
    <row r="112" spans="1:2" x14ac:dyDescent="0.25">
      <c r="A112" s="13"/>
      <c r="B112" s="13"/>
    </row>
    <row r="113" spans="1:2" x14ac:dyDescent="0.25">
      <c r="A113" s="13"/>
      <c r="B113" s="13"/>
    </row>
    <row r="114" spans="1:2" x14ac:dyDescent="0.25">
      <c r="A114" s="13"/>
      <c r="B114" s="13"/>
    </row>
    <row r="115" spans="1:2" x14ac:dyDescent="0.25">
      <c r="A115" s="13"/>
      <c r="B115" s="13"/>
    </row>
    <row r="116" spans="1:2" x14ac:dyDescent="0.25">
      <c r="A116" s="13"/>
      <c r="B116" s="13"/>
    </row>
    <row r="117" spans="1:2" x14ac:dyDescent="0.25">
      <c r="A117" s="13"/>
      <c r="B117" s="13"/>
    </row>
    <row r="118" spans="1:2" x14ac:dyDescent="0.25">
      <c r="A118" s="13"/>
      <c r="B118" s="13"/>
    </row>
    <row r="119" spans="1:2" x14ac:dyDescent="0.25">
      <c r="A119" s="13"/>
      <c r="B119" s="13"/>
    </row>
    <row r="120" spans="1:2" x14ac:dyDescent="0.25">
      <c r="A120" s="13"/>
      <c r="B120" s="13"/>
    </row>
    <row r="121" spans="1:2" x14ac:dyDescent="0.25">
      <c r="A121" s="13"/>
      <c r="B121" s="13"/>
    </row>
    <row r="122" spans="1:2" x14ac:dyDescent="0.25">
      <c r="A122" s="13"/>
      <c r="B122" s="13"/>
    </row>
    <row r="123" spans="1:2" x14ac:dyDescent="0.25">
      <c r="A123" s="13"/>
      <c r="B123" s="13"/>
    </row>
    <row r="124" spans="1:2" x14ac:dyDescent="0.25">
      <c r="A124" s="13"/>
      <c r="B124" s="13"/>
    </row>
    <row r="125" spans="1:2" x14ac:dyDescent="0.25">
      <c r="A125" s="13"/>
      <c r="B125" s="13"/>
    </row>
    <row r="126" spans="1:2" x14ac:dyDescent="0.25">
      <c r="A126" s="13"/>
      <c r="B126" s="13"/>
    </row>
    <row r="127" spans="1:2" x14ac:dyDescent="0.25">
      <c r="A127" s="13"/>
      <c r="B127" s="13"/>
    </row>
    <row r="128" spans="1:2" x14ac:dyDescent="0.25">
      <c r="A128" s="13"/>
      <c r="B128" s="13"/>
    </row>
    <row r="129" spans="1:2" x14ac:dyDescent="0.25">
      <c r="A129" s="13"/>
      <c r="B129" s="13"/>
    </row>
    <row r="130" spans="1:2" x14ac:dyDescent="0.25">
      <c r="A130" s="13"/>
      <c r="B130" s="13"/>
    </row>
    <row r="131" spans="1:2" x14ac:dyDescent="0.25">
      <c r="A131" s="13"/>
      <c r="B131" s="13"/>
    </row>
    <row r="132" spans="1:2" x14ac:dyDescent="0.25">
      <c r="A132" s="13"/>
      <c r="B132" s="13"/>
    </row>
    <row r="133" spans="1:2" x14ac:dyDescent="0.25">
      <c r="A133" s="13"/>
      <c r="B133" s="13"/>
    </row>
    <row r="134" spans="1:2" x14ac:dyDescent="0.25">
      <c r="A134" s="13"/>
      <c r="B134" s="13"/>
    </row>
    <row r="135" spans="1:2" x14ac:dyDescent="0.25">
      <c r="A135" s="13"/>
      <c r="B135" s="13"/>
    </row>
    <row r="136" spans="1:2" x14ac:dyDescent="0.25">
      <c r="A136" s="13"/>
      <c r="B136" s="13"/>
    </row>
    <row r="137" spans="1:2" x14ac:dyDescent="0.25">
      <c r="A137" s="13"/>
      <c r="B137" s="13"/>
    </row>
    <row r="138" spans="1:2" x14ac:dyDescent="0.25">
      <c r="A138" s="13"/>
      <c r="B138" s="13"/>
    </row>
    <row r="139" spans="1:2" x14ac:dyDescent="0.25">
      <c r="A139" s="13"/>
      <c r="B139" s="13"/>
    </row>
    <row r="140" spans="1:2" x14ac:dyDescent="0.25">
      <c r="A140" s="13"/>
      <c r="B140" s="13"/>
    </row>
    <row r="141" spans="1:2" x14ac:dyDescent="0.25">
      <c r="A141" s="13"/>
      <c r="B141" s="13"/>
    </row>
    <row r="142" spans="1:2" x14ac:dyDescent="0.25">
      <c r="A142" s="13"/>
      <c r="B142" s="13"/>
    </row>
    <row r="143" spans="1:2" x14ac:dyDescent="0.25">
      <c r="A143" s="13"/>
      <c r="B143" s="13"/>
    </row>
    <row r="144" spans="1:2" x14ac:dyDescent="0.25">
      <c r="A144" s="13"/>
      <c r="B144" s="13"/>
    </row>
    <row r="145" spans="1:2" x14ac:dyDescent="0.25">
      <c r="A145" s="13"/>
      <c r="B145" s="13"/>
    </row>
    <row r="146" spans="1:2" x14ac:dyDescent="0.25">
      <c r="A146" s="13"/>
      <c r="B146" s="13"/>
    </row>
    <row r="147" spans="1:2" x14ac:dyDescent="0.25">
      <c r="A147" s="13"/>
      <c r="B147" s="13"/>
    </row>
    <row r="148" spans="1:2" x14ac:dyDescent="0.25">
      <c r="A148" s="13"/>
      <c r="B148" s="13"/>
    </row>
    <row r="149" spans="1:2" x14ac:dyDescent="0.25">
      <c r="A149" s="13"/>
      <c r="B149" s="13"/>
    </row>
    <row r="150" spans="1:2" x14ac:dyDescent="0.25">
      <c r="A150" s="13"/>
      <c r="B150" s="13"/>
    </row>
    <row r="151" spans="1:2" x14ac:dyDescent="0.25">
      <c r="A151" s="13"/>
      <c r="B151" s="13"/>
    </row>
    <row r="152" spans="1:2" x14ac:dyDescent="0.25">
      <c r="A152" s="13"/>
      <c r="B152" s="13"/>
    </row>
    <row r="153" spans="1:2" x14ac:dyDescent="0.25">
      <c r="A153" s="13"/>
      <c r="B153" s="13"/>
    </row>
    <row r="154" spans="1:2" x14ac:dyDescent="0.25">
      <c r="A154" s="13"/>
      <c r="B154" s="13"/>
    </row>
    <row r="155" spans="1:2" x14ac:dyDescent="0.25">
      <c r="A155" s="13"/>
      <c r="B155" s="13"/>
    </row>
    <row r="156" spans="1:2" x14ac:dyDescent="0.25">
      <c r="A156" s="13"/>
      <c r="B156" s="13"/>
    </row>
    <row r="157" spans="1:2" x14ac:dyDescent="0.25">
      <c r="A157" s="13"/>
      <c r="B157" s="13"/>
    </row>
    <row r="158" spans="1:2" x14ac:dyDescent="0.25">
      <c r="A158" s="13"/>
      <c r="B158" s="13"/>
    </row>
    <row r="159" spans="1:2" x14ac:dyDescent="0.25">
      <c r="A159" s="13"/>
      <c r="B159" s="13"/>
    </row>
    <row r="160" spans="1:2" x14ac:dyDescent="0.25">
      <c r="A160" s="13"/>
      <c r="B160" s="13"/>
    </row>
    <row r="161" spans="1:2" x14ac:dyDescent="0.25">
      <c r="A161" s="13"/>
      <c r="B161" s="13"/>
    </row>
    <row r="162" spans="1:2" x14ac:dyDescent="0.25">
      <c r="A162" s="13"/>
      <c r="B162" s="13"/>
    </row>
    <row r="163" spans="1:2" x14ac:dyDescent="0.25">
      <c r="A163" s="13"/>
      <c r="B163" s="13"/>
    </row>
    <row r="164" spans="1:2" x14ac:dyDescent="0.25">
      <c r="A164" s="13"/>
      <c r="B164" s="13"/>
    </row>
    <row r="165" spans="1:2" x14ac:dyDescent="0.25">
      <c r="A165" s="13"/>
      <c r="B165" s="13"/>
    </row>
    <row r="166" spans="1:2" x14ac:dyDescent="0.25">
      <c r="A166" s="13"/>
      <c r="B166" s="13"/>
    </row>
    <row r="167" spans="1:2" x14ac:dyDescent="0.25">
      <c r="A167" s="13"/>
      <c r="B167" s="13"/>
    </row>
    <row r="168" spans="1:2" x14ac:dyDescent="0.25">
      <c r="A168" s="13"/>
      <c r="B168" s="13"/>
    </row>
    <row r="169" spans="1:2" x14ac:dyDescent="0.25">
      <c r="A169" s="13"/>
      <c r="B169" s="13"/>
    </row>
    <row r="170" spans="1:2" x14ac:dyDescent="0.25">
      <c r="A170" s="13"/>
      <c r="B170" s="13"/>
    </row>
    <row r="171" spans="1:2" x14ac:dyDescent="0.25">
      <c r="A171" s="13"/>
      <c r="B171" s="13"/>
    </row>
    <row r="172" spans="1:2" x14ac:dyDescent="0.25">
      <c r="A172" s="13"/>
      <c r="B172" s="13"/>
    </row>
    <row r="173" spans="1:2" x14ac:dyDescent="0.25">
      <c r="A173" s="13"/>
      <c r="B173" s="13"/>
    </row>
    <row r="174" spans="1:2" x14ac:dyDescent="0.25">
      <c r="A174" s="13"/>
      <c r="B174" s="13"/>
    </row>
    <row r="175" spans="1:2" x14ac:dyDescent="0.25">
      <c r="A175" s="13"/>
      <c r="B175" s="13"/>
    </row>
    <row r="176" spans="1:2" x14ac:dyDescent="0.25">
      <c r="A176" s="13"/>
      <c r="B176" s="13"/>
    </row>
    <row r="177" spans="1:2" x14ac:dyDescent="0.25">
      <c r="A177" s="13"/>
      <c r="B177" s="13"/>
    </row>
    <row r="178" spans="1:2" x14ac:dyDescent="0.25">
      <c r="A178" s="13"/>
      <c r="B178" s="13"/>
    </row>
    <row r="179" spans="1:2" x14ac:dyDescent="0.25">
      <c r="A179" s="13"/>
      <c r="B179" s="13"/>
    </row>
    <row r="180" spans="1:2" x14ac:dyDescent="0.25">
      <c r="A180" s="13"/>
      <c r="B180" s="13"/>
    </row>
    <row r="181" spans="1:2" x14ac:dyDescent="0.25">
      <c r="A181" s="13"/>
      <c r="B181" s="13"/>
    </row>
    <row r="182" spans="1:2" x14ac:dyDescent="0.25">
      <c r="A182" s="13"/>
      <c r="B182" s="13"/>
    </row>
    <row r="183" spans="1:2" x14ac:dyDescent="0.25">
      <c r="A183" s="13"/>
      <c r="B183" s="13"/>
    </row>
    <row r="184" spans="1:2" x14ac:dyDescent="0.25">
      <c r="A184" s="13"/>
      <c r="B184" s="13"/>
    </row>
    <row r="185" spans="1:2" x14ac:dyDescent="0.25">
      <c r="A185" s="13"/>
      <c r="B185" s="13"/>
    </row>
    <row r="186" spans="1:2" x14ac:dyDescent="0.25">
      <c r="A186" s="13"/>
      <c r="B186" s="13"/>
    </row>
    <row r="187" spans="1:2" x14ac:dyDescent="0.25">
      <c r="A187" s="13"/>
      <c r="B187" s="13"/>
    </row>
    <row r="188" spans="1:2" x14ac:dyDescent="0.25">
      <c r="A188" s="13"/>
      <c r="B188" s="13"/>
    </row>
    <row r="189" spans="1:2" x14ac:dyDescent="0.25">
      <c r="A189" s="13"/>
      <c r="B189" s="13"/>
    </row>
    <row r="190" spans="1:2" x14ac:dyDescent="0.25">
      <c r="A190" s="13"/>
      <c r="B190" s="13"/>
    </row>
    <row r="191" spans="1:2" x14ac:dyDescent="0.25">
      <c r="A191" s="13"/>
      <c r="B191" s="13"/>
    </row>
    <row r="192" spans="1:2" x14ac:dyDescent="0.25">
      <c r="A192" s="13"/>
      <c r="B192" s="13"/>
    </row>
    <row r="193" spans="1:2" x14ac:dyDescent="0.25">
      <c r="A193" s="13"/>
      <c r="B193" s="13"/>
    </row>
    <row r="194" spans="1:2" x14ac:dyDescent="0.25">
      <c r="A194" s="13"/>
      <c r="B194" s="13"/>
    </row>
    <row r="195" spans="1:2" x14ac:dyDescent="0.25">
      <c r="A195" s="13"/>
      <c r="B195" s="13"/>
    </row>
    <row r="196" spans="1:2" x14ac:dyDescent="0.25">
      <c r="A196" s="13"/>
      <c r="B196" s="13"/>
    </row>
    <row r="197" spans="1:2" x14ac:dyDescent="0.25">
      <c r="A197" s="13"/>
      <c r="B197" s="13"/>
    </row>
    <row r="198" spans="1:2" x14ac:dyDescent="0.25">
      <c r="A198" s="13"/>
      <c r="B198" s="13"/>
    </row>
    <row r="199" spans="1:2" x14ac:dyDescent="0.25">
      <c r="A199" s="13"/>
      <c r="B199" s="13"/>
    </row>
    <row r="200" spans="1:2" x14ac:dyDescent="0.25">
      <c r="A200" s="13"/>
      <c r="B200" s="13"/>
    </row>
    <row r="201" spans="1:2" x14ac:dyDescent="0.25">
      <c r="A201" s="13"/>
      <c r="B201" s="13"/>
    </row>
    <row r="202" spans="1:2" x14ac:dyDescent="0.25">
      <c r="A202" s="13"/>
      <c r="B202" s="13"/>
    </row>
    <row r="203" spans="1:2" x14ac:dyDescent="0.25">
      <c r="A203" s="13"/>
      <c r="B203" s="13"/>
    </row>
    <row r="204" spans="1:2" x14ac:dyDescent="0.25">
      <c r="A204" s="13"/>
      <c r="B204" s="13"/>
    </row>
    <row r="205" spans="1:2" x14ac:dyDescent="0.25">
      <c r="A205" s="13"/>
      <c r="B205" s="13"/>
    </row>
    <row r="206" spans="1:2" x14ac:dyDescent="0.25">
      <c r="A206" s="13"/>
      <c r="B206" s="13"/>
    </row>
    <row r="207" spans="1:2" x14ac:dyDescent="0.25">
      <c r="A207" s="13"/>
      <c r="B207" s="13"/>
    </row>
    <row r="208" spans="1:2" x14ac:dyDescent="0.25">
      <c r="A208" s="13"/>
      <c r="B208" s="13"/>
    </row>
    <row r="209" spans="1:2" x14ac:dyDescent="0.25">
      <c r="A209" s="13"/>
      <c r="B209" s="13"/>
    </row>
    <row r="210" spans="1:2" x14ac:dyDescent="0.25">
      <c r="A210" s="13"/>
      <c r="B210" s="13"/>
    </row>
    <row r="211" spans="1:2" x14ac:dyDescent="0.25">
      <c r="A211" s="13"/>
      <c r="B211" s="13"/>
    </row>
    <row r="212" spans="1:2" x14ac:dyDescent="0.25">
      <c r="A212" s="13"/>
      <c r="B212" s="13"/>
    </row>
    <row r="213" spans="1:2" x14ac:dyDescent="0.25">
      <c r="A213" s="13"/>
      <c r="B213" s="13"/>
    </row>
    <row r="214" spans="1:2" x14ac:dyDescent="0.25">
      <c r="A214" s="13"/>
      <c r="B214" s="13"/>
    </row>
    <row r="215" spans="1:2" x14ac:dyDescent="0.25">
      <c r="A215" s="13"/>
      <c r="B215" s="13"/>
    </row>
    <row r="216" spans="1:2" x14ac:dyDescent="0.25">
      <c r="A216" s="13"/>
      <c r="B216" s="13"/>
    </row>
    <row r="217" spans="1:2" x14ac:dyDescent="0.25">
      <c r="A217" s="13"/>
      <c r="B217" s="13"/>
    </row>
    <row r="218" spans="1:2" x14ac:dyDescent="0.25">
      <c r="A218" s="13"/>
      <c r="B218" s="13"/>
    </row>
    <row r="219" spans="1:2" x14ac:dyDescent="0.25">
      <c r="A219" s="13"/>
      <c r="B219" s="13"/>
    </row>
    <row r="220" spans="1:2" x14ac:dyDescent="0.25">
      <c r="A220" s="13"/>
      <c r="B220" s="13"/>
    </row>
    <row r="221" spans="1:2" x14ac:dyDescent="0.25">
      <c r="A221" s="13"/>
      <c r="B221" s="13"/>
    </row>
    <row r="222" spans="1:2" x14ac:dyDescent="0.25">
      <c r="A222" s="13"/>
      <c r="B222" s="13"/>
    </row>
    <row r="223" spans="1:2" x14ac:dyDescent="0.25">
      <c r="A223" s="13"/>
      <c r="B223" s="13"/>
    </row>
    <row r="224" spans="1:2" x14ac:dyDescent="0.25">
      <c r="A224" s="13"/>
      <c r="B224" s="13"/>
    </row>
    <row r="225" spans="1:2" x14ac:dyDescent="0.25">
      <c r="A225" s="13"/>
      <c r="B225" s="13"/>
    </row>
    <row r="226" spans="1:2" x14ac:dyDescent="0.25">
      <c r="A226" s="13"/>
      <c r="B226" s="13"/>
    </row>
    <row r="227" spans="1:2" x14ac:dyDescent="0.25">
      <c r="A227" s="13"/>
      <c r="B227" s="13"/>
    </row>
    <row r="228" spans="1:2" x14ac:dyDescent="0.25">
      <c r="A228" s="13"/>
      <c r="B228" s="13"/>
    </row>
    <row r="229" spans="1:2" x14ac:dyDescent="0.25">
      <c r="A229" s="13"/>
      <c r="B229" s="13"/>
    </row>
    <row r="230" spans="1:2" x14ac:dyDescent="0.25">
      <c r="A230" s="13"/>
      <c r="B230" s="13"/>
    </row>
    <row r="231" spans="1:2" x14ac:dyDescent="0.25">
      <c r="A231" s="13"/>
      <c r="B231" s="13"/>
    </row>
    <row r="232" spans="1:2" x14ac:dyDescent="0.25">
      <c r="A232" s="13"/>
      <c r="B232" s="13"/>
    </row>
    <row r="233" spans="1:2" x14ac:dyDescent="0.25">
      <c r="A233" s="13"/>
      <c r="B233" s="13"/>
    </row>
    <row r="234" spans="1:2" x14ac:dyDescent="0.25">
      <c r="A234" s="13"/>
      <c r="B234" s="13"/>
    </row>
    <row r="235" spans="1:2" x14ac:dyDescent="0.25">
      <c r="A235" s="13"/>
      <c r="B235" s="13"/>
    </row>
    <row r="236" spans="1:2" x14ac:dyDescent="0.25">
      <c r="A236" s="13"/>
      <c r="B236" s="13"/>
    </row>
    <row r="237" spans="1:2" x14ac:dyDescent="0.25">
      <c r="A237" s="13"/>
      <c r="B237" s="13"/>
    </row>
    <row r="238" spans="1:2" x14ac:dyDescent="0.25">
      <c r="A238" s="13"/>
      <c r="B238" s="13"/>
    </row>
    <row r="239" spans="1:2" x14ac:dyDescent="0.25">
      <c r="A239" s="13"/>
      <c r="B239" s="13"/>
    </row>
    <row r="240" spans="1:2" x14ac:dyDescent="0.25">
      <c r="A240" s="13"/>
      <c r="B240" s="13"/>
    </row>
    <row r="241" spans="1:2" x14ac:dyDescent="0.25">
      <c r="A241" s="13"/>
      <c r="B241" s="13"/>
    </row>
    <row r="242" spans="1:2" x14ac:dyDescent="0.25">
      <c r="A242" s="13"/>
      <c r="B242" s="13"/>
    </row>
    <row r="243" spans="1:2" x14ac:dyDescent="0.25">
      <c r="A243" s="13"/>
      <c r="B243" s="13"/>
    </row>
    <row r="244" spans="1:2" x14ac:dyDescent="0.25">
      <c r="A244" s="13"/>
      <c r="B244" s="13"/>
    </row>
    <row r="245" spans="1:2" x14ac:dyDescent="0.25">
      <c r="A245" s="13"/>
      <c r="B245" s="13"/>
    </row>
    <row r="246" spans="1:2" x14ac:dyDescent="0.25">
      <c r="A246" s="13"/>
      <c r="B246" s="13"/>
    </row>
    <row r="247" spans="1:2" x14ac:dyDescent="0.25">
      <c r="A247" s="13"/>
      <c r="B247" s="13"/>
    </row>
    <row r="248" spans="1:2" x14ac:dyDescent="0.25">
      <c r="A248" s="13"/>
      <c r="B248" s="13"/>
    </row>
    <row r="249" spans="1:2" x14ac:dyDescent="0.25">
      <c r="A249" s="13"/>
      <c r="B249" s="13"/>
    </row>
    <row r="250" spans="1:2" x14ac:dyDescent="0.25">
      <c r="A250" s="13"/>
      <c r="B250" s="13"/>
    </row>
    <row r="251" spans="1:2" x14ac:dyDescent="0.25">
      <c r="A251" s="13"/>
      <c r="B251" s="13"/>
    </row>
    <row r="252" spans="1:2" x14ac:dyDescent="0.25">
      <c r="A252" s="13"/>
      <c r="B252" s="13"/>
    </row>
    <row r="253" spans="1:2" x14ac:dyDescent="0.25">
      <c r="A253" s="13"/>
      <c r="B253" s="13"/>
    </row>
    <row r="254" spans="1:2" x14ac:dyDescent="0.25">
      <c r="A254" s="13"/>
      <c r="B254" s="13"/>
    </row>
    <row r="255" spans="1:2" x14ac:dyDescent="0.25">
      <c r="A255" s="13"/>
      <c r="B255" s="13"/>
    </row>
    <row r="256" spans="1:2" x14ac:dyDescent="0.25">
      <c r="A256" s="13"/>
      <c r="B256" s="13"/>
    </row>
    <row r="257" spans="1:2" x14ac:dyDescent="0.25">
      <c r="A257" s="13"/>
      <c r="B257" s="13"/>
    </row>
    <row r="258" spans="1:2" x14ac:dyDescent="0.25">
      <c r="A258" s="13"/>
      <c r="B258" s="13"/>
    </row>
    <row r="259" spans="1:2" x14ac:dyDescent="0.25">
      <c r="A259" s="13"/>
      <c r="B259" s="13"/>
    </row>
    <row r="260" spans="1:2" x14ac:dyDescent="0.25">
      <c r="A260" s="13"/>
      <c r="B260" s="13"/>
    </row>
    <row r="261" spans="1:2" x14ac:dyDescent="0.25">
      <c r="A261" s="13"/>
      <c r="B261" s="13"/>
    </row>
    <row r="262" spans="1:2" x14ac:dyDescent="0.25">
      <c r="A262" s="13"/>
      <c r="B262" s="13"/>
    </row>
    <row r="263" spans="1:2" x14ac:dyDescent="0.25">
      <c r="A263" s="13"/>
      <c r="B263" s="13"/>
    </row>
    <row r="264" spans="1:2" x14ac:dyDescent="0.25">
      <c r="A264" s="13"/>
      <c r="B264" s="13"/>
    </row>
    <row r="265" spans="1:2" x14ac:dyDescent="0.25">
      <c r="A265" s="13"/>
      <c r="B265" s="13"/>
    </row>
    <row r="266" spans="1:2" x14ac:dyDescent="0.25">
      <c r="A266" s="13"/>
      <c r="B266" s="13"/>
    </row>
    <row r="267" spans="1:2" x14ac:dyDescent="0.25">
      <c r="A267" s="13"/>
      <c r="B267" s="13"/>
    </row>
    <row r="268" spans="1:2" x14ac:dyDescent="0.25">
      <c r="A268" s="13"/>
      <c r="B268" s="13"/>
    </row>
    <row r="269" spans="1:2" x14ac:dyDescent="0.25">
      <c r="A269" s="13"/>
      <c r="B269" s="13"/>
    </row>
    <row r="270" spans="1:2" x14ac:dyDescent="0.25">
      <c r="A270" s="13"/>
      <c r="B270" s="13"/>
    </row>
    <row r="271" spans="1:2" x14ac:dyDescent="0.25">
      <c r="A271" s="13"/>
      <c r="B271" s="13"/>
    </row>
    <row r="272" spans="1:2" x14ac:dyDescent="0.25">
      <c r="A272" s="13"/>
      <c r="B272" s="13"/>
    </row>
    <row r="273" spans="1:2" x14ac:dyDescent="0.25">
      <c r="A273" s="13"/>
      <c r="B273" s="13"/>
    </row>
    <row r="274" spans="1:2" x14ac:dyDescent="0.25">
      <c r="A274" s="13"/>
      <c r="B274" s="13"/>
    </row>
    <row r="275" spans="1:2" x14ac:dyDescent="0.25">
      <c r="A275" s="13"/>
      <c r="B275" s="13"/>
    </row>
    <row r="276" spans="1:2" x14ac:dyDescent="0.25">
      <c r="A276" s="13"/>
      <c r="B276" s="13"/>
    </row>
    <row r="277" spans="1:2" x14ac:dyDescent="0.25">
      <c r="A277" s="13"/>
      <c r="B277" s="13"/>
    </row>
    <row r="278" spans="1:2" x14ac:dyDescent="0.25">
      <c r="A278" s="13"/>
      <c r="B278" s="13"/>
    </row>
    <row r="279" spans="1:2" x14ac:dyDescent="0.25">
      <c r="A279" s="13"/>
      <c r="B279" s="13"/>
    </row>
    <row r="280" spans="1:2" x14ac:dyDescent="0.25">
      <c r="A280" s="13"/>
      <c r="B280" s="13"/>
    </row>
    <row r="281" spans="1:2" x14ac:dyDescent="0.25">
      <c r="A281" s="13"/>
      <c r="B281" s="13"/>
    </row>
    <row r="282" spans="1:2" x14ac:dyDescent="0.25">
      <c r="A282" s="13"/>
      <c r="B282" s="13"/>
    </row>
    <row r="283" spans="1:2" x14ac:dyDescent="0.25">
      <c r="A283" s="13"/>
      <c r="B283" s="13"/>
    </row>
    <row r="284" spans="1:2" x14ac:dyDescent="0.25">
      <c r="A284" s="13"/>
      <c r="B284" s="13"/>
    </row>
    <row r="285" spans="1:2" x14ac:dyDescent="0.25">
      <c r="A285" s="13"/>
      <c r="B285" s="13"/>
    </row>
    <row r="286" spans="1:2" x14ac:dyDescent="0.25">
      <c r="A286" s="13"/>
      <c r="B286" s="13"/>
    </row>
    <row r="287" spans="1:2" x14ac:dyDescent="0.25">
      <c r="A287" s="13"/>
      <c r="B287" s="13"/>
    </row>
    <row r="288" spans="1:2" x14ac:dyDescent="0.25">
      <c r="A288" s="13"/>
      <c r="B288" s="13"/>
    </row>
    <row r="289" spans="1:2" x14ac:dyDescent="0.25">
      <c r="A289" s="13"/>
      <c r="B289" s="13"/>
    </row>
    <row r="290" spans="1:2" x14ac:dyDescent="0.25">
      <c r="A290" s="13"/>
      <c r="B290" s="13"/>
    </row>
    <row r="291" spans="1:2" x14ac:dyDescent="0.25">
      <c r="A291" s="13"/>
      <c r="B291" s="13"/>
    </row>
    <row r="292" spans="1:2" x14ac:dyDescent="0.25">
      <c r="A292" s="13"/>
      <c r="B292" s="13"/>
    </row>
    <row r="293" spans="1:2" x14ac:dyDescent="0.25">
      <c r="A293" s="13"/>
      <c r="B293" s="13"/>
    </row>
    <row r="294" spans="1:2" x14ac:dyDescent="0.25">
      <c r="A294" s="13"/>
      <c r="B294" s="13"/>
    </row>
    <row r="295" spans="1:2" x14ac:dyDescent="0.25">
      <c r="A295" s="13"/>
      <c r="B295" s="13"/>
    </row>
    <row r="296" spans="1:2" x14ac:dyDescent="0.25">
      <c r="A296" s="13"/>
      <c r="B296" s="13"/>
    </row>
    <row r="297" spans="1:2" x14ac:dyDescent="0.25">
      <c r="A297" s="13"/>
      <c r="B297" s="13"/>
    </row>
    <row r="298" spans="1:2" x14ac:dyDescent="0.25">
      <c r="A298" s="13"/>
      <c r="B298" s="13"/>
    </row>
    <row r="299" spans="1:2" x14ac:dyDescent="0.25">
      <c r="A299" s="13"/>
      <c r="B299" s="13"/>
    </row>
    <row r="300" spans="1:2" x14ac:dyDescent="0.25">
      <c r="A300" s="13"/>
      <c r="B300" s="13"/>
    </row>
    <row r="301" spans="1:2" x14ac:dyDescent="0.25">
      <c r="A301" s="13"/>
      <c r="B301" s="13"/>
    </row>
    <row r="302" spans="1:2" x14ac:dyDescent="0.25">
      <c r="A302" s="13"/>
      <c r="B302" s="13"/>
    </row>
    <row r="303" spans="1:2" x14ac:dyDescent="0.25">
      <c r="A303" s="13"/>
      <c r="B303" s="13"/>
    </row>
    <row r="304" spans="1:2" x14ac:dyDescent="0.25">
      <c r="A304" s="13"/>
      <c r="B304" s="13"/>
    </row>
    <row r="305" spans="1:2" x14ac:dyDescent="0.25">
      <c r="A305" s="13"/>
      <c r="B305" s="13"/>
    </row>
    <row r="306" spans="1:2" x14ac:dyDescent="0.25">
      <c r="A306" s="13"/>
      <c r="B306" s="13"/>
    </row>
    <row r="307" spans="1:2" x14ac:dyDescent="0.25">
      <c r="A307" s="13"/>
      <c r="B307" s="13"/>
    </row>
    <row r="308" spans="1:2" x14ac:dyDescent="0.25">
      <c r="A308" s="13"/>
      <c r="B308" s="13"/>
    </row>
    <row r="309" spans="1:2" x14ac:dyDescent="0.25">
      <c r="A309" s="13"/>
      <c r="B309" s="13"/>
    </row>
    <row r="310" spans="1:2" x14ac:dyDescent="0.25">
      <c r="A310" s="13"/>
      <c r="B310" s="13"/>
    </row>
    <row r="311" spans="1:2" x14ac:dyDescent="0.25">
      <c r="A311" s="13"/>
      <c r="B311" s="13"/>
    </row>
    <row r="312" spans="1:2" x14ac:dyDescent="0.25">
      <c r="A312" s="13"/>
      <c r="B312" s="13"/>
    </row>
    <row r="313" spans="1:2" x14ac:dyDescent="0.25">
      <c r="A313" s="13"/>
      <c r="B313" s="13"/>
    </row>
    <row r="314" spans="1:2" x14ac:dyDescent="0.25">
      <c r="A314" s="13"/>
      <c r="B314" s="13"/>
    </row>
    <row r="315" spans="1:2" x14ac:dyDescent="0.25">
      <c r="A315" s="13"/>
      <c r="B315" s="13"/>
    </row>
    <row r="316" spans="1:2" x14ac:dyDescent="0.25">
      <c r="A316" s="13"/>
      <c r="B316" s="13"/>
    </row>
    <row r="317" spans="1:2" x14ac:dyDescent="0.25">
      <c r="A317" s="13"/>
      <c r="B317" s="13"/>
    </row>
    <row r="318" spans="1:2" x14ac:dyDescent="0.25">
      <c r="A318" s="13"/>
      <c r="B318" s="13"/>
    </row>
    <row r="319" spans="1:2" x14ac:dyDescent="0.25">
      <c r="A319" s="13"/>
      <c r="B319" s="13"/>
    </row>
    <row r="320" spans="1:2" x14ac:dyDescent="0.25">
      <c r="A320" s="13"/>
      <c r="B320" s="13"/>
    </row>
    <row r="321" spans="1:2" x14ac:dyDescent="0.25">
      <c r="A321" s="13"/>
      <c r="B321" s="13"/>
    </row>
    <row r="322" spans="1:2" x14ac:dyDescent="0.25">
      <c r="A322" s="13"/>
      <c r="B322" s="13"/>
    </row>
    <row r="323" spans="1:2" x14ac:dyDescent="0.25">
      <c r="A323" s="13"/>
      <c r="B323" s="13"/>
    </row>
    <row r="324" spans="1:2" x14ac:dyDescent="0.25">
      <c r="A324" s="13"/>
      <c r="B324" s="13"/>
    </row>
    <row r="325" spans="1:2" x14ac:dyDescent="0.25">
      <c r="A325" s="13"/>
      <c r="B325" s="13"/>
    </row>
    <row r="326" spans="1:2" x14ac:dyDescent="0.25">
      <c r="A326" s="13"/>
      <c r="B326" s="13"/>
    </row>
    <row r="327" spans="1:2" x14ac:dyDescent="0.25">
      <c r="A327" s="13"/>
      <c r="B327" s="13"/>
    </row>
    <row r="328" spans="1:2" x14ac:dyDescent="0.25">
      <c r="A328" s="13"/>
      <c r="B328" s="13"/>
    </row>
    <row r="329" spans="1:2" x14ac:dyDescent="0.25">
      <c r="A329" s="13"/>
      <c r="B329" s="13"/>
    </row>
    <row r="330" spans="1:2" x14ac:dyDescent="0.25">
      <c r="A330" s="13"/>
      <c r="B330" s="13"/>
    </row>
    <row r="331" spans="1:2" x14ac:dyDescent="0.25">
      <c r="A331" s="13"/>
      <c r="B331" s="13"/>
    </row>
    <row r="332" spans="1:2" x14ac:dyDescent="0.25">
      <c r="A332" s="13"/>
      <c r="B332" s="13"/>
    </row>
    <row r="333" spans="1:2" x14ac:dyDescent="0.25">
      <c r="A333" s="13"/>
      <c r="B333" s="13"/>
    </row>
    <row r="334" spans="1:2" x14ac:dyDescent="0.25">
      <c r="A334" s="13"/>
      <c r="B334" s="13"/>
    </row>
    <row r="335" spans="1:2" x14ac:dyDescent="0.25">
      <c r="A335" s="13"/>
      <c r="B335" s="13"/>
    </row>
    <row r="336" spans="1:2" x14ac:dyDescent="0.25">
      <c r="A336" s="13"/>
      <c r="B336" s="13"/>
    </row>
    <row r="337" spans="1:2" x14ac:dyDescent="0.25">
      <c r="A337" s="13"/>
      <c r="B337" s="13"/>
    </row>
    <row r="338" spans="1:2" x14ac:dyDescent="0.25">
      <c r="A338" s="13"/>
      <c r="B338" s="13"/>
    </row>
    <row r="339" spans="1:2" x14ac:dyDescent="0.25">
      <c r="A339" s="13"/>
      <c r="B339" s="13"/>
    </row>
    <row r="340" spans="1:2" x14ac:dyDescent="0.25">
      <c r="A340" s="13"/>
      <c r="B340" s="13"/>
    </row>
    <row r="341" spans="1:2" x14ac:dyDescent="0.25">
      <c r="A341" s="13"/>
      <c r="B341" s="13"/>
    </row>
    <row r="342" spans="1:2" x14ac:dyDescent="0.25">
      <c r="A342" s="13"/>
      <c r="B342" s="13"/>
    </row>
    <row r="343" spans="1:2" x14ac:dyDescent="0.25">
      <c r="A343" s="13"/>
      <c r="B343" s="13"/>
    </row>
    <row r="344" spans="1:2" x14ac:dyDescent="0.25">
      <c r="A344" s="13"/>
      <c r="B344" s="13"/>
    </row>
    <row r="345" spans="1:2" x14ac:dyDescent="0.25">
      <c r="A345" s="13"/>
      <c r="B345" s="13"/>
    </row>
    <row r="346" spans="1:2" x14ac:dyDescent="0.25">
      <c r="A346" s="13"/>
      <c r="B346" s="13"/>
    </row>
    <row r="347" spans="1:2" x14ac:dyDescent="0.25">
      <c r="A347" s="13"/>
      <c r="B347" s="13"/>
    </row>
    <row r="348" spans="1:2" x14ac:dyDescent="0.25">
      <c r="A348" s="13"/>
      <c r="B348" s="13"/>
    </row>
    <row r="349" spans="1:2" x14ac:dyDescent="0.25">
      <c r="A349" s="13"/>
      <c r="B349" s="13"/>
    </row>
    <row r="350" spans="1:2" x14ac:dyDescent="0.25">
      <c r="A350" s="13"/>
      <c r="B350" s="13"/>
    </row>
    <row r="351" spans="1:2" x14ac:dyDescent="0.25">
      <c r="A351" s="13"/>
      <c r="B351" s="13"/>
    </row>
    <row r="352" spans="1:2" x14ac:dyDescent="0.25">
      <c r="A352" s="13"/>
      <c r="B352" s="13"/>
    </row>
    <row r="353" spans="1:2" x14ac:dyDescent="0.25">
      <c r="A353" s="13"/>
      <c r="B353" s="13"/>
    </row>
    <row r="354" spans="1:2" x14ac:dyDescent="0.25">
      <c r="A354" s="13"/>
      <c r="B354" s="13"/>
    </row>
    <row r="355" spans="1:2" x14ac:dyDescent="0.25">
      <c r="A355" s="13"/>
      <c r="B355" s="13"/>
    </row>
    <row r="356" spans="1:2" x14ac:dyDescent="0.25">
      <c r="A356" s="13"/>
      <c r="B356" s="13"/>
    </row>
    <row r="357" spans="1:2" x14ac:dyDescent="0.25">
      <c r="A357" s="13"/>
      <c r="B357" s="13"/>
    </row>
    <row r="358" spans="1:2" x14ac:dyDescent="0.25">
      <c r="A358" s="13"/>
      <c r="B358" s="13"/>
    </row>
    <row r="359" spans="1:2" x14ac:dyDescent="0.25">
      <c r="A359" s="13"/>
      <c r="B359" s="13"/>
    </row>
    <row r="360" spans="1:2" x14ac:dyDescent="0.25">
      <c r="A360" s="13"/>
      <c r="B360" s="13"/>
    </row>
    <row r="361" spans="1:2" x14ac:dyDescent="0.25">
      <c r="A361" s="13"/>
      <c r="B361" s="13"/>
    </row>
    <row r="362" spans="1:2" x14ac:dyDescent="0.25">
      <c r="A362" s="13"/>
      <c r="B362" s="13"/>
    </row>
    <row r="363" spans="1:2" x14ac:dyDescent="0.25">
      <c r="A363" s="13"/>
      <c r="B363" s="13"/>
    </row>
    <row r="364" spans="1:2" x14ac:dyDescent="0.25">
      <c r="A364" s="13"/>
      <c r="B364" s="13"/>
    </row>
    <row r="365" spans="1:2" x14ac:dyDescent="0.25">
      <c r="A365" s="13"/>
      <c r="B365" s="13"/>
    </row>
    <row r="366" spans="1:2" x14ac:dyDescent="0.25">
      <c r="A366" s="13"/>
      <c r="B366" s="13"/>
    </row>
    <row r="367" spans="1:2" x14ac:dyDescent="0.25">
      <c r="A367" s="13"/>
      <c r="B367" s="13"/>
    </row>
    <row r="368" spans="1:2" x14ac:dyDescent="0.25">
      <c r="A368" s="13"/>
      <c r="B368" s="13"/>
    </row>
    <row r="369" spans="1:2" x14ac:dyDescent="0.25">
      <c r="A369" s="13"/>
      <c r="B369" s="13"/>
    </row>
    <row r="370" spans="1:2" x14ac:dyDescent="0.25">
      <c r="A370" s="13"/>
      <c r="B370" s="13"/>
    </row>
    <row r="371" spans="1:2" x14ac:dyDescent="0.25">
      <c r="A371" s="13"/>
      <c r="B371" s="13"/>
    </row>
    <row r="372" spans="1:2" x14ac:dyDescent="0.25">
      <c r="A372" s="13"/>
      <c r="B372" s="13"/>
    </row>
    <row r="373" spans="1:2" x14ac:dyDescent="0.25">
      <c r="A373" s="13"/>
      <c r="B373" s="13"/>
    </row>
    <row r="374" spans="1:2" x14ac:dyDescent="0.25">
      <c r="A374" s="13"/>
      <c r="B374" s="13"/>
    </row>
    <row r="375" spans="1:2" x14ac:dyDescent="0.25">
      <c r="A375" s="13"/>
      <c r="B375" s="13"/>
    </row>
    <row r="376" spans="1:2" x14ac:dyDescent="0.25">
      <c r="A376" s="13"/>
      <c r="B376" s="13"/>
    </row>
    <row r="377" spans="1:2" x14ac:dyDescent="0.25">
      <c r="A377" s="13"/>
      <c r="B377" s="13"/>
    </row>
    <row r="378" spans="1:2" x14ac:dyDescent="0.25">
      <c r="A378" s="13"/>
      <c r="B378" s="13"/>
    </row>
    <row r="379" spans="1:2" x14ac:dyDescent="0.25">
      <c r="A379" s="13"/>
      <c r="B379" s="13"/>
    </row>
    <row r="380" spans="1:2" x14ac:dyDescent="0.25">
      <c r="A380" s="13"/>
      <c r="B380" s="13"/>
    </row>
    <row r="381" spans="1:2" x14ac:dyDescent="0.25">
      <c r="A381" s="13"/>
      <c r="B381" s="13"/>
    </row>
    <row r="382" spans="1:2" x14ac:dyDescent="0.25">
      <c r="A382" s="13"/>
      <c r="B382" s="13"/>
    </row>
    <row r="383" spans="1:2" x14ac:dyDescent="0.25">
      <c r="A383" s="13"/>
      <c r="B383" s="13"/>
    </row>
    <row r="384" spans="1:2" x14ac:dyDescent="0.25">
      <c r="A384" s="13"/>
      <c r="B384" s="13"/>
    </row>
    <row r="385" spans="1:2" x14ac:dyDescent="0.25">
      <c r="A385" s="13"/>
      <c r="B385" s="13"/>
    </row>
    <row r="386" spans="1:2" x14ac:dyDescent="0.25">
      <c r="A386" s="13"/>
      <c r="B386" s="13"/>
    </row>
    <row r="387" spans="1:2" x14ac:dyDescent="0.25">
      <c r="A387" s="13"/>
      <c r="B387" s="13"/>
    </row>
    <row r="388" spans="1:2" x14ac:dyDescent="0.25">
      <c r="A388" s="13"/>
      <c r="B388" s="13"/>
    </row>
    <row r="389" spans="1:2" x14ac:dyDescent="0.25">
      <c r="A389" s="13"/>
      <c r="B389" s="13"/>
    </row>
    <row r="390" spans="1:2" x14ac:dyDescent="0.25">
      <c r="A390" s="13"/>
      <c r="B390" s="13"/>
    </row>
    <row r="391" spans="1:2" x14ac:dyDescent="0.25">
      <c r="A391" s="13"/>
      <c r="B391" s="13"/>
    </row>
    <row r="392" spans="1:2" x14ac:dyDescent="0.25">
      <c r="A392" s="13"/>
      <c r="B392" s="13"/>
    </row>
    <row r="393" spans="1:2" x14ac:dyDescent="0.25">
      <c r="A393" s="13"/>
      <c r="B393" s="13"/>
    </row>
    <row r="394" spans="1:2" x14ac:dyDescent="0.25">
      <c r="A394" s="13"/>
      <c r="B394" s="13"/>
    </row>
    <row r="395" spans="1:2" x14ac:dyDescent="0.25">
      <c r="A395" s="13"/>
      <c r="B395" s="13"/>
    </row>
    <row r="396" spans="1:2" x14ac:dyDescent="0.25">
      <c r="A396" s="13"/>
      <c r="B396" s="13"/>
    </row>
    <row r="397" spans="1:2" x14ac:dyDescent="0.25">
      <c r="A397" s="13"/>
      <c r="B397" s="13"/>
    </row>
    <row r="398" spans="1:2" x14ac:dyDescent="0.25">
      <c r="A398" s="13"/>
      <c r="B398" s="13"/>
    </row>
    <row r="399" spans="1:2" x14ac:dyDescent="0.25">
      <c r="A399" s="13"/>
      <c r="B399" s="13"/>
    </row>
    <row r="400" spans="1:2" x14ac:dyDescent="0.25">
      <c r="A400" s="13"/>
      <c r="B400" s="13"/>
    </row>
    <row r="401" spans="1:2" x14ac:dyDescent="0.25">
      <c r="A401" s="13"/>
      <c r="B401" s="13"/>
    </row>
    <row r="402" spans="1:2" x14ac:dyDescent="0.25">
      <c r="A402" s="13"/>
      <c r="B402" s="13"/>
    </row>
    <row r="403" spans="1:2" x14ac:dyDescent="0.25">
      <c r="A403" s="13"/>
      <c r="B403" s="13"/>
    </row>
    <row r="404" spans="1:2" x14ac:dyDescent="0.25">
      <c r="A404" s="13"/>
      <c r="B404" s="13"/>
    </row>
    <row r="405" spans="1:2" x14ac:dyDescent="0.25">
      <c r="A405" s="13"/>
      <c r="B405" s="13"/>
    </row>
    <row r="406" spans="1:2" x14ac:dyDescent="0.25">
      <c r="A406" s="13"/>
      <c r="B406" s="13"/>
    </row>
    <row r="407" spans="1:2" x14ac:dyDescent="0.25">
      <c r="A407" s="13"/>
      <c r="B407" s="13"/>
    </row>
    <row r="408" spans="1:2" x14ac:dyDescent="0.25">
      <c r="A408" s="13"/>
      <c r="B408" s="13"/>
    </row>
    <row r="409" spans="1:2" x14ac:dyDescent="0.25">
      <c r="A409" s="13"/>
      <c r="B409" s="13"/>
    </row>
    <row r="410" spans="1:2" x14ac:dyDescent="0.25">
      <c r="A410" s="13"/>
      <c r="B410" s="13"/>
    </row>
    <row r="411" spans="1:2" x14ac:dyDescent="0.25">
      <c r="A411" s="13"/>
      <c r="B411" s="13"/>
    </row>
    <row r="412" spans="1:2" x14ac:dyDescent="0.25">
      <c r="A412" s="13"/>
      <c r="B412" s="13"/>
    </row>
    <row r="413" spans="1:2" x14ac:dyDescent="0.25">
      <c r="A413" s="13"/>
      <c r="B413" s="13"/>
    </row>
    <row r="414" spans="1:2" x14ac:dyDescent="0.25">
      <c r="A414" s="13"/>
      <c r="B414" s="13"/>
    </row>
    <row r="415" spans="1:2" x14ac:dyDescent="0.25">
      <c r="A415" s="13"/>
      <c r="B415" s="13"/>
    </row>
    <row r="416" spans="1:2" x14ac:dyDescent="0.25">
      <c r="A416" s="13"/>
      <c r="B416" s="13"/>
    </row>
    <row r="417" spans="1:2" x14ac:dyDescent="0.25">
      <c r="A417" s="13"/>
      <c r="B417" s="13"/>
    </row>
    <row r="418" spans="1:2" x14ac:dyDescent="0.25">
      <c r="A418" s="13"/>
      <c r="B418" s="13"/>
    </row>
    <row r="419" spans="1:2" x14ac:dyDescent="0.25">
      <c r="A419" s="13"/>
      <c r="B419" s="13"/>
    </row>
    <row r="420" spans="1:2" x14ac:dyDescent="0.25">
      <c r="A420" s="13"/>
      <c r="B420" s="13"/>
    </row>
    <row r="421" spans="1:2" x14ac:dyDescent="0.25">
      <c r="A421" s="13"/>
      <c r="B421" s="13"/>
    </row>
    <row r="422" spans="1:2" x14ac:dyDescent="0.25">
      <c r="A422" s="13"/>
      <c r="B422" s="13"/>
    </row>
    <row r="423" spans="1:2" x14ac:dyDescent="0.25">
      <c r="A423" s="13"/>
      <c r="B423" s="13"/>
    </row>
    <row r="424" spans="1:2" x14ac:dyDescent="0.25">
      <c r="A424" s="13"/>
      <c r="B424" s="13"/>
    </row>
    <row r="425" spans="1:2" x14ac:dyDescent="0.25">
      <c r="A425" s="13"/>
      <c r="B425" s="13"/>
    </row>
    <row r="426" spans="1:2" x14ac:dyDescent="0.25">
      <c r="A426" s="13"/>
      <c r="B426" s="13"/>
    </row>
    <row r="427" spans="1:2" x14ac:dyDescent="0.25">
      <c r="A427" s="13"/>
      <c r="B427" s="13"/>
    </row>
    <row r="428" spans="1:2" x14ac:dyDescent="0.25">
      <c r="A428" s="13"/>
      <c r="B428" s="13"/>
    </row>
    <row r="429" spans="1:2" x14ac:dyDescent="0.25">
      <c r="A429" s="13"/>
      <c r="B429" s="13"/>
    </row>
    <row r="430" spans="1:2" x14ac:dyDescent="0.25">
      <c r="A430" s="13"/>
      <c r="B430" s="13"/>
    </row>
    <row r="431" spans="1:2" x14ac:dyDescent="0.25">
      <c r="A431" s="13"/>
      <c r="B431" s="13"/>
    </row>
    <row r="432" spans="1:2" x14ac:dyDescent="0.25">
      <c r="A432" s="13"/>
      <c r="B432" s="13"/>
    </row>
    <row r="433" spans="1:2" x14ac:dyDescent="0.25">
      <c r="A433" s="13"/>
      <c r="B433" s="13"/>
    </row>
    <row r="434" spans="1:2" x14ac:dyDescent="0.25">
      <c r="A434" s="13"/>
      <c r="B434" s="13"/>
    </row>
    <row r="435" spans="1:2" x14ac:dyDescent="0.25">
      <c r="A435" s="13"/>
      <c r="B435" s="13"/>
    </row>
    <row r="436" spans="1:2" x14ac:dyDescent="0.25">
      <c r="A436" s="13"/>
      <c r="B436" s="13"/>
    </row>
    <row r="437" spans="1:2" x14ac:dyDescent="0.25">
      <c r="A437" s="13"/>
      <c r="B437" s="13"/>
    </row>
    <row r="438" spans="1:2" x14ac:dyDescent="0.25">
      <c r="A438" s="13"/>
      <c r="B438" s="13"/>
    </row>
    <row r="439" spans="1:2" x14ac:dyDescent="0.25">
      <c r="A439" s="13"/>
      <c r="B439" s="13"/>
    </row>
    <row r="440" spans="1:2" x14ac:dyDescent="0.25">
      <c r="A440" s="13"/>
      <c r="B440" s="13"/>
    </row>
    <row r="441" spans="1:2" x14ac:dyDescent="0.25">
      <c r="A441" s="13"/>
      <c r="B441" s="13"/>
    </row>
    <row r="442" spans="1:2" x14ac:dyDescent="0.25">
      <c r="A442" s="13"/>
      <c r="B442" s="13"/>
    </row>
    <row r="443" spans="1:2" x14ac:dyDescent="0.25">
      <c r="A443" s="13"/>
      <c r="B443" s="13"/>
    </row>
    <row r="444" spans="1:2" x14ac:dyDescent="0.25">
      <c r="A444" s="13"/>
      <c r="B444" s="13"/>
    </row>
    <row r="445" spans="1:2" x14ac:dyDescent="0.25">
      <c r="A445" s="13"/>
      <c r="B445" s="13"/>
    </row>
    <row r="446" spans="1:2" x14ac:dyDescent="0.25">
      <c r="A446" s="13"/>
      <c r="B446" s="13"/>
    </row>
    <row r="447" spans="1:2" x14ac:dyDescent="0.25">
      <c r="A447" s="13"/>
      <c r="B447" s="13"/>
    </row>
    <row r="448" spans="1:2" x14ac:dyDescent="0.25">
      <c r="A448" s="13"/>
      <c r="B448" s="13"/>
    </row>
    <row r="449" spans="1:2" x14ac:dyDescent="0.25">
      <c r="A449" s="13"/>
      <c r="B449" s="13"/>
    </row>
    <row r="450" spans="1:2" x14ac:dyDescent="0.25">
      <c r="A450" s="13"/>
      <c r="B450" s="13"/>
    </row>
    <row r="451" spans="1:2" x14ac:dyDescent="0.25">
      <c r="A451" s="13"/>
      <c r="B451" s="13"/>
    </row>
    <row r="452" spans="1:2" x14ac:dyDescent="0.25">
      <c r="A452" s="13"/>
      <c r="B452" s="13"/>
    </row>
    <row r="453" spans="1:2" x14ac:dyDescent="0.25">
      <c r="A453" s="13"/>
      <c r="B453" s="13"/>
    </row>
    <row r="454" spans="1:2" x14ac:dyDescent="0.25">
      <c r="A454" s="13"/>
      <c r="B454" s="13"/>
    </row>
    <row r="455" spans="1:2" x14ac:dyDescent="0.25">
      <c r="A455" s="13"/>
      <c r="B455" s="13"/>
    </row>
    <row r="456" spans="1:2" x14ac:dyDescent="0.25">
      <c r="A456" s="13"/>
      <c r="B456" s="13"/>
    </row>
    <row r="457" spans="1:2" x14ac:dyDescent="0.25">
      <c r="A457" s="13"/>
      <c r="B457" s="13"/>
    </row>
    <row r="458" spans="1:2" x14ac:dyDescent="0.25">
      <c r="A458" s="13"/>
      <c r="B458" s="13"/>
    </row>
    <row r="459" spans="1:2" x14ac:dyDescent="0.25">
      <c r="A459" s="13"/>
      <c r="B459" s="13"/>
    </row>
    <row r="460" spans="1:2" x14ac:dyDescent="0.25">
      <c r="A460" s="13"/>
      <c r="B460" s="13"/>
    </row>
    <row r="461" spans="1:2" x14ac:dyDescent="0.25">
      <c r="A461" s="13"/>
      <c r="B461" s="13"/>
    </row>
    <row r="462" spans="1:2" x14ac:dyDescent="0.25">
      <c r="A462" s="13"/>
      <c r="B462" s="13"/>
    </row>
    <row r="463" spans="1:2" x14ac:dyDescent="0.25">
      <c r="A463" s="13"/>
      <c r="B463" s="13"/>
    </row>
    <row r="464" spans="1:2" x14ac:dyDescent="0.25">
      <c r="A464" s="13"/>
      <c r="B464" s="13"/>
    </row>
    <row r="465" spans="1:2" x14ac:dyDescent="0.25">
      <c r="A465" s="13"/>
      <c r="B465" s="13"/>
    </row>
    <row r="466" spans="1:2" x14ac:dyDescent="0.25">
      <c r="A466" s="13"/>
      <c r="B466" s="13"/>
    </row>
    <row r="467" spans="1:2" x14ac:dyDescent="0.25">
      <c r="A467" s="13"/>
      <c r="B467" s="13"/>
    </row>
    <row r="468" spans="1:2" x14ac:dyDescent="0.25">
      <c r="A468" s="13"/>
      <c r="B468" s="13"/>
    </row>
    <row r="469" spans="1:2" x14ac:dyDescent="0.25">
      <c r="A469" s="13"/>
      <c r="B469" s="13"/>
    </row>
    <row r="470" spans="1:2" x14ac:dyDescent="0.25">
      <c r="A470" s="13"/>
      <c r="B470" s="13"/>
    </row>
    <row r="471" spans="1:2" x14ac:dyDescent="0.25">
      <c r="A471" s="13"/>
      <c r="B471" s="13"/>
    </row>
    <row r="472" spans="1:2" x14ac:dyDescent="0.25">
      <c r="A472" s="13"/>
      <c r="B472" s="13"/>
    </row>
    <row r="473" spans="1:2" x14ac:dyDescent="0.25">
      <c r="A473" s="13"/>
      <c r="B473" s="13"/>
    </row>
    <row r="474" spans="1:2" x14ac:dyDescent="0.25">
      <c r="A474" s="13"/>
      <c r="B474" s="13"/>
    </row>
    <row r="475" spans="1:2" x14ac:dyDescent="0.25">
      <c r="A475" s="13"/>
      <c r="B475" s="13"/>
    </row>
    <row r="476" spans="1:2" x14ac:dyDescent="0.25">
      <c r="A476" s="13"/>
      <c r="B476" s="13"/>
    </row>
    <row r="477" spans="1:2" x14ac:dyDescent="0.25">
      <c r="A477" s="13"/>
      <c r="B477" s="13"/>
    </row>
    <row r="478" spans="1:2" x14ac:dyDescent="0.25">
      <c r="A478" s="13"/>
      <c r="B478" s="13"/>
    </row>
    <row r="479" spans="1:2" x14ac:dyDescent="0.25">
      <c r="A479" s="13"/>
      <c r="B479" s="13"/>
    </row>
    <row r="480" spans="1:2" x14ac:dyDescent="0.25">
      <c r="A480" s="13"/>
      <c r="B480" s="13"/>
    </row>
    <row r="481" spans="1:2" x14ac:dyDescent="0.25">
      <c r="A481" s="13"/>
      <c r="B481" s="13"/>
    </row>
    <row r="482" spans="1:2" x14ac:dyDescent="0.25">
      <c r="A482" s="13"/>
      <c r="B482" s="13"/>
    </row>
    <row r="483" spans="1:2" x14ac:dyDescent="0.25">
      <c r="A483" s="13"/>
      <c r="B483" s="13"/>
    </row>
    <row r="484" spans="1:2" x14ac:dyDescent="0.25">
      <c r="A484" s="13"/>
      <c r="B484" s="13"/>
    </row>
    <row r="485" spans="1:2" x14ac:dyDescent="0.25">
      <c r="A485" s="13"/>
      <c r="B485" s="13"/>
    </row>
    <row r="486" spans="1:2" x14ac:dyDescent="0.25">
      <c r="A486" s="13"/>
      <c r="B486" s="13"/>
    </row>
    <row r="487" spans="1:2" x14ac:dyDescent="0.25">
      <c r="A487" s="13"/>
      <c r="B487" s="13"/>
    </row>
    <row r="488" spans="1:2" x14ac:dyDescent="0.25">
      <c r="A488" s="13"/>
      <c r="B488" s="13"/>
    </row>
    <row r="489" spans="1:2" x14ac:dyDescent="0.25">
      <c r="A489" s="13"/>
      <c r="B489" s="13"/>
    </row>
    <row r="490" spans="1:2" x14ac:dyDescent="0.25">
      <c r="A490" s="13"/>
      <c r="B490" s="13"/>
    </row>
    <row r="491" spans="1:2" x14ac:dyDescent="0.25">
      <c r="A491" s="13"/>
      <c r="B491" s="13"/>
    </row>
    <row r="492" spans="1:2" x14ac:dyDescent="0.25">
      <c r="A492" s="13"/>
      <c r="B492" s="13"/>
    </row>
    <row r="493" spans="1:2" x14ac:dyDescent="0.25">
      <c r="A493" s="13"/>
      <c r="B493" s="13"/>
    </row>
    <row r="494" spans="1:2" x14ac:dyDescent="0.25">
      <c r="A494" s="13"/>
      <c r="B494" s="13"/>
    </row>
    <row r="495" spans="1:2" x14ac:dyDescent="0.25">
      <c r="A495" s="13"/>
      <c r="B495" s="13"/>
    </row>
    <row r="496" spans="1:2" x14ac:dyDescent="0.25">
      <c r="A496" s="13"/>
      <c r="B496" s="13"/>
    </row>
    <row r="497" spans="1:2" x14ac:dyDescent="0.25">
      <c r="A497" s="13"/>
      <c r="B497" s="13"/>
    </row>
    <row r="498" spans="1:2" x14ac:dyDescent="0.25">
      <c r="A498" s="13"/>
      <c r="B498" s="13"/>
    </row>
    <row r="499" spans="1:2" x14ac:dyDescent="0.25">
      <c r="A499" s="13"/>
      <c r="B499" s="13"/>
    </row>
    <row r="500" spans="1:2" x14ac:dyDescent="0.25">
      <c r="A500" s="13"/>
      <c r="B500" s="13"/>
    </row>
    <row r="501" spans="1:2" x14ac:dyDescent="0.25">
      <c r="A501" s="13"/>
      <c r="B501" s="13"/>
    </row>
    <row r="502" spans="1:2" x14ac:dyDescent="0.25">
      <c r="A502" s="13"/>
      <c r="B502" s="13"/>
    </row>
    <row r="503" spans="1:2" x14ac:dyDescent="0.25">
      <c r="A503" s="13"/>
      <c r="B503" s="13"/>
    </row>
    <row r="504" spans="1:2" x14ac:dyDescent="0.25">
      <c r="A504" s="13"/>
      <c r="B504" s="13"/>
    </row>
    <row r="505" spans="1:2" x14ac:dyDescent="0.25">
      <c r="A505" s="13"/>
      <c r="B505" s="13"/>
    </row>
    <row r="506" spans="1:2" x14ac:dyDescent="0.25">
      <c r="A506" s="13"/>
      <c r="B506" s="13"/>
    </row>
    <row r="507" spans="1:2" x14ac:dyDescent="0.25">
      <c r="A507" s="13"/>
      <c r="B507" s="13"/>
    </row>
    <row r="508" spans="1:2" x14ac:dyDescent="0.25">
      <c r="A508" s="13"/>
      <c r="B508" s="13"/>
    </row>
    <row r="509" spans="1:2" x14ac:dyDescent="0.25">
      <c r="A509" s="13"/>
      <c r="B509" s="13"/>
    </row>
    <row r="510" spans="1:2" x14ac:dyDescent="0.25">
      <c r="A510" s="13"/>
      <c r="B510" s="13"/>
    </row>
    <row r="511" spans="1:2" x14ac:dyDescent="0.25">
      <c r="A511" s="13"/>
      <c r="B511" s="13"/>
    </row>
    <row r="512" spans="1:2" x14ac:dyDescent="0.25">
      <c r="A512" s="13"/>
      <c r="B512" s="13"/>
    </row>
    <row r="513" spans="1:2" x14ac:dyDescent="0.25">
      <c r="A513" s="13"/>
      <c r="B513" s="13"/>
    </row>
    <row r="514" spans="1:2" x14ac:dyDescent="0.25">
      <c r="A514" s="13"/>
      <c r="B514" s="13"/>
    </row>
    <row r="515" spans="1:2" x14ac:dyDescent="0.25">
      <c r="A515" s="13"/>
      <c r="B515" s="13"/>
    </row>
    <row r="516" spans="1:2" x14ac:dyDescent="0.25">
      <c r="A516" s="13"/>
      <c r="B516" s="13"/>
    </row>
    <row r="517" spans="1:2" x14ac:dyDescent="0.25">
      <c r="A517" s="13"/>
      <c r="B517" s="13"/>
    </row>
    <row r="518" spans="1:2" x14ac:dyDescent="0.25">
      <c r="A518" s="13"/>
      <c r="B518" s="13"/>
    </row>
    <row r="519" spans="1:2" x14ac:dyDescent="0.25">
      <c r="A519" s="13"/>
      <c r="B519" s="13"/>
    </row>
    <row r="520" spans="1:2" x14ac:dyDescent="0.25">
      <c r="A520" s="13"/>
      <c r="B520" s="13"/>
    </row>
    <row r="521" spans="1:2" x14ac:dyDescent="0.25">
      <c r="A521" s="13"/>
      <c r="B521" s="13"/>
    </row>
    <row r="522" spans="1:2" x14ac:dyDescent="0.25">
      <c r="A522" s="13"/>
      <c r="B522" s="13"/>
    </row>
    <row r="523" spans="1:2" x14ac:dyDescent="0.25">
      <c r="A523" s="13"/>
      <c r="B523" s="13"/>
    </row>
    <row r="524" spans="1:2" x14ac:dyDescent="0.25">
      <c r="A524" s="13"/>
      <c r="B524" s="13"/>
    </row>
    <row r="525" spans="1:2" x14ac:dyDescent="0.25">
      <c r="A525" s="13"/>
      <c r="B525" s="13"/>
    </row>
    <row r="526" spans="1:2" x14ac:dyDescent="0.25">
      <c r="A526" s="13"/>
      <c r="B526" s="13"/>
    </row>
    <row r="527" spans="1:2" x14ac:dyDescent="0.25">
      <c r="A527" s="13"/>
      <c r="B527" s="13"/>
    </row>
    <row r="528" spans="1:2" x14ac:dyDescent="0.25">
      <c r="A528" s="13"/>
      <c r="B528" s="13"/>
    </row>
    <row r="529" spans="1:2" x14ac:dyDescent="0.25">
      <c r="A529" s="13"/>
      <c r="B529" s="13"/>
    </row>
    <row r="530" spans="1:2" x14ac:dyDescent="0.25">
      <c r="A530" s="13"/>
      <c r="B530" s="13"/>
    </row>
    <row r="531" spans="1:2" x14ac:dyDescent="0.25">
      <c r="A531" s="13"/>
      <c r="B531" s="13"/>
    </row>
    <row r="532" spans="1:2" x14ac:dyDescent="0.25">
      <c r="A532" s="13"/>
      <c r="B532" s="13"/>
    </row>
    <row r="533" spans="1:2" x14ac:dyDescent="0.25">
      <c r="A533" s="13"/>
      <c r="B533" s="13"/>
    </row>
    <row r="534" spans="1:2" x14ac:dyDescent="0.25">
      <c r="A534" s="13"/>
      <c r="B534" s="13"/>
    </row>
    <row r="535" spans="1:2" x14ac:dyDescent="0.25">
      <c r="A535" s="13"/>
      <c r="B535" s="13"/>
    </row>
    <row r="536" spans="1:2" x14ac:dyDescent="0.25">
      <c r="A536" s="13"/>
      <c r="B536" s="13"/>
    </row>
    <row r="537" spans="1:2" x14ac:dyDescent="0.25">
      <c r="A537" s="13"/>
      <c r="B537" s="13"/>
    </row>
    <row r="538" spans="1:2" x14ac:dyDescent="0.25">
      <c r="A538" s="13"/>
      <c r="B538" s="13"/>
    </row>
    <row r="539" spans="1:2" x14ac:dyDescent="0.25">
      <c r="A539" s="13"/>
      <c r="B539" s="13"/>
    </row>
    <row r="540" spans="1:2" x14ac:dyDescent="0.25">
      <c r="A540" s="13"/>
      <c r="B540" s="13"/>
    </row>
    <row r="541" spans="1:2" x14ac:dyDescent="0.25">
      <c r="A541" s="13"/>
      <c r="B541" s="13"/>
    </row>
    <row r="542" spans="1:2" x14ac:dyDescent="0.25">
      <c r="A542" s="13"/>
      <c r="B542" s="13"/>
    </row>
    <row r="543" spans="1:2" x14ac:dyDescent="0.25">
      <c r="A543" s="13"/>
      <c r="B543" s="13"/>
    </row>
    <row r="544" spans="1:2" x14ac:dyDescent="0.25">
      <c r="A544" s="13"/>
      <c r="B544" s="13"/>
    </row>
    <row r="545" spans="1:2" x14ac:dyDescent="0.25">
      <c r="A545" s="13"/>
      <c r="B545" s="13"/>
    </row>
    <row r="546" spans="1:2" x14ac:dyDescent="0.25">
      <c r="A546" s="13"/>
      <c r="B546" s="13"/>
    </row>
    <row r="547" spans="1:2" x14ac:dyDescent="0.25">
      <c r="A547" s="13"/>
      <c r="B547" s="13"/>
    </row>
    <row r="548" spans="1:2" x14ac:dyDescent="0.25">
      <c r="A548" s="13"/>
      <c r="B548" s="13"/>
    </row>
    <row r="549" spans="1:2" x14ac:dyDescent="0.25">
      <c r="A549" s="13"/>
      <c r="B549" s="13"/>
    </row>
    <row r="550" spans="1:2" x14ac:dyDescent="0.25">
      <c r="A550" s="13"/>
      <c r="B550" s="13"/>
    </row>
    <row r="551" spans="1:2" x14ac:dyDescent="0.25">
      <c r="A551" s="13"/>
      <c r="B551" s="13"/>
    </row>
    <row r="552" spans="1:2" x14ac:dyDescent="0.25">
      <c r="A552" s="13"/>
      <c r="B552" s="13"/>
    </row>
    <row r="553" spans="1:2" x14ac:dyDescent="0.25">
      <c r="A553" s="13"/>
      <c r="B553" s="13"/>
    </row>
    <row r="554" spans="1:2" x14ac:dyDescent="0.25">
      <c r="A554" s="13"/>
      <c r="B554" s="13"/>
    </row>
    <row r="555" spans="1:2" x14ac:dyDescent="0.25">
      <c r="A555" s="13"/>
      <c r="B555" s="13"/>
    </row>
    <row r="556" spans="1:2" x14ac:dyDescent="0.25">
      <c r="A556" s="13"/>
      <c r="B556" s="13"/>
    </row>
    <row r="557" spans="1:2" x14ac:dyDescent="0.25">
      <c r="A557" s="13"/>
      <c r="B557" s="13"/>
    </row>
    <row r="558" spans="1:2" x14ac:dyDescent="0.25">
      <c r="A558" s="13"/>
      <c r="B558" s="13"/>
    </row>
    <row r="559" spans="1:2" x14ac:dyDescent="0.25">
      <c r="A559" s="13"/>
      <c r="B559" s="13"/>
    </row>
    <row r="560" spans="1:2" x14ac:dyDescent="0.25">
      <c r="A560" s="13"/>
      <c r="B560" s="13"/>
    </row>
    <row r="561" spans="1:2" x14ac:dyDescent="0.25">
      <c r="A561" s="13"/>
      <c r="B561" s="13"/>
    </row>
    <row r="562" spans="1:2" x14ac:dyDescent="0.25">
      <c r="A562" s="13"/>
      <c r="B562" s="13"/>
    </row>
    <row r="563" spans="1:2" x14ac:dyDescent="0.25">
      <c r="A563" s="13"/>
      <c r="B563" s="13"/>
    </row>
    <row r="564" spans="1:2" x14ac:dyDescent="0.25">
      <c r="A564" s="13"/>
      <c r="B564" s="13"/>
    </row>
    <row r="565" spans="1:2" x14ac:dyDescent="0.25">
      <c r="A565" s="13"/>
      <c r="B565" s="13"/>
    </row>
    <row r="566" spans="1:2" x14ac:dyDescent="0.25">
      <c r="A566" s="13"/>
      <c r="B566" s="13"/>
    </row>
    <row r="567" spans="1:2" x14ac:dyDescent="0.25">
      <c r="A567" s="13"/>
      <c r="B567" s="13"/>
    </row>
    <row r="568" spans="1:2" x14ac:dyDescent="0.25">
      <c r="A568" s="13"/>
      <c r="B568" s="13"/>
    </row>
    <row r="569" spans="1:2" x14ac:dyDescent="0.25">
      <c r="A569" s="13"/>
      <c r="B569" s="13"/>
    </row>
    <row r="570" spans="1:2" x14ac:dyDescent="0.25">
      <c r="A570" s="13"/>
      <c r="B570" s="13"/>
    </row>
    <row r="571" spans="1:2" x14ac:dyDescent="0.25">
      <c r="A571" s="13"/>
      <c r="B571" s="13"/>
    </row>
    <row r="572" spans="1:2" x14ac:dyDescent="0.25">
      <c r="A572" s="13"/>
      <c r="B572" s="13"/>
    </row>
    <row r="573" spans="1:2" x14ac:dyDescent="0.25">
      <c r="A573" s="13"/>
      <c r="B573" s="13"/>
    </row>
    <row r="574" spans="1:2" x14ac:dyDescent="0.25">
      <c r="A574" s="13"/>
      <c r="B574" s="13"/>
    </row>
    <row r="575" spans="1:2" x14ac:dyDescent="0.25">
      <c r="A575" s="13"/>
      <c r="B575" s="13"/>
    </row>
    <row r="576" spans="1:2" x14ac:dyDescent="0.25">
      <c r="A576" s="13"/>
      <c r="B576" s="13"/>
    </row>
    <row r="577" spans="1:2" x14ac:dyDescent="0.25">
      <c r="A577" s="13"/>
      <c r="B577" s="13"/>
    </row>
    <row r="578" spans="1:2" x14ac:dyDescent="0.25">
      <c r="A578" s="13"/>
      <c r="B578" s="13"/>
    </row>
    <row r="579" spans="1:2" x14ac:dyDescent="0.25">
      <c r="A579" s="13"/>
      <c r="B579" s="13"/>
    </row>
    <row r="580" spans="1:2" x14ac:dyDescent="0.25">
      <c r="A580" s="13"/>
      <c r="B580" s="13"/>
    </row>
    <row r="581" spans="1:2" x14ac:dyDescent="0.25">
      <c r="A581" s="13"/>
      <c r="B581" s="13"/>
    </row>
    <row r="582" spans="1:2" x14ac:dyDescent="0.25">
      <c r="A582" s="13"/>
      <c r="B582" s="13"/>
    </row>
    <row r="583" spans="1:2" x14ac:dyDescent="0.25">
      <c r="A583" s="13"/>
      <c r="B583" s="13"/>
    </row>
    <row r="584" spans="1:2" x14ac:dyDescent="0.25">
      <c r="A584" s="13"/>
      <c r="B584" s="13"/>
    </row>
    <row r="585" spans="1:2" x14ac:dyDescent="0.25">
      <c r="A585" s="13"/>
      <c r="B585" s="13"/>
    </row>
    <row r="586" spans="1:2" x14ac:dyDescent="0.25">
      <c r="A586" s="13"/>
      <c r="B586" s="13"/>
    </row>
    <row r="587" spans="1:2" x14ac:dyDescent="0.25">
      <c r="A587" s="13"/>
      <c r="B587" s="13"/>
    </row>
    <row r="588" spans="1:2" x14ac:dyDescent="0.25">
      <c r="A588" s="13"/>
      <c r="B588" s="13"/>
    </row>
    <row r="589" spans="1:2" x14ac:dyDescent="0.25">
      <c r="A589" s="13"/>
      <c r="B589" s="13"/>
    </row>
    <row r="590" spans="1:2" x14ac:dyDescent="0.25">
      <c r="A590" s="13"/>
      <c r="B590" s="13"/>
    </row>
    <row r="591" spans="1:2" x14ac:dyDescent="0.25">
      <c r="A591" s="13"/>
      <c r="B591" s="13"/>
    </row>
    <row r="592" spans="1:2" x14ac:dyDescent="0.25">
      <c r="A592" s="13"/>
      <c r="B592" s="13"/>
    </row>
    <row r="593" spans="1:2" x14ac:dyDescent="0.25">
      <c r="A593" s="13"/>
      <c r="B593" s="13"/>
    </row>
    <row r="594" spans="1:2" x14ac:dyDescent="0.25">
      <c r="A594" s="13"/>
      <c r="B594" s="13"/>
    </row>
    <row r="595" spans="1:2" x14ac:dyDescent="0.25">
      <c r="A595" s="13"/>
      <c r="B595" s="13"/>
    </row>
    <row r="596" spans="1:2" x14ac:dyDescent="0.25">
      <c r="A596" s="13"/>
      <c r="B596" s="13"/>
    </row>
    <row r="597" spans="1:2" x14ac:dyDescent="0.25">
      <c r="A597" s="13"/>
      <c r="B597" s="13"/>
    </row>
    <row r="598" spans="1:2" x14ac:dyDescent="0.25">
      <c r="A598" s="13"/>
      <c r="B598" s="13"/>
    </row>
    <row r="599" spans="1:2" x14ac:dyDescent="0.25">
      <c r="A599" s="13"/>
      <c r="B599" s="13"/>
    </row>
    <row r="600" spans="1:2" x14ac:dyDescent="0.25">
      <c r="A600" s="13"/>
      <c r="B600" s="13"/>
    </row>
    <row r="601" spans="1:2" x14ac:dyDescent="0.25">
      <c r="A601" s="13"/>
      <c r="B601" s="13"/>
    </row>
    <row r="602" spans="1:2" x14ac:dyDescent="0.25">
      <c r="A602" s="13"/>
      <c r="B602" s="13"/>
    </row>
    <row r="603" spans="1:2" x14ac:dyDescent="0.25">
      <c r="A603" s="13"/>
      <c r="B603" s="13"/>
    </row>
    <row r="604" spans="1:2" x14ac:dyDescent="0.25">
      <c r="A604" s="13"/>
      <c r="B604" s="13"/>
    </row>
    <row r="605" spans="1:2" x14ac:dyDescent="0.25">
      <c r="A605" s="13"/>
      <c r="B605" s="13"/>
    </row>
    <row r="606" spans="1:2" x14ac:dyDescent="0.25">
      <c r="A606" s="13"/>
      <c r="B606" s="13"/>
    </row>
    <row r="607" spans="1:2" x14ac:dyDescent="0.25">
      <c r="A607" s="13"/>
      <c r="B607" s="13"/>
    </row>
    <row r="608" spans="1:2" x14ac:dyDescent="0.25">
      <c r="A608" s="13"/>
      <c r="B608" s="13"/>
    </row>
    <row r="609" spans="1:2" x14ac:dyDescent="0.25">
      <c r="A609" s="13"/>
      <c r="B609" s="13"/>
    </row>
    <row r="610" spans="1:2" x14ac:dyDescent="0.25">
      <c r="A610" s="13"/>
      <c r="B610" s="13"/>
    </row>
    <row r="611" spans="1:2" x14ac:dyDescent="0.25">
      <c r="A611" s="13"/>
      <c r="B611" s="13"/>
    </row>
    <row r="612" spans="1:2" x14ac:dyDescent="0.25">
      <c r="A612" s="13"/>
      <c r="B612" s="13"/>
    </row>
    <row r="613" spans="1:2" x14ac:dyDescent="0.25">
      <c r="A613" s="13"/>
      <c r="B613" s="13"/>
    </row>
    <row r="614" spans="1:2" x14ac:dyDescent="0.25">
      <c r="A614" s="13"/>
      <c r="B614" s="13"/>
    </row>
    <row r="615" spans="1:2" x14ac:dyDescent="0.25">
      <c r="A615" s="13"/>
      <c r="B615" s="13"/>
    </row>
    <row r="616" spans="1:2" x14ac:dyDescent="0.25">
      <c r="A616" s="13"/>
      <c r="B616" s="13"/>
    </row>
    <row r="617" spans="1:2" x14ac:dyDescent="0.25">
      <c r="A617" s="13"/>
      <c r="B617" s="13"/>
    </row>
    <row r="618" spans="1:2" x14ac:dyDescent="0.25">
      <c r="A618" s="13"/>
      <c r="B618" s="13"/>
    </row>
    <row r="619" spans="1:2" x14ac:dyDescent="0.25">
      <c r="A619" s="13"/>
      <c r="B619" s="13"/>
    </row>
    <row r="620" spans="1:2" x14ac:dyDescent="0.25">
      <c r="A620" s="13"/>
      <c r="B620" s="13"/>
    </row>
    <row r="621" spans="1:2" x14ac:dyDescent="0.25">
      <c r="A621" s="13"/>
      <c r="B621" s="13"/>
    </row>
    <row r="622" spans="1:2" x14ac:dyDescent="0.25">
      <c r="A622" s="13"/>
      <c r="B622" s="13"/>
    </row>
    <row r="623" spans="1:2" x14ac:dyDescent="0.25">
      <c r="A623" s="13"/>
      <c r="B623" s="13"/>
    </row>
    <row r="624" spans="1:2" x14ac:dyDescent="0.25">
      <c r="A624" s="13"/>
      <c r="B624" s="13"/>
    </row>
    <row r="625" spans="1:2" x14ac:dyDescent="0.25">
      <c r="A625" s="13"/>
      <c r="B625" s="13"/>
    </row>
    <row r="626" spans="1:2" x14ac:dyDescent="0.25">
      <c r="A626" s="13"/>
      <c r="B626" s="13"/>
    </row>
    <row r="627" spans="1:2" x14ac:dyDescent="0.25">
      <c r="A627" s="13"/>
      <c r="B627" s="13"/>
    </row>
    <row r="628" spans="1:2" x14ac:dyDescent="0.25">
      <c r="A628" s="13"/>
      <c r="B628" s="13"/>
    </row>
    <row r="629" spans="1:2" x14ac:dyDescent="0.25">
      <c r="A629" s="13"/>
      <c r="B629" s="13"/>
    </row>
    <row r="630" spans="1:2" x14ac:dyDescent="0.25">
      <c r="A630" s="13"/>
      <c r="B630" s="13"/>
    </row>
    <row r="631" spans="1:2" x14ac:dyDescent="0.25">
      <c r="A631" s="13"/>
      <c r="B631" s="13"/>
    </row>
    <row r="632" spans="1:2" x14ac:dyDescent="0.25">
      <c r="A632" s="13"/>
      <c r="B632" s="13"/>
    </row>
    <row r="633" spans="1:2" x14ac:dyDescent="0.25">
      <c r="A633" s="13"/>
      <c r="B633" s="13"/>
    </row>
    <row r="634" spans="1:2" x14ac:dyDescent="0.25">
      <c r="A634" s="13"/>
      <c r="B634" s="13"/>
    </row>
    <row r="635" spans="1:2" x14ac:dyDescent="0.25">
      <c r="A635" s="13"/>
      <c r="B635" s="13"/>
    </row>
    <row r="636" spans="1:2" x14ac:dyDescent="0.25">
      <c r="A636" s="13"/>
      <c r="B636" s="13"/>
    </row>
    <row r="637" spans="1:2" x14ac:dyDescent="0.25">
      <c r="A637" s="13"/>
      <c r="B637" s="13"/>
    </row>
    <row r="638" spans="1:2" x14ac:dyDescent="0.25">
      <c r="A638" s="13"/>
      <c r="B638" s="13"/>
    </row>
    <row r="639" spans="1:2" x14ac:dyDescent="0.25">
      <c r="A639" s="13"/>
      <c r="B639" s="13"/>
    </row>
    <row r="640" spans="1:2" x14ac:dyDescent="0.25">
      <c r="A640" s="13"/>
      <c r="B640" s="13"/>
    </row>
    <row r="641" spans="1:2" x14ac:dyDescent="0.25">
      <c r="A641" s="13"/>
      <c r="B641" s="13"/>
    </row>
    <row r="642" spans="1:2" x14ac:dyDescent="0.25">
      <c r="A642" s="13"/>
      <c r="B642" s="13"/>
    </row>
    <row r="643" spans="1:2" x14ac:dyDescent="0.25">
      <c r="A643" s="13"/>
      <c r="B643" s="13"/>
    </row>
    <row r="644" spans="1:2" x14ac:dyDescent="0.25">
      <c r="A644" s="13"/>
      <c r="B644" s="13"/>
    </row>
    <row r="645" spans="1:2" x14ac:dyDescent="0.25">
      <c r="A645" s="13"/>
      <c r="B645" s="13"/>
    </row>
    <row r="646" spans="1:2" x14ac:dyDescent="0.25">
      <c r="A646" s="13"/>
      <c r="B646" s="13"/>
    </row>
    <row r="647" spans="1:2" x14ac:dyDescent="0.25">
      <c r="A647" s="13"/>
      <c r="B647" s="13"/>
    </row>
    <row r="648" spans="1:2" x14ac:dyDescent="0.25">
      <c r="A648" s="13"/>
      <c r="B648" s="13"/>
    </row>
    <row r="649" spans="1:2" x14ac:dyDescent="0.25">
      <c r="A649" s="13"/>
      <c r="B649" s="13"/>
    </row>
    <row r="650" spans="1:2" x14ac:dyDescent="0.25">
      <c r="A650" s="13"/>
      <c r="B650" s="13"/>
    </row>
    <row r="651" spans="1:2" x14ac:dyDescent="0.25">
      <c r="A651" s="13"/>
      <c r="B651" s="13"/>
    </row>
    <row r="652" spans="1:2" x14ac:dyDescent="0.25">
      <c r="A652" s="13"/>
      <c r="B652" s="13"/>
    </row>
    <row r="653" spans="1:2" x14ac:dyDescent="0.25">
      <c r="A653" s="13"/>
      <c r="B653" s="13"/>
    </row>
    <row r="654" spans="1:2" x14ac:dyDescent="0.25">
      <c r="A654" s="13"/>
      <c r="B654" s="13"/>
    </row>
    <row r="655" spans="1:2" x14ac:dyDescent="0.25">
      <c r="A655" s="13"/>
      <c r="B655" s="13"/>
    </row>
    <row r="656" spans="1:2" x14ac:dyDescent="0.25">
      <c r="A656" s="13"/>
      <c r="B656" s="13"/>
    </row>
    <row r="657" spans="1:2" x14ac:dyDescent="0.25">
      <c r="A657" s="13"/>
      <c r="B657" s="13"/>
    </row>
    <row r="658" spans="1:2" x14ac:dyDescent="0.25">
      <c r="A658" s="13"/>
      <c r="B658" s="13"/>
    </row>
    <row r="659" spans="1:2" x14ac:dyDescent="0.25">
      <c r="A659" s="13"/>
      <c r="B659" s="13"/>
    </row>
    <row r="660" spans="1:2" x14ac:dyDescent="0.25">
      <c r="A660" s="13"/>
      <c r="B660" s="13"/>
    </row>
    <row r="661" spans="1:2" x14ac:dyDescent="0.25">
      <c r="A661" s="13"/>
      <c r="B661" s="13"/>
    </row>
    <row r="662" spans="1:2" x14ac:dyDescent="0.25">
      <c r="A662" s="13"/>
      <c r="B662" s="13"/>
    </row>
    <row r="663" spans="1:2" x14ac:dyDescent="0.25">
      <c r="A663" s="13"/>
      <c r="B663" s="13"/>
    </row>
    <row r="664" spans="1:2" x14ac:dyDescent="0.25">
      <c r="A664" s="13"/>
      <c r="B664" s="13"/>
    </row>
    <row r="665" spans="1:2" x14ac:dyDescent="0.25">
      <c r="A665" s="13"/>
      <c r="B665" s="13"/>
    </row>
    <row r="666" spans="1:2" x14ac:dyDescent="0.25">
      <c r="A666" s="13"/>
      <c r="B666" s="13"/>
    </row>
    <row r="667" spans="1:2" x14ac:dyDescent="0.25">
      <c r="A667" s="13"/>
      <c r="B667" s="13"/>
    </row>
    <row r="668" spans="1:2" x14ac:dyDescent="0.25">
      <c r="A668" s="13"/>
      <c r="B668" s="13"/>
    </row>
    <row r="669" spans="1:2" x14ac:dyDescent="0.25">
      <c r="A669" s="13"/>
      <c r="B669" s="13"/>
    </row>
    <row r="670" spans="1:2" x14ac:dyDescent="0.25">
      <c r="A670" s="13"/>
      <c r="B670" s="13"/>
    </row>
    <row r="671" spans="1:2" x14ac:dyDescent="0.25">
      <c r="A671" s="13"/>
      <c r="B671" s="13"/>
    </row>
    <row r="672" spans="1:2" x14ac:dyDescent="0.25">
      <c r="A672" s="13"/>
      <c r="B672" s="13"/>
    </row>
    <row r="673" spans="1:2" x14ac:dyDescent="0.25">
      <c r="A673" s="13"/>
      <c r="B673" s="13"/>
    </row>
    <row r="674" spans="1:2" x14ac:dyDescent="0.25">
      <c r="A674" s="13"/>
      <c r="B674" s="13"/>
    </row>
    <row r="675" spans="1:2" x14ac:dyDescent="0.25">
      <c r="A675" s="13"/>
      <c r="B675" s="13"/>
    </row>
    <row r="676" spans="1:2" x14ac:dyDescent="0.25">
      <c r="A676" s="13"/>
      <c r="B676" s="13"/>
    </row>
    <row r="677" spans="1:2" x14ac:dyDescent="0.25">
      <c r="A677" s="13"/>
      <c r="B677" s="13"/>
    </row>
    <row r="678" spans="1:2" x14ac:dyDescent="0.25">
      <c r="A678" s="13"/>
      <c r="B678" s="13"/>
    </row>
    <row r="679" spans="1:2" x14ac:dyDescent="0.25">
      <c r="A679" s="13"/>
      <c r="B679" s="13"/>
    </row>
    <row r="680" spans="1:2" x14ac:dyDescent="0.25">
      <c r="A680" s="13"/>
      <c r="B680" s="13"/>
    </row>
    <row r="681" spans="1:2" x14ac:dyDescent="0.25">
      <c r="A681" s="13"/>
      <c r="B681" s="13"/>
    </row>
    <row r="682" spans="1:2" x14ac:dyDescent="0.25">
      <c r="A682" s="13"/>
      <c r="B682" s="13"/>
    </row>
    <row r="683" spans="1:2" x14ac:dyDescent="0.25">
      <c r="A683" s="13"/>
      <c r="B683" s="13"/>
    </row>
    <row r="684" spans="1:2" x14ac:dyDescent="0.25">
      <c r="A684" s="13"/>
      <c r="B684" s="13"/>
    </row>
    <row r="685" spans="1:2" x14ac:dyDescent="0.25">
      <c r="A685" s="13"/>
      <c r="B685" s="13"/>
    </row>
    <row r="686" spans="1:2" x14ac:dyDescent="0.25">
      <c r="A686" s="13"/>
      <c r="B686" s="13"/>
    </row>
    <row r="687" spans="1:2" x14ac:dyDescent="0.25">
      <c r="A687" s="13"/>
      <c r="B687" s="13"/>
    </row>
    <row r="688" spans="1:2" x14ac:dyDescent="0.25">
      <c r="A688" s="13"/>
      <c r="B688" s="13"/>
    </row>
    <row r="689" spans="1:2" x14ac:dyDescent="0.25">
      <c r="A689" s="13"/>
      <c r="B689" s="13"/>
    </row>
    <row r="690" spans="1:2" x14ac:dyDescent="0.25">
      <c r="A690" s="13"/>
      <c r="B690" s="13"/>
    </row>
    <row r="691" spans="1:2" x14ac:dyDescent="0.25">
      <c r="A691" s="13"/>
      <c r="B691" s="13"/>
    </row>
    <row r="692" spans="1:2" x14ac:dyDescent="0.25">
      <c r="A692" s="13"/>
      <c r="B692" s="13"/>
    </row>
    <row r="693" spans="1:2" x14ac:dyDescent="0.25">
      <c r="A693" s="13"/>
      <c r="B693" s="13"/>
    </row>
    <row r="694" spans="1:2" x14ac:dyDescent="0.25">
      <c r="A694" s="13"/>
      <c r="B694" s="13"/>
    </row>
    <row r="695" spans="1:2" x14ac:dyDescent="0.25">
      <c r="A695" s="13"/>
      <c r="B695" s="13"/>
    </row>
    <row r="696" spans="1:2" x14ac:dyDescent="0.25">
      <c r="A696" s="13"/>
      <c r="B696" s="13"/>
    </row>
    <row r="697" spans="1:2" x14ac:dyDescent="0.25">
      <c r="A697" s="13"/>
      <c r="B697" s="13"/>
    </row>
    <row r="698" spans="1:2" x14ac:dyDescent="0.25">
      <c r="A698" s="13"/>
      <c r="B698" s="13"/>
    </row>
    <row r="699" spans="1:2" x14ac:dyDescent="0.25">
      <c r="A699" s="13"/>
      <c r="B699" s="13"/>
    </row>
    <row r="700" spans="1:2" x14ac:dyDescent="0.25">
      <c r="A700" s="13"/>
      <c r="B700" s="13"/>
    </row>
    <row r="701" spans="1:2" x14ac:dyDescent="0.25">
      <c r="A701" s="13"/>
      <c r="B701" s="13"/>
    </row>
    <row r="702" spans="1:2" x14ac:dyDescent="0.25">
      <c r="A702" s="13"/>
      <c r="B702" s="13"/>
    </row>
    <row r="703" spans="1:2" x14ac:dyDescent="0.25">
      <c r="A703" s="13"/>
      <c r="B703" s="13"/>
    </row>
    <row r="704" spans="1:2" x14ac:dyDescent="0.25">
      <c r="A704" s="13"/>
      <c r="B704" s="13"/>
    </row>
    <row r="705" spans="1:2" x14ac:dyDescent="0.25">
      <c r="A705" s="13"/>
      <c r="B705" s="13"/>
    </row>
    <row r="706" spans="1:2" x14ac:dyDescent="0.25">
      <c r="A706" s="13"/>
      <c r="B706" s="13"/>
    </row>
    <row r="707" spans="1:2" x14ac:dyDescent="0.25">
      <c r="A707" s="13"/>
      <c r="B707" s="13"/>
    </row>
    <row r="708" spans="1:2" x14ac:dyDescent="0.25">
      <c r="A708" s="13"/>
      <c r="B708" s="13"/>
    </row>
    <row r="709" spans="1:2" x14ac:dyDescent="0.25">
      <c r="A709" s="13"/>
      <c r="B709" s="13"/>
    </row>
    <row r="710" spans="1:2" x14ac:dyDescent="0.25">
      <c r="A710" s="13"/>
      <c r="B710" s="13"/>
    </row>
    <row r="711" spans="1:2" x14ac:dyDescent="0.25">
      <c r="A711" s="13"/>
      <c r="B711" s="13"/>
    </row>
    <row r="712" spans="1:2" x14ac:dyDescent="0.25">
      <c r="A712" s="13"/>
      <c r="B712" s="13"/>
    </row>
    <row r="713" spans="1:2" x14ac:dyDescent="0.25">
      <c r="A713" s="13"/>
      <c r="B713" s="13"/>
    </row>
    <row r="714" spans="1:2" x14ac:dyDescent="0.25">
      <c r="A714" s="13"/>
      <c r="B714" s="13"/>
    </row>
    <row r="715" spans="1:2" x14ac:dyDescent="0.25">
      <c r="A715" s="13"/>
      <c r="B715" s="13"/>
    </row>
    <row r="716" spans="1:2" x14ac:dyDescent="0.25">
      <c r="A716" s="13"/>
      <c r="B716" s="13"/>
    </row>
    <row r="717" spans="1:2" x14ac:dyDescent="0.25">
      <c r="A717" s="13"/>
      <c r="B717" s="13"/>
    </row>
    <row r="718" spans="1:2" x14ac:dyDescent="0.25">
      <c r="A718" s="13"/>
      <c r="B718" s="13"/>
    </row>
    <row r="719" spans="1:2" x14ac:dyDescent="0.25">
      <c r="A719" s="13"/>
      <c r="B719" s="13"/>
    </row>
    <row r="720" spans="1:2" x14ac:dyDescent="0.25">
      <c r="A720" s="13"/>
      <c r="B720" s="13"/>
    </row>
    <row r="721" spans="1:2" x14ac:dyDescent="0.25">
      <c r="A721" s="13"/>
      <c r="B721" s="13"/>
    </row>
    <row r="722" spans="1:2" x14ac:dyDescent="0.25">
      <c r="A722" s="13"/>
      <c r="B722" s="13"/>
    </row>
    <row r="723" spans="1:2" x14ac:dyDescent="0.25">
      <c r="A723" s="13"/>
      <c r="B723" s="13"/>
    </row>
    <row r="724" spans="1:2" x14ac:dyDescent="0.25">
      <c r="A724" s="13"/>
      <c r="B724" s="13"/>
    </row>
    <row r="725" spans="1:2" x14ac:dyDescent="0.25">
      <c r="A725" s="13"/>
      <c r="B725" s="13"/>
    </row>
    <row r="726" spans="1:2" x14ac:dyDescent="0.25">
      <c r="A726" s="13"/>
      <c r="B726" s="13"/>
    </row>
    <row r="727" spans="1:2" x14ac:dyDescent="0.25">
      <c r="A727" s="13"/>
      <c r="B727" s="13"/>
    </row>
    <row r="728" spans="1:2" x14ac:dyDescent="0.25">
      <c r="A728" s="13"/>
      <c r="B728" s="13"/>
    </row>
    <row r="729" spans="1:2" x14ac:dyDescent="0.25">
      <c r="A729" s="13"/>
      <c r="B729" s="13"/>
    </row>
    <row r="730" spans="1:2" x14ac:dyDescent="0.25">
      <c r="A730" s="13"/>
      <c r="B730" s="13"/>
    </row>
    <row r="731" spans="1:2" x14ac:dyDescent="0.25">
      <c r="A731" s="13"/>
      <c r="B731" s="13"/>
    </row>
    <row r="732" spans="1:2" x14ac:dyDescent="0.25">
      <c r="A732" s="13"/>
      <c r="B732" s="13"/>
    </row>
    <row r="733" spans="1:2" x14ac:dyDescent="0.25">
      <c r="A733" s="13"/>
      <c r="B733" s="13"/>
    </row>
    <row r="734" spans="1:2" x14ac:dyDescent="0.25">
      <c r="A734" s="13"/>
      <c r="B734" s="13"/>
    </row>
    <row r="735" spans="1:2" x14ac:dyDescent="0.25">
      <c r="A735" s="13"/>
      <c r="B735" s="13"/>
    </row>
    <row r="736" spans="1:2" x14ac:dyDescent="0.25">
      <c r="A736" s="13"/>
      <c r="B736" s="13"/>
    </row>
    <row r="737" spans="1:2" x14ac:dyDescent="0.25">
      <c r="A737" s="13"/>
      <c r="B737" s="13"/>
    </row>
    <row r="738" spans="1:2" x14ac:dyDescent="0.25">
      <c r="A738" s="13"/>
      <c r="B738" s="13"/>
    </row>
    <row r="739" spans="1:2" x14ac:dyDescent="0.25">
      <c r="A739" s="13"/>
      <c r="B739" s="13"/>
    </row>
    <row r="740" spans="1:2" x14ac:dyDescent="0.25">
      <c r="A740" s="13"/>
      <c r="B740" s="13"/>
    </row>
    <row r="741" spans="1:2" x14ac:dyDescent="0.25">
      <c r="A741" s="13"/>
      <c r="B741" s="13"/>
    </row>
    <row r="742" spans="1:2" x14ac:dyDescent="0.25">
      <c r="A742" s="13"/>
      <c r="B742" s="13"/>
    </row>
    <row r="743" spans="1:2" x14ac:dyDescent="0.25">
      <c r="A743" s="13"/>
      <c r="B743" s="13"/>
    </row>
    <row r="744" spans="1:2" x14ac:dyDescent="0.25">
      <c r="A744" s="13"/>
      <c r="B744" s="13"/>
    </row>
    <row r="745" spans="1:2" x14ac:dyDescent="0.25">
      <c r="A745" s="13"/>
      <c r="B745" s="13"/>
    </row>
    <row r="746" spans="1:2" x14ac:dyDescent="0.25">
      <c r="A746" s="13"/>
      <c r="B746" s="13"/>
    </row>
    <row r="747" spans="1:2" x14ac:dyDescent="0.25">
      <c r="A747" s="13"/>
      <c r="B747" s="13"/>
    </row>
    <row r="748" spans="1:2" x14ac:dyDescent="0.25">
      <c r="A748" s="13"/>
      <c r="B748" s="13"/>
    </row>
    <row r="749" spans="1:2" x14ac:dyDescent="0.25">
      <c r="A749" s="13"/>
      <c r="B749" s="13"/>
    </row>
    <row r="750" spans="1:2" x14ac:dyDescent="0.25">
      <c r="A750" s="13"/>
      <c r="B750" s="13"/>
    </row>
    <row r="751" spans="1:2" x14ac:dyDescent="0.25">
      <c r="A751" s="13"/>
      <c r="B751" s="13"/>
    </row>
    <row r="752" spans="1:2" x14ac:dyDescent="0.25">
      <c r="A752" s="13"/>
      <c r="B752" s="13"/>
    </row>
    <row r="753" spans="1:2" x14ac:dyDescent="0.25">
      <c r="A753" s="13"/>
      <c r="B753" s="13"/>
    </row>
    <row r="754" spans="1:2" x14ac:dyDescent="0.25">
      <c r="A754" s="13"/>
      <c r="B754" s="13"/>
    </row>
    <row r="755" spans="1:2" x14ac:dyDescent="0.25">
      <c r="A755" s="13"/>
      <c r="B755" s="13"/>
    </row>
    <row r="756" spans="1:2" x14ac:dyDescent="0.25">
      <c r="A756" s="13"/>
      <c r="B756" s="13"/>
    </row>
    <row r="757" spans="1:2" x14ac:dyDescent="0.25">
      <c r="A757" s="13"/>
      <c r="B757" s="13"/>
    </row>
    <row r="758" spans="1:2" x14ac:dyDescent="0.25">
      <c r="A758" s="13"/>
      <c r="B758" s="13"/>
    </row>
    <row r="759" spans="1:2" x14ac:dyDescent="0.25">
      <c r="A759" s="13"/>
      <c r="B759" s="13"/>
    </row>
    <row r="760" spans="1:2" x14ac:dyDescent="0.25">
      <c r="A760" s="13"/>
      <c r="B760" s="13"/>
    </row>
    <row r="761" spans="1:2" x14ac:dyDescent="0.25">
      <c r="A761" s="13"/>
      <c r="B761" s="13"/>
    </row>
    <row r="762" spans="1:2" x14ac:dyDescent="0.25">
      <c r="A762" s="13"/>
      <c r="B762" s="13"/>
    </row>
    <row r="763" spans="1:2" x14ac:dyDescent="0.25">
      <c r="A763" s="13"/>
      <c r="B763" s="13"/>
    </row>
    <row r="764" spans="1:2" x14ac:dyDescent="0.25">
      <c r="A764" s="13"/>
      <c r="B764" s="13"/>
    </row>
    <row r="765" spans="1:2" x14ac:dyDescent="0.25">
      <c r="A765" s="13"/>
      <c r="B765" s="13"/>
    </row>
    <row r="766" spans="1:2" x14ac:dyDescent="0.25">
      <c r="A766" s="13"/>
      <c r="B766" s="13"/>
    </row>
    <row r="767" spans="1:2" x14ac:dyDescent="0.25">
      <c r="A767" s="13"/>
      <c r="B767" s="13"/>
    </row>
    <row r="768" spans="1:2" x14ac:dyDescent="0.25">
      <c r="A768" s="13"/>
      <c r="B768" s="13"/>
    </row>
    <row r="769" spans="1:2" x14ac:dyDescent="0.25">
      <c r="A769" s="13"/>
      <c r="B769" s="13"/>
    </row>
    <row r="770" spans="1:2" x14ac:dyDescent="0.25">
      <c r="A770" s="13"/>
      <c r="B770" s="13"/>
    </row>
    <row r="771" spans="1:2" x14ac:dyDescent="0.25">
      <c r="A771" s="13"/>
      <c r="B771" s="13"/>
    </row>
    <row r="772" spans="1:2" x14ac:dyDescent="0.25">
      <c r="A772" s="13"/>
      <c r="B772" s="13"/>
    </row>
    <row r="773" spans="1:2" x14ac:dyDescent="0.25">
      <c r="A773" s="13"/>
      <c r="B773" s="13"/>
    </row>
    <row r="774" spans="1:2" x14ac:dyDescent="0.25">
      <c r="A774" s="13"/>
      <c r="B774" s="13"/>
    </row>
    <row r="775" spans="1:2" x14ac:dyDescent="0.25">
      <c r="A775" s="13"/>
      <c r="B775" s="13"/>
    </row>
    <row r="776" spans="1:2" x14ac:dyDescent="0.25">
      <c r="A776" s="13"/>
      <c r="B776" s="13"/>
    </row>
    <row r="777" spans="1:2" x14ac:dyDescent="0.25">
      <c r="A777" s="13"/>
      <c r="B777" s="13"/>
    </row>
    <row r="778" spans="1:2" x14ac:dyDescent="0.25">
      <c r="A778" s="13"/>
      <c r="B778" s="13"/>
    </row>
    <row r="779" spans="1:2" x14ac:dyDescent="0.25">
      <c r="A779" s="13"/>
      <c r="B779" s="13"/>
    </row>
    <row r="780" spans="1:2" x14ac:dyDescent="0.25">
      <c r="A780" s="13"/>
      <c r="B780" s="13"/>
    </row>
    <row r="781" spans="1:2" x14ac:dyDescent="0.25">
      <c r="A781" s="13"/>
      <c r="B781" s="13"/>
    </row>
    <row r="782" spans="1:2" x14ac:dyDescent="0.25">
      <c r="A782" s="13"/>
      <c r="B782" s="13"/>
    </row>
    <row r="783" spans="1:2" x14ac:dyDescent="0.25">
      <c r="A783" s="13"/>
      <c r="B783" s="13"/>
    </row>
    <row r="784" spans="1:2" x14ac:dyDescent="0.25">
      <c r="A784" s="13"/>
      <c r="B784" s="13"/>
    </row>
    <row r="785" spans="1:2" x14ac:dyDescent="0.25">
      <c r="A785" s="13"/>
      <c r="B785" s="13"/>
    </row>
    <row r="786" spans="1:2" x14ac:dyDescent="0.25">
      <c r="A786" s="13"/>
      <c r="B786" s="13"/>
    </row>
    <row r="787" spans="1:2" x14ac:dyDescent="0.25">
      <c r="A787" s="13"/>
      <c r="B787" s="13"/>
    </row>
    <row r="788" spans="1:2" x14ac:dyDescent="0.25">
      <c r="A788" s="13"/>
      <c r="B788" s="13"/>
    </row>
    <row r="789" spans="1:2" x14ac:dyDescent="0.25">
      <c r="A789" s="13"/>
      <c r="B789" s="13"/>
    </row>
    <row r="790" spans="1:2" x14ac:dyDescent="0.25">
      <c r="A790" s="13"/>
      <c r="B790" s="13"/>
    </row>
    <row r="791" spans="1:2" x14ac:dyDescent="0.25">
      <c r="A791" s="13"/>
      <c r="B791" s="13"/>
    </row>
    <row r="792" spans="1:2" x14ac:dyDescent="0.25">
      <c r="A792" s="13"/>
      <c r="B792" s="13"/>
    </row>
    <row r="793" spans="1:2" x14ac:dyDescent="0.25">
      <c r="A793" s="13"/>
      <c r="B793" s="13"/>
    </row>
    <row r="794" spans="1:2" x14ac:dyDescent="0.25">
      <c r="A794" s="13"/>
      <c r="B794" s="13"/>
    </row>
    <row r="795" spans="1:2" x14ac:dyDescent="0.25">
      <c r="A795" s="13"/>
      <c r="B795" s="13"/>
    </row>
    <row r="796" spans="1:2" x14ac:dyDescent="0.25">
      <c r="A796" s="13"/>
      <c r="B796" s="13"/>
    </row>
    <row r="797" spans="1:2" x14ac:dyDescent="0.25">
      <c r="A797" s="13"/>
      <c r="B797" s="13"/>
    </row>
    <row r="798" spans="1:2" x14ac:dyDescent="0.25">
      <c r="A798" s="13"/>
      <c r="B798" s="13"/>
    </row>
    <row r="799" spans="1:2" x14ac:dyDescent="0.25">
      <c r="A799" s="13"/>
      <c r="B799" s="13"/>
    </row>
    <row r="800" spans="1:2" x14ac:dyDescent="0.25">
      <c r="A800" s="13"/>
      <c r="B800" s="13"/>
    </row>
    <row r="801" spans="1:2" x14ac:dyDescent="0.25">
      <c r="A801" s="13"/>
      <c r="B801" s="13"/>
    </row>
    <row r="802" spans="1:2" x14ac:dyDescent="0.25">
      <c r="A802" s="13"/>
      <c r="B802" s="13"/>
    </row>
    <row r="803" spans="1:2" x14ac:dyDescent="0.25">
      <c r="A803" s="13"/>
      <c r="B803" s="13"/>
    </row>
    <row r="804" spans="1:2" x14ac:dyDescent="0.25">
      <c r="A804" s="13"/>
      <c r="B804" s="13"/>
    </row>
    <row r="805" spans="1:2" x14ac:dyDescent="0.25">
      <c r="A805" s="13"/>
      <c r="B805" s="13"/>
    </row>
    <row r="806" spans="1:2" x14ac:dyDescent="0.25">
      <c r="A806" s="13"/>
      <c r="B806" s="13"/>
    </row>
    <row r="807" spans="1:2" x14ac:dyDescent="0.25">
      <c r="A807" s="13"/>
      <c r="B807" s="13"/>
    </row>
    <row r="808" spans="1:2" x14ac:dyDescent="0.25">
      <c r="A808" s="13"/>
      <c r="B808" s="13"/>
    </row>
    <row r="809" spans="1:2" x14ac:dyDescent="0.25">
      <c r="A809" s="13"/>
      <c r="B809" s="13"/>
    </row>
    <row r="810" spans="1:2" x14ac:dyDescent="0.25">
      <c r="A810" s="13"/>
      <c r="B810" s="13"/>
    </row>
    <row r="811" spans="1:2" x14ac:dyDescent="0.25">
      <c r="A811" s="13"/>
      <c r="B811" s="13"/>
    </row>
    <row r="812" spans="1:2" x14ac:dyDescent="0.25">
      <c r="A812" s="13"/>
      <c r="B812" s="13"/>
    </row>
    <row r="813" spans="1:2" x14ac:dyDescent="0.25">
      <c r="A813" s="13"/>
      <c r="B813" s="13"/>
    </row>
    <row r="814" spans="1:2" x14ac:dyDescent="0.25">
      <c r="A814" s="13"/>
      <c r="B814" s="13"/>
    </row>
    <row r="815" spans="1:2" x14ac:dyDescent="0.25">
      <c r="A815" s="13"/>
      <c r="B815" s="13"/>
    </row>
    <row r="816" spans="1:2" x14ac:dyDescent="0.25">
      <c r="A816" s="13"/>
      <c r="B816" s="13"/>
    </row>
    <row r="817" spans="1:2" x14ac:dyDescent="0.25">
      <c r="A817" s="13"/>
      <c r="B817" s="13"/>
    </row>
    <row r="818" spans="1:2" x14ac:dyDescent="0.25">
      <c r="A818" s="13"/>
      <c r="B818" s="13"/>
    </row>
    <row r="819" spans="1:2" x14ac:dyDescent="0.25">
      <c r="A819" s="13"/>
      <c r="B819" s="13"/>
    </row>
    <row r="820" spans="1:2" x14ac:dyDescent="0.25">
      <c r="A820" s="13"/>
      <c r="B820" s="13"/>
    </row>
    <row r="821" spans="1:2" x14ac:dyDescent="0.25">
      <c r="A821" s="13"/>
      <c r="B821" s="13"/>
    </row>
    <row r="822" spans="1:2" x14ac:dyDescent="0.25">
      <c r="A822" s="13"/>
      <c r="B822" s="13"/>
    </row>
    <row r="823" spans="1:2" x14ac:dyDescent="0.25">
      <c r="A823" s="13"/>
      <c r="B823" s="13"/>
    </row>
    <row r="824" spans="1:2" x14ac:dyDescent="0.25">
      <c r="A824" s="13"/>
      <c r="B824" s="13"/>
    </row>
    <row r="825" spans="1:2" x14ac:dyDescent="0.25">
      <c r="A825" s="13"/>
      <c r="B825" s="13"/>
    </row>
    <row r="826" spans="1:2" x14ac:dyDescent="0.25">
      <c r="A826" s="13"/>
      <c r="B826" s="13"/>
    </row>
    <row r="827" spans="1:2" x14ac:dyDescent="0.25">
      <c r="A827" s="13"/>
      <c r="B827" s="13"/>
    </row>
    <row r="828" spans="1:2" x14ac:dyDescent="0.25">
      <c r="A828" s="13"/>
      <c r="B828" s="13"/>
    </row>
    <row r="829" spans="1:2" x14ac:dyDescent="0.25">
      <c r="A829" s="13"/>
      <c r="B829" s="13"/>
    </row>
    <row r="830" spans="1:2" x14ac:dyDescent="0.25">
      <c r="A830" s="13"/>
      <c r="B830" s="13"/>
    </row>
    <row r="831" spans="1:2" x14ac:dyDescent="0.25">
      <c r="A831" s="13"/>
      <c r="B831" s="13"/>
    </row>
    <row r="832" spans="1:2" x14ac:dyDescent="0.25">
      <c r="A832" s="13"/>
      <c r="B832" s="13"/>
    </row>
    <row r="833" spans="1:2" x14ac:dyDescent="0.25">
      <c r="A833" s="13"/>
      <c r="B833" s="13"/>
    </row>
    <row r="834" spans="1:2" x14ac:dyDescent="0.25">
      <c r="A834" s="13"/>
      <c r="B834" s="13"/>
    </row>
    <row r="835" spans="1:2" x14ac:dyDescent="0.25">
      <c r="A835" s="13"/>
      <c r="B835" s="13"/>
    </row>
    <row r="836" spans="1:2" x14ac:dyDescent="0.25">
      <c r="A836" s="13"/>
      <c r="B836" s="13"/>
    </row>
    <row r="837" spans="1:2" x14ac:dyDescent="0.25">
      <c r="A837" s="13"/>
      <c r="B837" s="13"/>
    </row>
    <row r="838" spans="1:2" x14ac:dyDescent="0.25">
      <c r="A838" s="13"/>
      <c r="B838" s="13"/>
    </row>
    <row r="839" spans="1:2" x14ac:dyDescent="0.25">
      <c r="A839" s="13"/>
      <c r="B839" s="13"/>
    </row>
    <row r="840" spans="1:2" x14ac:dyDescent="0.25">
      <c r="A840" s="13"/>
      <c r="B840" s="13"/>
    </row>
    <row r="841" spans="1:2" x14ac:dyDescent="0.25">
      <c r="A841" s="13"/>
      <c r="B841" s="13"/>
    </row>
    <row r="842" spans="1:2" x14ac:dyDescent="0.25">
      <c r="A842" s="13"/>
      <c r="B842" s="13"/>
    </row>
    <row r="843" spans="1:2" x14ac:dyDescent="0.25">
      <c r="A843" s="13"/>
      <c r="B843" s="13"/>
    </row>
    <row r="844" spans="1:2" x14ac:dyDescent="0.25">
      <c r="A844" s="13"/>
      <c r="B844" s="13"/>
    </row>
    <row r="845" spans="1:2" x14ac:dyDescent="0.25">
      <c r="A845" s="13"/>
      <c r="B845" s="13"/>
    </row>
    <row r="846" spans="1:2" x14ac:dyDescent="0.25">
      <c r="A846" s="13"/>
      <c r="B846" s="13"/>
    </row>
    <row r="847" spans="1:2" x14ac:dyDescent="0.25">
      <c r="A847" s="13"/>
      <c r="B847" s="13"/>
    </row>
    <row r="848" spans="1:2" x14ac:dyDescent="0.25">
      <c r="A848" s="13"/>
      <c r="B848" s="13"/>
    </row>
    <row r="849" spans="1:2" x14ac:dyDescent="0.25">
      <c r="A849" s="13"/>
      <c r="B849" s="13"/>
    </row>
    <row r="850" spans="1:2" x14ac:dyDescent="0.25">
      <c r="A850" s="13"/>
      <c r="B850" s="13"/>
    </row>
    <row r="851" spans="1:2" x14ac:dyDescent="0.25">
      <c r="A851" s="13"/>
      <c r="B851" s="13"/>
    </row>
    <row r="852" spans="1:2" x14ac:dyDescent="0.25">
      <c r="A852" s="13"/>
      <c r="B852" s="13"/>
    </row>
    <row r="853" spans="1:2" x14ac:dyDescent="0.25">
      <c r="A853" s="13"/>
      <c r="B853" s="13"/>
    </row>
    <row r="854" spans="1:2" x14ac:dyDescent="0.25">
      <c r="A854" s="13"/>
      <c r="B854" s="13"/>
    </row>
    <row r="855" spans="1:2" x14ac:dyDescent="0.25">
      <c r="A855" s="13"/>
      <c r="B855" s="13"/>
    </row>
    <row r="856" spans="1:2" x14ac:dyDescent="0.25">
      <c r="A856" s="13"/>
      <c r="B856" s="13"/>
    </row>
    <row r="857" spans="1:2" x14ac:dyDescent="0.25">
      <c r="A857" s="13"/>
      <c r="B857" s="13"/>
    </row>
    <row r="858" spans="1:2" x14ac:dyDescent="0.25">
      <c r="A858" s="13"/>
      <c r="B858" s="13"/>
    </row>
    <row r="859" spans="1:2" x14ac:dyDescent="0.25">
      <c r="A859" s="13"/>
      <c r="B859" s="13"/>
    </row>
    <row r="860" spans="1:2" x14ac:dyDescent="0.25">
      <c r="A860" s="13"/>
      <c r="B860" s="13"/>
    </row>
    <row r="861" spans="1:2" x14ac:dyDescent="0.25">
      <c r="A861" s="13"/>
      <c r="B861" s="13"/>
    </row>
    <row r="862" spans="1:2" x14ac:dyDescent="0.25">
      <c r="A862" s="13"/>
      <c r="B862" s="13"/>
    </row>
    <row r="863" spans="1:2" x14ac:dyDescent="0.25">
      <c r="A863" s="13"/>
      <c r="B863" s="13"/>
    </row>
    <row r="864" spans="1:2" x14ac:dyDescent="0.25">
      <c r="A864" s="13"/>
      <c r="B864" s="13"/>
    </row>
    <row r="865" spans="1:2" x14ac:dyDescent="0.25">
      <c r="A865" s="13"/>
      <c r="B865" s="13"/>
    </row>
    <row r="866" spans="1:2" x14ac:dyDescent="0.25">
      <c r="A866" s="13"/>
      <c r="B866" s="13"/>
    </row>
    <row r="867" spans="1:2" x14ac:dyDescent="0.25">
      <c r="A867" s="13"/>
      <c r="B867" s="13"/>
    </row>
    <row r="868" spans="1:2" x14ac:dyDescent="0.25">
      <c r="A868" s="13"/>
      <c r="B868" s="13"/>
    </row>
    <row r="869" spans="1:2" x14ac:dyDescent="0.25">
      <c r="A869" s="13"/>
      <c r="B869" s="13"/>
    </row>
    <row r="870" spans="1:2" x14ac:dyDescent="0.25">
      <c r="A870" s="13"/>
      <c r="B870" s="13"/>
    </row>
    <row r="871" spans="1:2" x14ac:dyDescent="0.25">
      <c r="A871" s="13"/>
      <c r="B871" s="13"/>
    </row>
    <row r="872" spans="1:2" x14ac:dyDescent="0.25">
      <c r="A872" s="13"/>
      <c r="B872" s="13"/>
    </row>
    <row r="873" spans="1:2" x14ac:dyDescent="0.25">
      <c r="A873" s="13"/>
      <c r="B873" s="13"/>
    </row>
    <row r="874" spans="1:2" x14ac:dyDescent="0.25">
      <c r="A874" s="13"/>
      <c r="B874" s="13"/>
    </row>
    <row r="875" spans="1:2" x14ac:dyDescent="0.25">
      <c r="A875" s="13"/>
      <c r="B875" s="13"/>
    </row>
    <row r="876" spans="1:2" x14ac:dyDescent="0.25">
      <c r="A876" s="13"/>
      <c r="B876" s="13"/>
    </row>
    <row r="877" spans="1:2" x14ac:dyDescent="0.25">
      <c r="A877" s="13"/>
      <c r="B877" s="13"/>
    </row>
    <row r="878" spans="1:2" x14ac:dyDescent="0.25">
      <c r="A878" s="13"/>
      <c r="B878" s="13"/>
    </row>
    <row r="879" spans="1:2" x14ac:dyDescent="0.25">
      <c r="A879" s="13"/>
      <c r="B879" s="13"/>
    </row>
    <row r="880" spans="1:2" x14ac:dyDescent="0.25">
      <c r="A880" s="13"/>
      <c r="B880" s="13"/>
    </row>
    <row r="881" spans="1:2" x14ac:dyDescent="0.25">
      <c r="A881" s="13"/>
      <c r="B881" s="13"/>
    </row>
    <row r="882" spans="1:2" x14ac:dyDescent="0.25">
      <c r="A882" s="13"/>
      <c r="B882" s="13"/>
    </row>
    <row r="883" spans="1:2" x14ac:dyDescent="0.25">
      <c r="A883" s="13"/>
      <c r="B883" s="13"/>
    </row>
    <row r="884" spans="1:2" x14ac:dyDescent="0.25">
      <c r="A884" s="13"/>
      <c r="B884" s="13"/>
    </row>
    <row r="885" spans="1:2" x14ac:dyDescent="0.25">
      <c r="A885" s="13"/>
      <c r="B885" s="13"/>
    </row>
    <row r="886" spans="1:2" x14ac:dyDescent="0.25">
      <c r="A886" s="13"/>
      <c r="B886" s="13"/>
    </row>
    <row r="887" spans="1:2" x14ac:dyDescent="0.25">
      <c r="A887" s="13"/>
      <c r="B887" s="13"/>
    </row>
    <row r="888" spans="1:2" x14ac:dyDescent="0.25">
      <c r="A888" s="13"/>
      <c r="B888" s="13"/>
    </row>
    <row r="889" spans="1:2" x14ac:dyDescent="0.25">
      <c r="A889" s="13"/>
      <c r="B889" s="13"/>
    </row>
    <row r="890" spans="1:2" x14ac:dyDescent="0.25">
      <c r="A890" s="13"/>
      <c r="B890" s="13"/>
    </row>
    <row r="891" spans="1:2" x14ac:dyDescent="0.25">
      <c r="A891" s="13"/>
      <c r="B891" s="13"/>
    </row>
    <row r="892" spans="1:2" x14ac:dyDescent="0.25">
      <c r="A892" s="13"/>
      <c r="B892" s="13"/>
    </row>
    <row r="893" spans="1:2" x14ac:dyDescent="0.25">
      <c r="A893" s="13"/>
      <c r="B893" s="13"/>
    </row>
    <row r="894" spans="1:2" x14ac:dyDescent="0.25">
      <c r="A894" s="13"/>
      <c r="B894" s="13"/>
    </row>
    <row r="895" spans="1:2" x14ac:dyDescent="0.25">
      <c r="A895" s="13"/>
      <c r="B895" s="13"/>
    </row>
    <row r="896" spans="1:2" x14ac:dyDescent="0.25">
      <c r="A896" s="13"/>
      <c r="B896" s="13"/>
    </row>
    <row r="897" spans="1:2" x14ac:dyDescent="0.25">
      <c r="A897" s="13"/>
      <c r="B897" s="13"/>
    </row>
    <row r="898" spans="1:2" x14ac:dyDescent="0.25">
      <c r="A898" s="13"/>
      <c r="B898" s="13"/>
    </row>
    <row r="899" spans="1:2" x14ac:dyDescent="0.25">
      <c r="A899" s="13"/>
      <c r="B899" s="13"/>
    </row>
    <row r="900" spans="1:2" x14ac:dyDescent="0.25">
      <c r="A900" s="13"/>
      <c r="B900" s="13"/>
    </row>
    <row r="901" spans="1:2" x14ac:dyDescent="0.25">
      <c r="A901" s="13"/>
      <c r="B901" s="13"/>
    </row>
    <row r="902" spans="1:2" x14ac:dyDescent="0.25">
      <c r="A902" s="13"/>
      <c r="B902" s="13"/>
    </row>
    <row r="903" spans="1:2" x14ac:dyDescent="0.25">
      <c r="A903" s="13"/>
      <c r="B903" s="13"/>
    </row>
    <row r="904" spans="1:2" x14ac:dyDescent="0.25">
      <c r="A904" s="13"/>
      <c r="B904" s="13"/>
    </row>
    <row r="905" spans="1:2" x14ac:dyDescent="0.25">
      <c r="A905" s="13"/>
      <c r="B905" s="13"/>
    </row>
    <row r="906" spans="1:2" x14ac:dyDescent="0.25">
      <c r="A906" s="13"/>
      <c r="B906" s="13"/>
    </row>
    <row r="907" spans="1:2" x14ac:dyDescent="0.25">
      <c r="A907" s="13"/>
      <c r="B907" s="13"/>
    </row>
    <row r="908" spans="1:2" x14ac:dyDescent="0.25">
      <c r="A908" s="13"/>
      <c r="B908" s="13"/>
    </row>
    <row r="909" spans="1:2" x14ac:dyDescent="0.25">
      <c r="A909" s="13"/>
      <c r="B909" s="13"/>
    </row>
    <row r="910" spans="1:2" x14ac:dyDescent="0.25">
      <c r="A910" s="13"/>
      <c r="B910" s="13"/>
    </row>
    <row r="911" spans="1:2" x14ac:dyDescent="0.25">
      <c r="A911" s="13"/>
      <c r="B911" s="13"/>
    </row>
    <row r="912" spans="1:2" x14ac:dyDescent="0.25">
      <c r="A912" s="13"/>
      <c r="B912" s="13"/>
    </row>
    <row r="913" spans="1:2" x14ac:dyDescent="0.25">
      <c r="A913" s="13"/>
      <c r="B913" s="13"/>
    </row>
    <row r="914" spans="1:2" x14ac:dyDescent="0.25">
      <c r="A914" s="13"/>
      <c r="B914" s="13"/>
    </row>
    <row r="915" spans="1:2" x14ac:dyDescent="0.25">
      <c r="A915" s="13"/>
      <c r="B915" s="13"/>
    </row>
    <row r="916" spans="1:2" x14ac:dyDescent="0.25">
      <c r="A916" s="13"/>
      <c r="B916" s="13"/>
    </row>
    <row r="917" spans="1:2" x14ac:dyDescent="0.25">
      <c r="A917" s="13"/>
      <c r="B917" s="13"/>
    </row>
    <row r="918" spans="1:2" x14ac:dyDescent="0.25">
      <c r="A918" s="13"/>
      <c r="B918" s="13"/>
    </row>
    <row r="919" spans="1:2" x14ac:dyDescent="0.25">
      <c r="A919" s="13"/>
      <c r="B919" s="13"/>
    </row>
    <row r="920" spans="1:2" x14ac:dyDescent="0.25">
      <c r="A920" s="13"/>
      <c r="B920" s="13"/>
    </row>
    <row r="921" spans="1:2" x14ac:dyDescent="0.25">
      <c r="A921" s="13"/>
      <c r="B921" s="13"/>
    </row>
    <row r="922" spans="1:2" x14ac:dyDescent="0.25">
      <c r="A922" s="13"/>
      <c r="B922" s="13"/>
    </row>
    <row r="923" spans="1:2" x14ac:dyDescent="0.25">
      <c r="A923" s="13"/>
      <c r="B923" s="13"/>
    </row>
    <row r="924" spans="1:2" x14ac:dyDescent="0.25">
      <c r="A924" s="13"/>
      <c r="B924" s="13"/>
    </row>
    <row r="925" spans="1:2" x14ac:dyDescent="0.25">
      <c r="A925" s="13"/>
      <c r="B925" s="13"/>
    </row>
    <row r="926" spans="1:2" x14ac:dyDescent="0.25">
      <c r="A926" s="13"/>
      <c r="B926" s="13"/>
    </row>
    <row r="927" spans="1:2" x14ac:dyDescent="0.25">
      <c r="A927" s="13"/>
      <c r="B927" s="13"/>
    </row>
    <row r="928" spans="1:2" x14ac:dyDescent="0.25">
      <c r="A928" s="13"/>
      <c r="B928" s="13"/>
    </row>
    <row r="929" spans="1:2" x14ac:dyDescent="0.25">
      <c r="A929" s="13"/>
      <c r="B929" s="13"/>
    </row>
    <row r="930" spans="1:2" x14ac:dyDescent="0.25">
      <c r="A930" s="13"/>
      <c r="B930" s="13"/>
    </row>
    <row r="931" spans="1:2" x14ac:dyDescent="0.25">
      <c r="A931" s="13"/>
      <c r="B931" s="13"/>
    </row>
    <row r="932" spans="1:2" x14ac:dyDescent="0.25">
      <c r="A932" s="13"/>
      <c r="B932" s="13"/>
    </row>
    <row r="933" spans="1:2" x14ac:dyDescent="0.25">
      <c r="A933" s="13"/>
      <c r="B933" s="13"/>
    </row>
    <row r="934" spans="1:2" x14ac:dyDescent="0.25">
      <c r="A934" s="13"/>
      <c r="B934" s="13"/>
    </row>
    <row r="935" spans="1:2" x14ac:dyDescent="0.25">
      <c r="A935" s="13"/>
      <c r="B935" s="13"/>
    </row>
    <row r="936" spans="1:2" x14ac:dyDescent="0.25">
      <c r="A936" s="13"/>
      <c r="B936" s="13"/>
    </row>
    <row r="937" spans="1:2" x14ac:dyDescent="0.25">
      <c r="A937" s="13"/>
      <c r="B937" s="13"/>
    </row>
    <row r="938" spans="1:2" x14ac:dyDescent="0.25">
      <c r="A938" s="13"/>
      <c r="B938" s="13"/>
    </row>
    <row r="939" spans="1:2" x14ac:dyDescent="0.25">
      <c r="A939" s="13"/>
      <c r="B939" s="13"/>
    </row>
    <row r="940" spans="1:2" x14ac:dyDescent="0.25">
      <c r="A940" s="13"/>
      <c r="B940" s="13"/>
    </row>
    <row r="941" spans="1:2" x14ac:dyDescent="0.25">
      <c r="A941" s="13"/>
      <c r="B941" s="13"/>
    </row>
    <row r="942" spans="1:2" x14ac:dyDescent="0.25">
      <c r="A942" s="13"/>
      <c r="B942" s="13"/>
    </row>
    <row r="943" spans="1:2" x14ac:dyDescent="0.25">
      <c r="A943" s="13"/>
      <c r="B943" s="13"/>
    </row>
    <row r="944" spans="1:2" x14ac:dyDescent="0.25">
      <c r="A944" s="13"/>
      <c r="B944" s="13"/>
    </row>
    <row r="945" spans="1:2" x14ac:dyDescent="0.25">
      <c r="A945" s="13"/>
      <c r="B945" s="13"/>
    </row>
    <row r="946" spans="1:2" x14ac:dyDescent="0.25">
      <c r="A946" s="13"/>
      <c r="B946" s="13"/>
    </row>
    <row r="947" spans="1:2" x14ac:dyDescent="0.25">
      <c r="A947" s="13"/>
      <c r="B947" s="13"/>
    </row>
    <row r="948" spans="1:2" x14ac:dyDescent="0.25">
      <c r="A948" s="13"/>
      <c r="B948" s="13"/>
    </row>
    <row r="949" spans="1:2" x14ac:dyDescent="0.25">
      <c r="A949" s="13"/>
      <c r="B949" s="13"/>
    </row>
    <row r="950" spans="1:2" x14ac:dyDescent="0.25">
      <c r="A950" s="13"/>
      <c r="B950" s="13"/>
    </row>
    <row r="951" spans="1:2" x14ac:dyDescent="0.25">
      <c r="A951" s="13"/>
      <c r="B951" s="13"/>
    </row>
    <row r="952" spans="1:2" x14ac:dyDescent="0.25">
      <c r="A952" s="13"/>
      <c r="B952" s="13"/>
    </row>
    <row r="953" spans="1:2" x14ac:dyDescent="0.25">
      <c r="A953" s="13"/>
      <c r="B953" s="13"/>
    </row>
    <row r="954" spans="1:2" x14ac:dyDescent="0.25">
      <c r="A954" s="13"/>
      <c r="B954" s="13"/>
    </row>
    <row r="955" spans="1:2" x14ac:dyDescent="0.25">
      <c r="A955" s="13"/>
      <c r="B955" s="13"/>
    </row>
    <row r="956" spans="1:2" x14ac:dyDescent="0.25">
      <c r="A956" s="13"/>
      <c r="B956" s="13"/>
    </row>
    <row r="957" spans="1:2" x14ac:dyDescent="0.25">
      <c r="A957" s="13"/>
      <c r="B957" s="13"/>
    </row>
    <row r="958" spans="1:2" x14ac:dyDescent="0.25">
      <c r="A958" s="13"/>
      <c r="B958" s="13"/>
    </row>
    <row r="959" spans="1:2" x14ac:dyDescent="0.25">
      <c r="A959" s="13"/>
      <c r="B959" s="13"/>
    </row>
    <row r="960" spans="1:2" x14ac:dyDescent="0.25">
      <c r="A960" s="13"/>
      <c r="B960" s="13"/>
    </row>
    <row r="961" spans="1:2" x14ac:dyDescent="0.25">
      <c r="A961" s="13"/>
      <c r="B961" s="13"/>
    </row>
    <row r="962" spans="1:2" x14ac:dyDescent="0.25">
      <c r="A962" s="13"/>
      <c r="B962" s="13"/>
    </row>
    <row r="963" spans="1:2" x14ac:dyDescent="0.25">
      <c r="A963" s="13"/>
      <c r="B963" s="13"/>
    </row>
    <row r="964" spans="1:2" x14ac:dyDescent="0.25">
      <c r="A964" s="13"/>
      <c r="B964" s="13"/>
    </row>
    <row r="965" spans="1:2" x14ac:dyDescent="0.25">
      <c r="A965" s="13"/>
      <c r="B965" s="13"/>
    </row>
    <row r="966" spans="1:2" x14ac:dyDescent="0.25">
      <c r="A966" s="13"/>
      <c r="B966" s="13"/>
    </row>
    <row r="967" spans="1:2" x14ac:dyDescent="0.25">
      <c r="A967" s="13"/>
      <c r="B967" s="13"/>
    </row>
    <row r="968" spans="1:2" x14ac:dyDescent="0.25">
      <c r="A968" s="13"/>
      <c r="B968" s="13"/>
    </row>
    <row r="969" spans="1:2" x14ac:dyDescent="0.25">
      <c r="A969" s="13"/>
      <c r="B969" s="13"/>
    </row>
    <row r="970" spans="1:2" x14ac:dyDescent="0.25">
      <c r="A970" s="13"/>
      <c r="B970" s="13"/>
    </row>
    <row r="971" spans="1:2" x14ac:dyDescent="0.25">
      <c r="A971" s="13"/>
      <c r="B971" s="13"/>
    </row>
    <row r="972" spans="1:2" x14ac:dyDescent="0.25">
      <c r="A972" s="13"/>
      <c r="B972" s="13"/>
    </row>
    <row r="973" spans="1:2" x14ac:dyDescent="0.25">
      <c r="A973" s="13"/>
      <c r="B973" s="13"/>
    </row>
    <row r="974" spans="1:2" x14ac:dyDescent="0.25">
      <c r="A974" s="13"/>
      <c r="B974" s="13"/>
    </row>
    <row r="975" spans="1:2" x14ac:dyDescent="0.25">
      <c r="A975" s="13"/>
      <c r="B975" s="13"/>
    </row>
    <row r="976" spans="1:2" x14ac:dyDescent="0.25">
      <c r="A976" s="13"/>
      <c r="B976" s="13"/>
    </row>
    <row r="977" spans="1:2" x14ac:dyDescent="0.25">
      <c r="A977" s="13"/>
      <c r="B977" s="13"/>
    </row>
    <row r="978" spans="1:2" x14ac:dyDescent="0.25">
      <c r="A978" s="13"/>
      <c r="B978" s="13"/>
    </row>
    <row r="979" spans="1:2" x14ac:dyDescent="0.25">
      <c r="A979" s="13"/>
      <c r="B979" s="13"/>
    </row>
    <row r="980" spans="1:2" x14ac:dyDescent="0.25">
      <c r="A980" s="13"/>
      <c r="B980" s="13"/>
    </row>
    <row r="981" spans="1:2" x14ac:dyDescent="0.25">
      <c r="A981" s="13"/>
      <c r="B981" s="13"/>
    </row>
    <row r="982" spans="1:2" x14ac:dyDescent="0.25">
      <c r="A982" s="13"/>
      <c r="B982" s="13"/>
    </row>
    <row r="983" spans="1:2" x14ac:dyDescent="0.25">
      <c r="A983" s="13"/>
      <c r="B983" s="13"/>
    </row>
    <row r="984" spans="1:2" x14ac:dyDescent="0.25">
      <c r="A984" s="13"/>
      <c r="B984" s="13"/>
    </row>
    <row r="985" spans="1:2" x14ac:dyDescent="0.25">
      <c r="A985" s="13"/>
      <c r="B985" s="13"/>
    </row>
    <row r="986" spans="1:2" x14ac:dyDescent="0.25">
      <c r="A986" s="13"/>
      <c r="B986" s="13"/>
    </row>
    <row r="987" spans="1:2" x14ac:dyDescent="0.25">
      <c r="A987" s="13"/>
      <c r="B987" s="13"/>
    </row>
    <row r="988" spans="1:2" x14ac:dyDescent="0.25">
      <c r="A988" s="13"/>
      <c r="B988" s="13"/>
    </row>
    <row r="989" spans="1:2" x14ac:dyDescent="0.25">
      <c r="A989" s="13"/>
      <c r="B989" s="13"/>
    </row>
    <row r="990" spans="1:2" x14ac:dyDescent="0.25">
      <c r="A990" s="13"/>
      <c r="B990" s="13"/>
    </row>
    <row r="991" spans="1:2" x14ac:dyDescent="0.25">
      <c r="A991" s="13"/>
      <c r="B991" s="13"/>
    </row>
    <row r="992" spans="1:2" x14ac:dyDescent="0.25">
      <c r="A992" s="13"/>
      <c r="B992" s="13"/>
    </row>
    <row r="993" spans="1:2" x14ac:dyDescent="0.25">
      <c r="A993" s="13"/>
      <c r="B993" s="13"/>
    </row>
    <row r="994" spans="1:2" x14ac:dyDescent="0.25">
      <c r="A994" s="13"/>
      <c r="B994" s="13"/>
    </row>
    <row r="995" spans="1:2" x14ac:dyDescent="0.25">
      <c r="A995" s="13"/>
      <c r="B995" s="13"/>
    </row>
    <row r="996" spans="1:2" x14ac:dyDescent="0.25">
      <c r="A996" s="13"/>
      <c r="B996" s="13"/>
    </row>
    <row r="997" spans="1:2" x14ac:dyDescent="0.25">
      <c r="A997" s="13"/>
      <c r="B997" s="13"/>
    </row>
    <row r="998" spans="1:2" x14ac:dyDescent="0.25">
      <c r="A998" s="13"/>
      <c r="B998" s="13"/>
    </row>
    <row r="999" spans="1:2" x14ac:dyDescent="0.25">
      <c r="A999" s="13"/>
      <c r="B999" s="13"/>
    </row>
    <row r="1000" spans="1:2" x14ac:dyDescent="0.25">
      <c r="A1000" s="13"/>
      <c r="B1000" s="13"/>
    </row>
  </sheetData>
  <mergeCells count="8">
    <mergeCell ref="A19:B19"/>
    <mergeCell ref="A17:B17"/>
    <mergeCell ref="A5:B5"/>
    <mergeCell ref="A7:B7"/>
    <mergeCell ref="A9:B9"/>
    <mergeCell ref="A11:B11"/>
    <mergeCell ref="A13:B13"/>
    <mergeCell ref="A15:B15"/>
  </mergeCells>
  <conditionalFormatting sqref="D6:L100000">
    <cfRule type="expression" dxfId="12" priority="6">
      <formula>ROW($D6)&lt;= COUNTA($D$6:$D$100002)+5</formula>
    </cfRule>
  </conditionalFormatting>
  <conditionalFormatting sqref="D6:D100000">
    <cfRule type="expression" dxfId="11" priority="5">
      <formula>ROW($D6)&lt;= COUNTA($D$6:$D$100002)+5</formula>
    </cfRule>
  </conditionalFormatting>
  <conditionalFormatting sqref="L6:L100000">
    <cfRule type="expression" dxfId="10" priority="4">
      <formula>ROW($D6)&lt;= COUNTA($D$6:$D$100002)+5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6018-43DF-4524-87BF-921915E5FE3F}">
  <sheetPr codeName="Sheet8">
    <tabColor theme="8"/>
  </sheetPr>
  <dimension ref="A1:BZ1000"/>
  <sheetViews>
    <sheetView showGridLines="0" showRowColHeaders="0" workbookViewId="0">
      <selection activeCell="K21" sqref="K21"/>
    </sheetView>
  </sheetViews>
  <sheetFormatPr defaultRowHeight="15" x14ac:dyDescent="0.25"/>
  <cols>
    <col min="1" max="1" width="5" customWidth="1"/>
    <col min="2" max="2" width="13.28515625" customWidth="1"/>
    <col min="3" max="3" width="4.28515625" customWidth="1"/>
    <col min="4" max="4" width="40.140625" bestFit="1" customWidth="1"/>
    <col min="5" max="5" width="45.85546875" bestFit="1" customWidth="1"/>
    <col min="6" max="6" width="5" bestFit="1" customWidth="1"/>
    <col min="7" max="7" width="7.28515625" style="1" bestFit="1" customWidth="1"/>
  </cols>
  <sheetData>
    <row r="1" spans="1:78" x14ac:dyDescent="0.25">
      <c r="A1" s="13"/>
      <c r="B1" s="13"/>
      <c r="C1" s="13"/>
      <c r="D1" s="13"/>
      <c r="E1" s="13"/>
      <c r="F1" s="13"/>
      <c r="G1" s="32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</row>
    <row r="2" spans="1:78" x14ac:dyDescent="0.25">
      <c r="A2" s="13"/>
      <c r="B2" s="13"/>
      <c r="C2" s="13"/>
      <c r="D2" s="13"/>
      <c r="E2" s="13"/>
      <c r="F2" s="13"/>
      <c r="G2" s="32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</row>
    <row r="3" spans="1:78" x14ac:dyDescent="0.25">
      <c r="A3" s="13"/>
      <c r="B3" s="13"/>
      <c r="C3" s="13"/>
      <c r="D3" s="13"/>
      <c r="E3" s="13"/>
      <c r="F3" s="13"/>
      <c r="G3" s="32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</row>
    <row r="4" spans="1:78" x14ac:dyDescent="0.25">
      <c r="A4" s="13"/>
      <c r="B4" s="13"/>
    </row>
    <row r="5" spans="1:78" x14ac:dyDescent="0.25">
      <c r="A5" s="71" t="str">
        <f>HYPERLINK("#'Controls'!d4", "Controls")</f>
        <v>Controls</v>
      </c>
      <c r="B5" s="71"/>
      <c r="D5" s="21" t="str" cm="1">
        <f t="array" ref="D5:G5">IFERROR(_xlfn.VSTACK({"Item Key","File Name","Shot","KB Size"},
_xlfn._xlws.FILTER(Image_Data[], ISNA(_xlfn.XMATCH(Image_Data[Item Key], Line_List[Item Key], 0)))),
{"Item Key","File Name","Shot","KB Size"})</f>
        <v>Item Key</v>
      </c>
      <c r="E5" s="22" t="str">
        <v>File Name</v>
      </c>
      <c r="F5" s="22" t="str">
        <v>Shot</v>
      </c>
      <c r="G5" s="23" t="str">
        <v>KB Size</v>
      </c>
    </row>
    <row r="6" spans="1:78" x14ac:dyDescent="0.25">
      <c r="A6" s="33"/>
      <c r="B6" s="34"/>
    </row>
    <row r="7" spans="1:78" x14ac:dyDescent="0.25">
      <c r="A7" s="71" t="str">
        <f>HYPERLINK("#'Line List'!d4", "Line List")</f>
        <v>Line List</v>
      </c>
      <c r="B7" s="71"/>
    </row>
    <row r="8" spans="1:78" x14ac:dyDescent="0.25">
      <c r="A8" s="33"/>
      <c r="B8" s="34"/>
    </row>
    <row r="9" spans="1:78" x14ac:dyDescent="0.25">
      <c r="A9" s="71" t="str">
        <f>HYPERLINK("#'Image Data'!D4", "Img Data")</f>
        <v>Img Data</v>
      </c>
      <c r="B9" s="71"/>
    </row>
    <row r="10" spans="1:78" x14ac:dyDescent="0.25">
      <c r="A10" s="33"/>
      <c r="B10" s="34"/>
    </row>
    <row r="11" spans="1:78" x14ac:dyDescent="0.25">
      <c r="A11" s="71" t="str">
        <f>HYPERLINK("#'Image Syle Not in Line List'!D4", "Img Style!=")</f>
        <v>Img Style!=</v>
      </c>
      <c r="B11" s="71"/>
    </row>
    <row r="12" spans="1:78" x14ac:dyDescent="0.25">
      <c r="A12" s="33"/>
      <c r="B12" s="34"/>
    </row>
    <row r="13" spans="1:78" x14ac:dyDescent="0.25">
      <c r="A13" s="71" t="str">
        <f>HYPERLINK("#'Images Not in Line List'!D4", "Img != List")</f>
        <v>Img != List</v>
      </c>
      <c r="B13" s="71"/>
    </row>
    <row r="14" spans="1:78" x14ac:dyDescent="0.25">
      <c r="A14" s="33"/>
      <c r="B14" s="34"/>
    </row>
    <row r="15" spans="1:78" x14ac:dyDescent="0.25">
      <c r="A15" s="71" t="str">
        <f>HYPERLINK("#'Line List Not in Images'!D4", "List != Img")</f>
        <v>List != Img</v>
      </c>
      <c r="B15" s="71"/>
    </row>
    <row r="16" spans="1:78" x14ac:dyDescent="0.25">
      <c r="A16" s="33"/>
      <c r="B16" s="34"/>
    </row>
    <row r="17" spans="1:2" x14ac:dyDescent="0.25">
      <c r="A17" s="71" t="str">
        <f>HYPERLINK("#'Renaming Data'!D4", "Renaming")</f>
        <v>Renaming</v>
      </c>
      <c r="B17" s="71"/>
    </row>
    <row r="18" spans="1:2" x14ac:dyDescent="0.25">
      <c r="A18" s="33"/>
      <c r="B18" s="34"/>
    </row>
    <row r="19" spans="1:2" x14ac:dyDescent="0.25">
      <c r="A19" s="71" t="str">
        <f>HYPERLINK("#'Execution Log'!D4", "Exec Log")</f>
        <v>Exec Log</v>
      </c>
      <c r="B19" s="71"/>
    </row>
    <row r="20" spans="1:2" x14ac:dyDescent="0.25">
      <c r="A20" s="13"/>
      <c r="B20" s="13"/>
    </row>
    <row r="21" spans="1:2" x14ac:dyDescent="0.25">
      <c r="A21" s="13"/>
      <c r="B21" s="13"/>
    </row>
    <row r="22" spans="1:2" x14ac:dyDescent="0.25">
      <c r="A22" s="13"/>
      <c r="B22" s="13"/>
    </row>
    <row r="23" spans="1:2" x14ac:dyDescent="0.25">
      <c r="A23" s="13"/>
      <c r="B23" s="13"/>
    </row>
    <row r="24" spans="1:2" x14ac:dyDescent="0.25">
      <c r="A24" s="13"/>
      <c r="B24" s="13"/>
    </row>
    <row r="25" spans="1:2" x14ac:dyDescent="0.25">
      <c r="A25" s="13"/>
      <c r="B25" s="13"/>
    </row>
    <row r="26" spans="1:2" x14ac:dyDescent="0.25">
      <c r="A26" s="13"/>
      <c r="B26" s="13"/>
    </row>
    <row r="27" spans="1:2" x14ac:dyDescent="0.25">
      <c r="A27" s="13"/>
      <c r="B27" s="13"/>
    </row>
    <row r="28" spans="1:2" x14ac:dyDescent="0.25">
      <c r="A28" s="13"/>
      <c r="B28" s="13"/>
    </row>
    <row r="29" spans="1:2" x14ac:dyDescent="0.25">
      <c r="A29" s="13"/>
      <c r="B29" s="13"/>
    </row>
    <row r="30" spans="1:2" x14ac:dyDescent="0.25">
      <c r="A30" s="13"/>
      <c r="B30" s="13"/>
    </row>
    <row r="31" spans="1:2" x14ac:dyDescent="0.25">
      <c r="A31" s="13"/>
      <c r="B31" s="13"/>
    </row>
    <row r="32" spans="1:2" x14ac:dyDescent="0.25">
      <c r="A32" s="13"/>
      <c r="B32" s="13"/>
    </row>
    <row r="33" spans="1:2" x14ac:dyDescent="0.25">
      <c r="A33" s="13"/>
      <c r="B33" s="13"/>
    </row>
    <row r="34" spans="1:2" x14ac:dyDescent="0.25">
      <c r="A34" s="13"/>
      <c r="B34" s="13"/>
    </row>
    <row r="35" spans="1:2" x14ac:dyDescent="0.25">
      <c r="A35" s="13"/>
      <c r="B35" s="13"/>
    </row>
    <row r="36" spans="1:2" x14ac:dyDescent="0.25">
      <c r="A36" s="13"/>
      <c r="B36" s="13"/>
    </row>
    <row r="37" spans="1:2" x14ac:dyDescent="0.25">
      <c r="A37" s="13"/>
      <c r="B37" s="13"/>
    </row>
    <row r="38" spans="1:2" x14ac:dyDescent="0.25">
      <c r="A38" s="13"/>
      <c r="B38" s="13"/>
    </row>
    <row r="39" spans="1:2" x14ac:dyDescent="0.25">
      <c r="A39" s="13"/>
      <c r="B39" s="13"/>
    </row>
    <row r="40" spans="1:2" x14ac:dyDescent="0.25">
      <c r="A40" s="13"/>
      <c r="B40" s="13"/>
    </row>
    <row r="41" spans="1:2" x14ac:dyDescent="0.25">
      <c r="A41" s="13"/>
      <c r="B41" s="13"/>
    </row>
    <row r="42" spans="1:2" x14ac:dyDescent="0.25">
      <c r="A42" s="13"/>
      <c r="B42" s="13"/>
    </row>
    <row r="43" spans="1:2" x14ac:dyDescent="0.25">
      <c r="A43" s="13"/>
      <c r="B43" s="13"/>
    </row>
    <row r="44" spans="1:2" x14ac:dyDescent="0.25">
      <c r="A44" s="13"/>
      <c r="B44" s="13"/>
    </row>
    <row r="45" spans="1:2" x14ac:dyDescent="0.25">
      <c r="A45" s="13"/>
      <c r="B45" s="13"/>
    </row>
    <row r="46" spans="1:2" x14ac:dyDescent="0.25">
      <c r="A46" s="13"/>
      <c r="B46" s="13"/>
    </row>
    <row r="47" spans="1:2" x14ac:dyDescent="0.25">
      <c r="A47" s="13"/>
      <c r="B47" s="13"/>
    </row>
    <row r="48" spans="1:2" x14ac:dyDescent="0.25">
      <c r="A48" s="13"/>
      <c r="B48" s="13"/>
    </row>
    <row r="49" spans="1:2" x14ac:dyDescent="0.25">
      <c r="A49" s="13"/>
      <c r="B49" s="13"/>
    </row>
    <row r="50" spans="1:2" x14ac:dyDescent="0.25">
      <c r="A50" s="13"/>
      <c r="B50" s="13"/>
    </row>
    <row r="51" spans="1:2" x14ac:dyDescent="0.25">
      <c r="A51" s="13"/>
      <c r="B51" s="13"/>
    </row>
    <row r="52" spans="1:2" x14ac:dyDescent="0.25">
      <c r="A52" s="13"/>
      <c r="B52" s="13"/>
    </row>
    <row r="53" spans="1:2" x14ac:dyDescent="0.25">
      <c r="A53" s="13"/>
      <c r="B53" s="13"/>
    </row>
    <row r="54" spans="1:2" x14ac:dyDescent="0.25">
      <c r="A54" s="13"/>
      <c r="B54" s="13"/>
    </row>
    <row r="55" spans="1:2" x14ac:dyDescent="0.25">
      <c r="A55" s="13"/>
      <c r="B55" s="13"/>
    </row>
    <row r="56" spans="1:2" x14ac:dyDescent="0.25">
      <c r="A56" s="13"/>
      <c r="B56" s="13"/>
    </row>
    <row r="57" spans="1:2" x14ac:dyDescent="0.25">
      <c r="A57" s="13"/>
      <c r="B57" s="13"/>
    </row>
    <row r="58" spans="1:2" x14ac:dyDescent="0.25">
      <c r="A58" s="13"/>
      <c r="B58" s="13"/>
    </row>
    <row r="59" spans="1:2" x14ac:dyDescent="0.25">
      <c r="A59" s="13"/>
      <c r="B59" s="13"/>
    </row>
    <row r="60" spans="1:2" x14ac:dyDescent="0.25">
      <c r="A60" s="13"/>
      <c r="B60" s="13"/>
    </row>
    <row r="61" spans="1:2" x14ac:dyDescent="0.25">
      <c r="A61" s="13"/>
      <c r="B61" s="13"/>
    </row>
    <row r="62" spans="1:2" x14ac:dyDescent="0.25">
      <c r="A62" s="13"/>
      <c r="B62" s="13"/>
    </row>
    <row r="63" spans="1:2" x14ac:dyDescent="0.25">
      <c r="A63" s="13"/>
      <c r="B63" s="13"/>
    </row>
    <row r="64" spans="1:2" x14ac:dyDescent="0.25">
      <c r="A64" s="13"/>
      <c r="B64" s="13"/>
    </row>
    <row r="65" spans="1:2" x14ac:dyDescent="0.25">
      <c r="A65" s="13"/>
      <c r="B65" s="13"/>
    </row>
    <row r="66" spans="1:2" x14ac:dyDescent="0.25">
      <c r="A66" s="13"/>
      <c r="B66" s="13"/>
    </row>
    <row r="67" spans="1:2" x14ac:dyDescent="0.25">
      <c r="A67" s="13"/>
      <c r="B67" s="13"/>
    </row>
    <row r="68" spans="1:2" x14ac:dyDescent="0.25">
      <c r="A68" s="13"/>
      <c r="B68" s="13"/>
    </row>
    <row r="69" spans="1:2" x14ac:dyDescent="0.25">
      <c r="A69" s="13"/>
      <c r="B69" s="13"/>
    </row>
    <row r="70" spans="1:2" x14ac:dyDescent="0.25">
      <c r="A70" s="13"/>
      <c r="B70" s="13"/>
    </row>
    <row r="71" spans="1:2" x14ac:dyDescent="0.25">
      <c r="A71" s="13"/>
      <c r="B71" s="13"/>
    </row>
    <row r="72" spans="1:2" x14ac:dyDescent="0.25">
      <c r="A72" s="13"/>
      <c r="B72" s="13"/>
    </row>
    <row r="73" spans="1:2" x14ac:dyDescent="0.25">
      <c r="A73" s="13"/>
      <c r="B73" s="13"/>
    </row>
    <row r="74" spans="1:2" x14ac:dyDescent="0.25">
      <c r="A74" s="13"/>
      <c r="B74" s="13"/>
    </row>
    <row r="75" spans="1:2" x14ac:dyDescent="0.25">
      <c r="A75" s="13"/>
      <c r="B75" s="13"/>
    </row>
    <row r="76" spans="1:2" x14ac:dyDescent="0.25">
      <c r="A76" s="13"/>
      <c r="B76" s="13"/>
    </row>
    <row r="77" spans="1:2" x14ac:dyDescent="0.25">
      <c r="A77" s="13"/>
      <c r="B77" s="13"/>
    </row>
    <row r="78" spans="1:2" x14ac:dyDescent="0.25">
      <c r="A78" s="13"/>
      <c r="B78" s="13"/>
    </row>
    <row r="79" spans="1:2" x14ac:dyDescent="0.25">
      <c r="A79" s="13"/>
      <c r="B79" s="13"/>
    </row>
    <row r="80" spans="1:2" x14ac:dyDescent="0.25">
      <c r="A80" s="13"/>
      <c r="B80" s="13"/>
    </row>
    <row r="81" spans="1:2" x14ac:dyDescent="0.25">
      <c r="A81" s="13"/>
      <c r="B81" s="13"/>
    </row>
    <row r="82" spans="1:2" x14ac:dyDescent="0.25">
      <c r="A82" s="13"/>
      <c r="B82" s="13"/>
    </row>
    <row r="83" spans="1:2" x14ac:dyDescent="0.25">
      <c r="A83" s="13"/>
      <c r="B83" s="13"/>
    </row>
    <row r="84" spans="1:2" x14ac:dyDescent="0.25">
      <c r="A84" s="13"/>
      <c r="B84" s="13"/>
    </row>
    <row r="85" spans="1:2" x14ac:dyDescent="0.25">
      <c r="A85" s="13"/>
      <c r="B85" s="13"/>
    </row>
    <row r="86" spans="1:2" x14ac:dyDescent="0.25">
      <c r="A86" s="13"/>
      <c r="B86" s="13"/>
    </row>
    <row r="87" spans="1:2" x14ac:dyDescent="0.25">
      <c r="A87" s="13"/>
      <c r="B87" s="13"/>
    </row>
    <row r="88" spans="1:2" x14ac:dyDescent="0.25">
      <c r="A88" s="13"/>
      <c r="B88" s="13"/>
    </row>
    <row r="89" spans="1:2" x14ac:dyDescent="0.25">
      <c r="A89" s="13"/>
      <c r="B89" s="13"/>
    </row>
    <row r="90" spans="1:2" x14ac:dyDescent="0.25">
      <c r="A90" s="13"/>
      <c r="B90" s="13"/>
    </row>
    <row r="91" spans="1:2" x14ac:dyDescent="0.25">
      <c r="A91" s="13"/>
      <c r="B91" s="13"/>
    </row>
    <row r="92" spans="1:2" x14ac:dyDescent="0.25">
      <c r="A92" s="13"/>
      <c r="B92" s="13"/>
    </row>
    <row r="93" spans="1:2" x14ac:dyDescent="0.25">
      <c r="A93" s="13"/>
      <c r="B93" s="13"/>
    </row>
    <row r="94" spans="1:2" x14ac:dyDescent="0.25">
      <c r="A94" s="13"/>
      <c r="B94" s="13"/>
    </row>
    <row r="95" spans="1:2" x14ac:dyDescent="0.25">
      <c r="A95" s="13"/>
      <c r="B95" s="13"/>
    </row>
    <row r="96" spans="1:2" x14ac:dyDescent="0.25">
      <c r="A96" s="13"/>
      <c r="B96" s="13"/>
    </row>
    <row r="97" spans="1:2" x14ac:dyDescent="0.25">
      <c r="A97" s="13"/>
      <c r="B97" s="13"/>
    </row>
    <row r="98" spans="1:2" x14ac:dyDescent="0.25">
      <c r="A98" s="13"/>
      <c r="B98" s="13"/>
    </row>
    <row r="99" spans="1:2" x14ac:dyDescent="0.25">
      <c r="A99" s="13"/>
      <c r="B99" s="13"/>
    </row>
    <row r="100" spans="1:2" x14ac:dyDescent="0.25">
      <c r="A100" s="13"/>
      <c r="B100" s="13"/>
    </row>
    <row r="101" spans="1:2" x14ac:dyDescent="0.25">
      <c r="A101" s="13"/>
      <c r="B101" s="13"/>
    </row>
    <row r="102" spans="1:2" x14ac:dyDescent="0.25">
      <c r="A102" s="13"/>
      <c r="B102" s="13"/>
    </row>
    <row r="103" spans="1:2" x14ac:dyDescent="0.25">
      <c r="A103" s="13"/>
      <c r="B103" s="13"/>
    </row>
    <row r="104" spans="1:2" x14ac:dyDescent="0.25">
      <c r="A104" s="13"/>
      <c r="B104" s="13"/>
    </row>
    <row r="105" spans="1:2" x14ac:dyDescent="0.25">
      <c r="A105" s="13"/>
      <c r="B105" s="13"/>
    </row>
    <row r="106" spans="1:2" x14ac:dyDescent="0.25">
      <c r="A106" s="13"/>
      <c r="B106" s="13"/>
    </row>
    <row r="107" spans="1:2" x14ac:dyDescent="0.25">
      <c r="A107" s="13"/>
      <c r="B107" s="13"/>
    </row>
    <row r="108" spans="1:2" x14ac:dyDescent="0.25">
      <c r="A108" s="13"/>
      <c r="B108" s="13"/>
    </row>
    <row r="109" spans="1:2" x14ac:dyDescent="0.25">
      <c r="A109" s="13"/>
      <c r="B109" s="13"/>
    </row>
    <row r="110" spans="1:2" x14ac:dyDescent="0.25">
      <c r="A110" s="13"/>
      <c r="B110" s="13"/>
    </row>
    <row r="111" spans="1:2" x14ac:dyDescent="0.25">
      <c r="A111" s="13"/>
      <c r="B111" s="13"/>
    </row>
    <row r="112" spans="1:2" x14ac:dyDescent="0.25">
      <c r="A112" s="13"/>
      <c r="B112" s="13"/>
    </row>
    <row r="113" spans="1:2" x14ac:dyDescent="0.25">
      <c r="A113" s="13"/>
      <c r="B113" s="13"/>
    </row>
    <row r="114" spans="1:2" x14ac:dyDescent="0.25">
      <c r="A114" s="13"/>
      <c r="B114" s="13"/>
    </row>
    <row r="115" spans="1:2" x14ac:dyDescent="0.25">
      <c r="A115" s="13"/>
      <c r="B115" s="13"/>
    </row>
    <row r="116" spans="1:2" x14ac:dyDescent="0.25">
      <c r="A116" s="13"/>
      <c r="B116" s="13"/>
    </row>
    <row r="117" spans="1:2" x14ac:dyDescent="0.25">
      <c r="A117" s="13"/>
      <c r="B117" s="13"/>
    </row>
    <row r="118" spans="1:2" x14ac:dyDescent="0.25">
      <c r="A118" s="13"/>
      <c r="B118" s="13"/>
    </row>
    <row r="119" spans="1:2" x14ac:dyDescent="0.25">
      <c r="A119" s="13"/>
      <c r="B119" s="13"/>
    </row>
    <row r="120" spans="1:2" x14ac:dyDescent="0.25">
      <c r="A120" s="13"/>
      <c r="B120" s="13"/>
    </row>
    <row r="121" spans="1:2" x14ac:dyDescent="0.25">
      <c r="A121" s="13"/>
      <c r="B121" s="13"/>
    </row>
    <row r="122" spans="1:2" x14ac:dyDescent="0.25">
      <c r="A122" s="13"/>
      <c r="B122" s="13"/>
    </row>
    <row r="123" spans="1:2" x14ac:dyDescent="0.25">
      <c r="A123" s="13"/>
      <c r="B123" s="13"/>
    </row>
    <row r="124" spans="1:2" x14ac:dyDescent="0.25">
      <c r="A124" s="13"/>
      <c r="B124" s="13"/>
    </row>
    <row r="125" spans="1:2" x14ac:dyDescent="0.25">
      <c r="A125" s="13"/>
      <c r="B125" s="13"/>
    </row>
    <row r="126" spans="1:2" x14ac:dyDescent="0.25">
      <c r="A126" s="13"/>
      <c r="B126" s="13"/>
    </row>
    <row r="127" spans="1:2" x14ac:dyDescent="0.25">
      <c r="A127" s="13"/>
      <c r="B127" s="13"/>
    </row>
    <row r="128" spans="1:2" x14ac:dyDescent="0.25">
      <c r="A128" s="13"/>
      <c r="B128" s="13"/>
    </row>
    <row r="129" spans="1:2" x14ac:dyDescent="0.25">
      <c r="A129" s="13"/>
      <c r="B129" s="13"/>
    </row>
    <row r="130" spans="1:2" x14ac:dyDescent="0.25">
      <c r="A130" s="13"/>
      <c r="B130" s="13"/>
    </row>
    <row r="131" spans="1:2" x14ac:dyDescent="0.25">
      <c r="A131" s="13"/>
      <c r="B131" s="13"/>
    </row>
    <row r="132" spans="1:2" x14ac:dyDescent="0.25">
      <c r="A132" s="13"/>
      <c r="B132" s="13"/>
    </row>
    <row r="133" spans="1:2" x14ac:dyDescent="0.25">
      <c r="A133" s="13"/>
      <c r="B133" s="13"/>
    </row>
    <row r="134" spans="1:2" x14ac:dyDescent="0.25">
      <c r="A134" s="13"/>
      <c r="B134" s="13"/>
    </row>
    <row r="135" spans="1:2" x14ac:dyDescent="0.25">
      <c r="A135" s="13"/>
      <c r="B135" s="13"/>
    </row>
    <row r="136" spans="1:2" x14ac:dyDescent="0.25">
      <c r="A136" s="13"/>
      <c r="B136" s="13"/>
    </row>
    <row r="137" spans="1:2" x14ac:dyDescent="0.25">
      <c r="A137" s="13"/>
      <c r="B137" s="13"/>
    </row>
    <row r="138" spans="1:2" x14ac:dyDescent="0.25">
      <c r="A138" s="13"/>
      <c r="B138" s="13"/>
    </row>
    <row r="139" spans="1:2" x14ac:dyDescent="0.25">
      <c r="A139" s="13"/>
      <c r="B139" s="13"/>
    </row>
    <row r="140" spans="1:2" x14ac:dyDescent="0.25">
      <c r="A140" s="13"/>
      <c r="B140" s="13"/>
    </row>
    <row r="141" spans="1:2" x14ac:dyDescent="0.25">
      <c r="A141" s="13"/>
      <c r="B141" s="13"/>
    </row>
    <row r="142" spans="1:2" x14ac:dyDescent="0.25">
      <c r="A142" s="13"/>
      <c r="B142" s="13"/>
    </row>
    <row r="143" spans="1:2" x14ac:dyDescent="0.25">
      <c r="A143" s="13"/>
      <c r="B143" s="13"/>
    </row>
    <row r="144" spans="1:2" x14ac:dyDescent="0.25">
      <c r="A144" s="13"/>
      <c r="B144" s="13"/>
    </row>
    <row r="145" spans="1:2" x14ac:dyDescent="0.25">
      <c r="A145" s="13"/>
      <c r="B145" s="13"/>
    </row>
    <row r="146" spans="1:2" x14ac:dyDescent="0.25">
      <c r="A146" s="13"/>
      <c r="B146" s="13"/>
    </row>
    <row r="147" spans="1:2" x14ac:dyDescent="0.25">
      <c r="A147" s="13"/>
      <c r="B147" s="13"/>
    </row>
    <row r="148" spans="1:2" x14ac:dyDescent="0.25">
      <c r="A148" s="13"/>
      <c r="B148" s="13"/>
    </row>
    <row r="149" spans="1:2" x14ac:dyDescent="0.25">
      <c r="A149" s="13"/>
      <c r="B149" s="13"/>
    </row>
    <row r="150" spans="1:2" x14ac:dyDescent="0.25">
      <c r="A150" s="13"/>
      <c r="B150" s="13"/>
    </row>
    <row r="151" spans="1:2" x14ac:dyDescent="0.25">
      <c r="A151" s="13"/>
      <c r="B151" s="13"/>
    </row>
    <row r="152" spans="1:2" x14ac:dyDescent="0.25">
      <c r="A152" s="13"/>
      <c r="B152" s="13"/>
    </row>
    <row r="153" spans="1:2" x14ac:dyDescent="0.25">
      <c r="A153" s="13"/>
      <c r="B153" s="13"/>
    </row>
    <row r="154" spans="1:2" x14ac:dyDescent="0.25">
      <c r="A154" s="13"/>
      <c r="B154" s="13"/>
    </row>
    <row r="155" spans="1:2" x14ac:dyDescent="0.25">
      <c r="A155" s="13"/>
      <c r="B155" s="13"/>
    </row>
    <row r="156" spans="1:2" x14ac:dyDescent="0.25">
      <c r="A156" s="13"/>
      <c r="B156" s="13"/>
    </row>
    <row r="157" spans="1:2" x14ac:dyDescent="0.25">
      <c r="A157" s="13"/>
      <c r="B157" s="13"/>
    </row>
    <row r="158" spans="1:2" x14ac:dyDescent="0.25">
      <c r="A158" s="13"/>
      <c r="B158" s="13"/>
    </row>
    <row r="159" spans="1:2" x14ac:dyDescent="0.25">
      <c r="A159" s="13"/>
      <c r="B159" s="13"/>
    </row>
    <row r="160" spans="1:2" x14ac:dyDescent="0.25">
      <c r="A160" s="13"/>
      <c r="B160" s="13"/>
    </row>
    <row r="161" spans="1:2" x14ac:dyDescent="0.25">
      <c r="A161" s="13"/>
      <c r="B161" s="13"/>
    </row>
    <row r="162" spans="1:2" x14ac:dyDescent="0.25">
      <c r="A162" s="13"/>
      <c r="B162" s="13"/>
    </row>
    <row r="163" spans="1:2" x14ac:dyDescent="0.25">
      <c r="A163" s="13"/>
      <c r="B163" s="13"/>
    </row>
    <row r="164" spans="1:2" x14ac:dyDescent="0.25">
      <c r="A164" s="13"/>
      <c r="B164" s="13"/>
    </row>
    <row r="165" spans="1:2" x14ac:dyDescent="0.25">
      <c r="A165" s="13"/>
      <c r="B165" s="13"/>
    </row>
    <row r="166" spans="1:2" x14ac:dyDescent="0.25">
      <c r="A166" s="13"/>
      <c r="B166" s="13"/>
    </row>
    <row r="167" spans="1:2" x14ac:dyDescent="0.25">
      <c r="A167" s="13"/>
      <c r="B167" s="13"/>
    </row>
    <row r="168" spans="1:2" x14ac:dyDescent="0.25">
      <c r="A168" s="13"/>
      <c r="B168" s="13"/>
    </row>
    <row r="169" spans="1:2" x14ac:dyDescent="0.25">
      <c r="A169" s="13"/>
      <c r="B169" s="13"/>
    </row>
    <row r="170" spans="1:2" x14ac:dyDescent="0.25">
      <c r="A170" s="13"/>
      <c r="B170" s="13"/>
    </row>
    <row r="171" spans="1:2" x14ac:dyDescent="0.25">
      <c r="A171" s="13"/>
      <c r="B171" s="13"/>
    </row>
    <row r="172" spans="1:2" x14ac:dyDescent="0.25">
      <c r="A172" s="13"/>
      <c r="B172" s="13"/>
    </row>
    <row r="173" spans="1:2" x14ac:dyDescent="0.25">
      <c r="A173" s="13"/>
      <c r="B173" s="13"/>
    </row>
    <row r="174" spans="1:2" x14ac:dyDescent="0.25">
      <c r="A174" s="13"/>
      <c r="B174" s="13"/>
    </row>
    <row r="175" spans="1:2" x14ac:dyDescent="0.25">
      <c r="A175" s="13"/>
      <c r="B175" s="13"/>
    </row>
    <row r="176" spans="1:2" x14ac:dyDescent="0.25">
      <c r="A176" s="13"/>
      <c r="B176" s="13"/>
    </row>
    <row r="177" spans="1:2" x14ac:dyDescent="0.25">
      <c r="A177" s="13"/>
      <c r="B177" s="13"/>
    </row>
    <row r="178" spans="1:2" x14ac:dyDescent="0.25">
      <c r="A178" s="13"/>
      <c r="B178" s="13"/>
    </row>
    <row r="179" spans="1:2" x14ac:dyDescent="0.25">
      <c r="A179" s="13"/>
      <c r="B179" s="13"/>
    </row>
    <row r="180" spans="1:2" x14ac:dyDescent="0.25">
      <c r="A180" s="13"/>
      <c r="B180" s="13"/>
    </row>
    <row r="181" spans="1:2" x14ac:dyDescent="0.25">
      <c r="A181" s="13"/>
      <c r="B181" s="13"/>
    </row>
    <row r="182" spans="1:2" x14ac:dyDescent="0.25">
      <c r="A182" s="13"/>
      <c r="B182" s="13"/>
    </row>
    <row r="183" spans="1:2" x14ac:dyDescent="0.25">
      <c r="A183" s="13"/>
      <c r="B183" s="13"/>
    </row>
    <row r="184" spans="1:2" x14ac:dyDescent="0.25">
      <c r="A184" s="13"/>
      <c r="B184" s="13"/>
    </row>
    <row r="185" spans="1:2" x14ac:dyDescent="0.25">
      <c r="A185" s="13"/>
      <c r="B185" s="13"/>
    </row>
    <row r="186" spans="1:2" x14ac:dyDescent="0.25">
      <c r="A186" s="13"/>
      <c r="B186" s="13"/>
    </row>
    <row r="187" spans="1:2" x14ac:dyDescent="0.25">
      <c r="A187" s="13"/>
      <c r="B187" s="13"/>
    </row>
    <row r="188" spans="1:2" x14ac:dyDescent="0.25">
      <c r="A188" s="13"/>
      <c r="B188" s="13"/>
    </row>
    <row r="189" spans="1:2" x14ac:dyDescent="0.25">
      <c r="A189" s="13"/>
      <c r="B189" s="13"/>
    </row>
    <row r="190" spans="1:2" x14ac:dyDescent="0.25">
      <c r="A190" s="13"/>
      <c r="B190" s="13"/>
    </row>
    <row r="191" spans="1:2" x14ac:dyDescent="0.25">
      <c r="A191" s="13"/>
      <c r="B191" s="13"/>
    </row>
    <row r="192" spans="1:2" x14ac:dyDescent="0.25">
      <c r="A192" s="13"/>
      <c r="B192" s="13"/>
    </row>
    <row r="193" spans="1:2" x14ac:dyDescent="0.25">
      <c r="A193" s="13"/>
      <c r="B193" s="13"/>
    </row>
    <row r="194" spans="1:2" x14ac:dyDescent="0.25">
      <c r="A194" s="13"/>
      <c r="B194" s="13"/>
    </row>
    <row r="195" spans="1:2" x14ac:dyDescent="0.25">
      <c r="A195" s="13"/>
      <c r="B195" s="13"/>
    </row>
    <row r="196" spans="1:2" x14ac:dyDescent="0.25">
      <c r="A196" s="13"/>
      <c r="B196" s="13"/>
    </row>
    <row r="197" spans="1:2" x14ac:dyDescent="0.25">
      <c r="A197" s="13"/>
      <c r="B197" s="13"/>
    </row>
    <row r="198" spans="1:2" x14ac:dyDescent="0.25">
      <c r="A198" s="13"/>
      <c r="B198" s="13"/>
    </row>
    <row r="199" spans="1:2" x14ac:dyDescent="0.25">
      <c r="A199" s="13"/>
      <c r="B199" s="13"/>
    </row>
    <row r="200" spans="1:2" x14ac:dyDescent="0.25">
      <c r="A200" s="13"/>
      <c r="B200" s="13"/>
    </row>
    <row r="201" spans="1:2" x14ac:dyDescent="0.25">
      <c r="A201" s="13"/>
      <c r="B201" s="13"/>
    </row>
    <row r="202" spans="1:2" x14ac:dyDescent="0.25">
      <c r="A202" s="13"/>
      <c r="B202" s="13"/>
    </row>
    <row r="203" spans="1:2" x14ac:dyDescent="0.25">
      <c r="A203" s="13"/>
      <c r="B203" s="13"/>
    </row>
    <row r="204" spans="1:2" x14ac:dyDescent="0.25">
      <c r="A204" s="13"/>
      <c r="B204" s="13"/>
    </row>
    <row r="205" spans="1:2" x14ac:dyDescent="0.25">
      <c r="A205" s="13"/>
      <c r="B205" s="13"/>
    </row>
    <row r="206" spans="1:2" x14ac:dyDescent="0.25">
      <c r="A206" s="13"/>
      <c r="B206" s="13"/>
    </row>
    <row r="207" spans="1:2" x14ac:dyDescent="0.25">
      <c r="A207" s="13"/>
      <c r="B207" s="13"/>
    </row>
    <row r="208" spans="1:2" x14ac:dyDescent="0.25">
      <c r="A208" s="13"/>
      <c r="B208" s="13"/>
    </row>
    <row r="209" spans="1:2" x14ac:dyDescent="0.25">
      <c r="A209" s="13"/>
      <c r="B209" s="13"/>
    </row>
    <row r="210" spans="1:2" x14ac:dyDescent="0.25">
      <c r="A210" s="13"/>
      <c r="B210" s="13"/>
    </row>
    <row r="211" spans="1:2" x14ac:dyDescent="0.25">
      <c r="A211" s="13"/>
      <c r="B211" s="13"/>
    </row>
    <row r="212" spans="1:2" x14ac:dyDescent="0.25">
      <c r="A212" s="13"/>
      <c r="B212" s="13"/>
    </row>
    <row r="213" spans="1:2" x14ac:dyDescent="0.25">
      <c r="A213" s="13"/>
      <c r="B213" s="13"/>
    </row>
    <row r="214" spans="1:2" x14ac:dyDescent="0.25">
      <c r="A214" s="13"/>
      <c r="B214" s="13"/>
    </row>
    <row r="215" spans="1:2" x14ac:dyDescent="0.25">
      <c r="A215" s="13"/>
      <c r="B215" s="13"/>
    </row>
    <row r="216" spans="1:2" x14ac:dyDescent="0.25">
      <c r="A216" s="13"/>
      <c r="B216" s="13"/>
    </row>
    <row r="217" spans="1:2" x14ac:dyDescent="0.25">
      <c r="A217" s="13"/>
      <c r="B217" s="13"/>
    </row>
    <row r="218" spans="1:2" x14ac:dyDescent="0.25">
      <c r="A218" s="13"/>
      <c r="B218" s="13"/>
    </row>
    <row r="219" spans="1:2" x14ac:dyDescent="0.25">
      <c r="A219" s="13"/>
      <c r="B219" s="13"/>
    </row>
    <row r="220" spans="1:2" x14ac:dyDescent="0.25">
      <c r="A220" s="13"/>
      <c r="B220" s="13"/>
    </row>
    <row r="221" spans="1:2" x14ac:dyDescent="0.25">
      <c r="A221" s="13"/>
      <c r="B221" s="13"/>
    </row>
    <row r="222" spans="1:2" x14ac:dyDescent="0.25">
      <c r="A222" s="13"/>
      <c r="B222" s="13"/>
    </row>
    <row r="223" spans="1:2" x14ac:dyDescent="0.25">
      <c r="A223" s="13"/>
      <c r="B223" s="13"/>
    </row>
    <row r="224" spans="1:2" x14ac:dyDescent="0.25">
      <c r="A224" s="13"/>
      <c r="B224" s="13"/>
    </row>
    <row r="225" spans="1:2" x14ac:dyDescent="0.25">
      <c r="A225" s="13"/>
      <c r="B225" s="13"/>
    </row>
    <row r="226" spans="1:2" x14ac:dyDescent="0.25">
      <c r="A226" s="13"/>
      <c r="B226" s="13"/>
    </row>
    <row r="227" spans="1:2" x14ac:dyDescent="0.25">
      <c r="A227" s="13"/>
      <c r="B227" s="13"/>
    </row>
    <row r="228" spans="1:2" x14ac:dyDescent="0.25">
      <c r="A228" s="13"/>
      <c r="B228" s="13"/>
    </row>
    <row r="229" spans="1:2" x14ac:dyDescent="0.25">
      <c r="A229" s="13"/>
      <c r="B229" s="13"/>
    </row>
    <row r="230" spans="1:2" x14ac:dyDescent="0.25">
      <c r="A230" s="13"/>
      <c r="B230" s="13"/>
    </row>
    <row r="231" spans="1:2" x14ac:dyDescent="0.25">
      <c r="A231" s="13"/>
      <c r="B231" s="13"/>
    </row>
    <row r="232" spans="1:2" x14ac:dyDescent="0.25">
      <c r="A232" s="13"/>
      <c r="B232" s="13"/>
    </row>
    <row r="233" spans="1:2" x14ac:dyDescent="0.25">
      <c r="A233" s="13"/>
      <c r="B233" s="13"/>
    </row>
    <row r="234" spans="1:2" x14ac:dyDescent="0.25">
      <c r="A234" s="13"/>
      <c r="B234" s="13"/>
    </row>
    <row r="235" spans="1:2" x14ac:dyDescent="0.25">
      <c r="A235" s="13"/>
      <c r="B235" s="13"/>
    </row>
    <row r="236" spans="1:2" x14ac:dyDescent="0.25">
      <c r="A236" s="13"/>
      <c r="B236" s="13"/>
    </row>
    <row r="237" spans="1:2" x14ac:dyDescent="0.25">
      <c r="A237" s="13"/>
      <c r="B237" s="13"/>
    </row>
    <row r="238" spans="1:2" x14ac:dyDescent="0.25">
      <c r="A238" s="13"/>
      <c r="B238" s="13"/>
    </row>
    <row r="239" spans="1:2" x14ac:dyDescent="0.25">
      <c r="A239" s="13"/>
      <c r="B239" s="13"/>
    </row>
    <row r="240" spans="1:2" x14ac:dyDescent="0.25">
      <c r="A240" s="13"/>
      <c r="B240" s="13"/>
    </row>
    <row r="241" spans="1:2" x14ac:dyDescent="0.25">
      <c r="A241" s="13"/>
      <c r="B241" s="13"/>
    </row>
    <row r="242" spans="1:2" x14ac:dyDescent="0.25">
      <c r="A242" s="13"/>
      <c r="B242" s="13"/>
    </row>
    <row r="243" spans="1:2" x14ac:dyDescent="0.25">
      <c r="A243" s="13"/>
      <c r="B243" s="13"/>
    </row>
    <row r="244" spans="1:2" x14ac:dyDescent="0.25">
      <c r="A244" s="13"/>
      <c r="B244" s="13"/>
    </row>
    <row r="245" spans="1:2" x14ac:dyDescent="0.25">
      <c r="A245" s="13"/>
      <c r="B245" s="13"/>
    </row>
    <row r="246" spans="1:2" x14ac:dyDescent="0.25">
      <c r="A246" s="13"/>
      <c r="B246" s="13"/>
    </row>
    <row r="247" spans="1:2" x14ac:dyDescent="0.25">
      <c r="A247" s="13"/>
      <c r="B247" s="13"/>
    </row>
    <row r="248" spans="1:2" x14ac:dyDescent="0.25">
      <c r="A248" s="13"/>
      <c r="B248" s="13"/>
    </row>
    <row r="249" spans="1:2" x14ac:dyDescent="0.25">
      <c r="A249" s="13"/>
      <c r="B249" s="13"/>
    </row>
    <row r="250" spans="1:2" x14ac:dyDescent="0.25">
      <c r="A250" s="13"/>
      <c r="B250" s="13"/>
    </row>
    <row r="251" spans="1:2" x14ac:dyDescent="0.25">
      <c r="A251" s="13"/>
      <c r="B251" s="13"/>
    </row>
    <row r="252" spans="1:2" x14ac:dyDescent="0.25">
      <c r="A252" s="13"/>
      <c r="B252" s="13"/>
    </row>
    <row r="253" spans="1:2" x14ac:dyDescent="0.25">
      <c r="A253" s="13"/>
      <c r="B253" s="13"/>
    </row>
    <row r="254" spans="1:2" x14ac:dyDescent="0.25">
      <c r="A254" s="13"/>
      <c r="B254" s="13"/>
    </row>
    <row r="255" spans="1:2" x14ac:dyDescent="0.25">
      <c r="A255" s="13"/>
      <c r="B255" s="13"/>
    </row>
    <row r="256" spans="1:2" x14ac:dyDescent="0.25">
      <c r="A256" s="13"/>
      <c r="B256" s="13"/>
    </row>
    <row r="257" spans="1:2" x14ac:dyDescent="0.25">
      <c r="A257" s="13"/>
      <c r="B257" s="13"/>
    </row>
    <row r="258" spans="1:2" x14ac:dyDescent="0.25">
      <c r="A258" s="13"/>
      <c r="B258" s="13"/>
    </row>
    <row r="259" spans="1:2" x14ac:dyDescent="0.25">
      <c r="A259" s="13"/>
      <c r="B259" s="13"/>
    </row>
    <row r="260" spans="1:2" x14ac:dyDescent="0.25">
      <c r="A260" s="13"/>
      <c r="B260" s="13"/>
    </row>
    <row r="261" spans="1:2" x14ac:dyDescent="0.25">
      <c r="A261" s="13"/>
      <c r="B261" s="13"/>
    </row>
    <row r="262" spans="1:2" x14ac:dyDescent="0.25">
      <c r="A262" s="13"/>
      <c r="B262" s="13"/>
    </row>
    <row r="263" spans="1:2" x14ac:dyDescent="0.25">
      <c r="A263" s="13"/>
      <c r="B263" s="13"/>
    </row>
    <row r="264" spans="1:2" x14ac:dyDescent="0.25">
      <c r="A264" s="13"/>
      <c r="B264" s="13"/>
    </row>
    <row r="265" spans="1:2" x14ac:dyDescent="0.25">
      <c r="A265" s="13"/>
      <c r="B265" s="13"/>
    </row>
    <row r="266" spans="1:2" x14ac:dyDescent="0.25">
      <c r="A266" s="13"/>
      <c r="B266" s="13"/>
    </row>
    <row r="267" spans="1:2" x14ac:dyDescent="0.25">
      <c r="A267" s="13"/>
      <c r="B267" s="13"/>
    </row>
    <row r="268" spans="1:2" x14ac:dyDescent="0.25">
      <c r="A268" s="13"/>
      <c r="B268" s="13"/>
    </row>
    <row r="269" spans="1:2" x14ac:dyDescent="0.25">
      <c r="A269" s="13"/>
      <c r="B269" s="13"/>
    </row>
    <row r="270" spans="1:2" x14ac:dyDescent="0.25">
      <c r="A270" s="13"/>
      <c r="B270" s="13"/>
    </row>
    <row r="271" spans="1:2" x14ac:dyDescent="0.25">
      <c r="A271" s="13"/>
      <c r="B271" s="13"/>
    </row>
    <row r="272" spans="1:2" x14ac:dyDescent="0.25">
      <c r="A272" s="13"/>
      <c r="B272" s="13"/>
    </row>
    <row r="273" spans="1:2" x14ac:dyDescent="0.25">
      <c r="A273" s="13"/>
      <c r="B273" s="13"/>
    </row>
    <row r="274" spans="1:2" x14ac:dyDescent="0.25">
      <c r="A274" s="13"/>
      <c r="B274" s="13"/>
    </row>
    <row r="275" spans="1:2" x14ac:dyDescent="0.25">
      <c r="A275" s="13"/>
      <c r="B275" s="13"/>
    </row>
    <row r="276" spans="1:2" x14ac:dyDescent="0.25">
      <c r="A276" s="13"/>
      <c r="B276" s="13"/>
    </row>
    <row r="277" spans="1:2" x14ac:dyDescent="0.25">
      <c r="A277" s="13"/>
      <c r="B277" s="13"/>
    </row>
    <row r="278" spans="1:2" x14ac:dyDescent="0.25">
      <c r="A278" s="13"/>
      <c r="B278" s="13"/>
    </row>
    <row r="279" spans="1:2" x14ac:dyDescent="0.25">
      <c r="A279" s="13"/>
      <c r="B279" s="13"/>
    </row>
    <row r="280" spans="1:2" x14ac:dyDescent="0.25">
      <c r="A280" s="13"/>
      <c r="B280" s="13"/>
    </row>
    <row r="281" spans="1:2" x14ac:dyDescent="0.25">
      <c r="A281" s="13"/>
      <c r="B281" s="13"/>
    </row>
    <row r="282" spans="1:2" x14ac:dyDescent="0.25">
      <c r="A282" s="13"/>
      <c r="B282" s="13"/>
    </row>
    <row r="283" spans="1:2" x14ac:dyDescent="0.25">
      <c r="A283" s="13"/>
      <c r="B283" s="13"/>
    </row>
    <row r="284" spans="1:2" x14ac:dyDescent="0.25">
      <c r="A284" s="13"/>
      <c r="B284" s="13"/>
    </row>
    <row r="285" spans="1:2" x14ac:dyDescent="0.25">
      <c r="A285" s="13"/>
      <c r="B285" s="13"/>
    </row>
    <row r="286" spans="1:2" x14ac:dyDescent="0.25">
      <c r="A286" s="13"/>
      <c r="B286" s="13"/>
    </row>
    <row r="287" spans="1:2" x14ac:dyDescent="0.25">
      <c r="A287" s="13"/>
      <c r="B287" s="13"/>
    </row>
    <row r="288" spans="1:2" x14ac:dyDescent="0.25">
      <c r="A288" s="13"/>
      <c r="B288" s="13"/>
    </row>
    <row r="289" spans="1:2" x14ac:dyDescent="0.25">
      <c r="A289" s="13"/>
      <c r="B289" s="13"/>
    </row>
    <row r="290" spans="1:2" x14ac:dyDescent="0.25">
      <c r="A290" s="13"/>
      <c r="B290" s="13"/>
    </row>
    <row r="291" spans="1:2" x14ac:dyDescent="0.25">
      <c r="A291" s="13"/>
      <c r="B291" s="13"/>
    </row>
    <row r="292" spans="1:2" x14ac:dyDescent="0.25">
      <c r="A292" s="13"/>
      <c r="B292" s="13"/>
    </row>
    <row r="293" spans="1:2" x14ac:dyDescent="0.25">
      <c r="A293" s="13"/>
      <c r="B293" s="13"/>
    </row>
    <row r="294" spans="1:2" x14ac:dyDescent="0.25">
      <c r="A294" s="13"/>
      <c r="B294" s="13"/>
    </row>
    <row r="295" spans="1:2" x14ac:dyDescent="0.25">
      <c r="A295" s="13"/>
      <c r="B295" s="13"/>
    </row>
    <row r="296" spans="1:2" x14ac:dyDescent="0.25">
      <c r="A296" s="13"/>
      <c r="B296" s="13"/>
    </row>
    <row r="297" spans="1:2" x14ac:dyDescent="0.25">
      <c r="A297" s="13"/>
      <c r="B297" s="13"/>
    </row>
    <row r="298" spans="1:2" x14ac:dyDescent="0.25">
      <c r="A298" s="13"/>
      <c r="B298" s="13"/>
    </row>
    <row r="299" spans="1:2" x14ac:dyDescent="0.25">
      <c r="A299" s="13"/>
      <c r="B299" s="13"/>
    </row>
    <row r="300" spans="1:2" x14ac:dyDescent="0.25">
      <c r="A300" s="13"/>
      <c r="B300" s="13"/>
    </row>
    <row r="301" spans="1:2" x14ac:dyDescent="0.25">
      <c r="A301" s="13"/>
      <c r="B301" s="13"/>
    </row>
    <row r="302" spans="1:2" x14ac:dyDescent="0.25">
      <c r="A302" s="13"/>
      <c r="B302" s="13"/>
    </row>
    <row r="303" spans="1:2" x14ac:dyDescent="0.25">
      <c r="A303" s="13"/>
      <c r="B303" s="13"/>
    </row>
    <row r="304" spans="1:2" x14ac:dyDescent="0.25">
      <c r="A304" s="13"/>
      <c r="B304" s="13"/>
    </row>
    <row r="305" spans="1:2" x14ac:dyDescent="0.25">
      <c r="A305" s="13"/>
      <c r="B305" s="13"/>
    </row>
    <row r="306" spans="1:2" x14ac:dyDescent="0.25">
      <c r="A306" s="13"/>
      <c r="B306" s="13"/>
    </row>
    <row r="307" spans="1:2" x14ac:dyDescent="0.25">
      <c r="A307" s="13"/>
      <c r="B307" s="13"/>
    </row>
    <row r="308" spans="1:2" x14ac:dyDescent="0.25">
      <c r="A308" s="13"/>
      <c r="B308" s="13"/>
    </row>
    <row r="309" spans="1:2" x14ac:dyDescent="0.25">
      <c r="A309" s="13"/>
      <c r="B309" s="13"/>
    </row>
    <row r="310" spans="1:2" x14ac:dyDescent="0.25">
      <c r="A310" s="13"/>
      <c r="B310" s="13"/>
    </row>
    <row r="311" spans="1:2" x14ac:dyDescent="0.25">
      <c r="A311" s="13"/>
      <c r="B311" s="13"/>
    </row>
    <row r="312" spans="1:2" x14ac:dyDescent="0.25">
      <c r="A312" s="13"/>
      <c r="B312" s="13"/>
    </row>
    <row r="313" spans="1:2" x14ac:dyDescent="0.25">
      <c r="A313" s="13"/>
      <c r="B313" s="13"/>
    </row>
    <row r="314" spans="1:2" x14ac:dyDescent="0.25">
      <c r="A314" s="13"/>
      <c r="B314" s="13"/>
    </row>
    <row r="315" spans="1:2" x14ac:dyDescent="0.25">
      <c r="A315" s="13"/>
      <c r="B315" s="13"/>
    </row>
    <row r="316" spans="1:2" x14ac:dyDescent="0.25">
      <c r="A316" s="13"/>
      <c r="B316" s="13"/>
    </row>
    <row r="317" spans="1:2" x14ac:dyDescent="0.25">
      <c r="A317" s="13"/>
      <c r="B317" s="13"/>
    </row>
    <row r="318" spans="1:2" x14ac:dyDescent="0.25">
      <c r="A318" s="13"/>
      <c r="B318" s="13"/>
    </row>
    <row r="319" spans="1:2" x14ac:dyDescent="0.25">
      <c r="A319" s="13"/>
      <c r="B319" s="13"/>
    </row>
    <row r="320" spans="1:2" x14ac:dyDescent="0.25">
      <c r="A320" s="13"/>
      <c r="B320" s="13"/>
    </row>
    <row r="321" spans="1:2" x14ac:dyDescent="0.25">
      <c r="A321" s="13"/>
      <c r="B321" s="13"/>
    </row>
    <row r="322" spans="1:2" x14ac:dyDescent="0.25">
      <c r="A322" s="13"/>
      <c r="B322" s="13"/>
    </row>
    <row r="323" spans="1:2" x14ac:dyDescent="0.25">
      <c r="A323" s="13"/>
      <c r="B323" s="13"/>
    </row>
    <row r="324" spans="1:2" x14ac:dyDescent="0.25">
      <c r="A324" s="13"/>
      <c r="B324" s="13"/>
    </row>
    <row r="325" spans="1:2" x14ac:dyDescent="0.25">
      <c r="A325" s="13"/>
      <c r="B325" s="13"/>
    </row>
    <row r="326" spans="1:2" x14ac:dyDescent="0.25">
      <c r="A326" s="13"/>
      <c r="B326" s="13"/>
    </row>
    <row r="327" spans="1:2" x14ac:dyDescent="0.25">
      <c r="A327" s="13"/>
      <c r="B327" s="13"/>
    </row>
    <row r="328" spans="1:2" x14ac:dyDescent="0.25">
      <c r="A328" s="13"/>
      <c r="B328" s="13"/>
    </row>
    <row r="329" spans="1:2" x14ac:dyDescent="0.25">
      <c r="A329" s="13"/>
      <c r="B329" s="13"/>
    </row>
    <row r="330" spans="1:2" x14ac:dyDescent="0.25">
      <c r="A330" s="13"/>
      <c r="B330" s="13"/>
    </row>
    <row r="331" spans="1:2" x14ac:dyDescent="0.25">
      <c r="A331" s="13"/>
      <c r="B331" s="13"/>
    </row>
    <row r="332" spans="1:2" x14ac:dyDescent="0.25">
      <c r="A332" s="13"/>
      <c r="B332" s="13"/>
    </row>
    <row r="333" spans="1:2" x14ac:dyDescent="0.25">
      <c r="A333" s="13"/>
      <c r="B333" s="13"/>
    </row>
    <row r="334" spans="1:2" x14ac:dyDescent="0.25">
      <c r="A334" s="13"/>
      <c r="B334" s="13"/>
    </row>
    <row r="335" spans="1:2" x14ac:dyDescent="0.25">
      <c r="A335" s="13"/>
      <c r="B335" s="13"/>
    </row>
    <row r="336" spans="1:2" x14ac:dyDescent="0.25">
      <c r="A336" s="13"/>
      <c r="B336" s="13"/>
    </row>
    <row r="337" spans="1:2" x14ac:dyDescent="0.25">
      <c r="A337" s="13"/>
      <c r="B337" s="13"/>
    </row>
    <row r="338" spans="1:2" x14ac:dyDescent="0.25">
      <c r="A338" s="13"/>
      <c r="B338" s="13"/>
    </row>
    <row r="339" spans="1:2" x14ac:dyDescent="0.25">
      <c r="A339" s="13"/>
      <c r="B339" s="13"/>
    </row>
    <row r="340" spans="1:2" x14ac:dyDescent="0.25">
      <c r="A340" s="13"/>
      <c r="B340" s="13"/>
    </row>
    <row r="341" spans="1:2" x14ac:dyDescent="0.25">
      <c r="A341" s="13"/>
      <c r="B341" s="13"/>
    </row>
    <row r="342" spans="1:2" x14ac:dyDescent="0.25">
      <c r="A342" s="13"/>
      <c r="B342" s="13"/>
    </row>
    <row r="343" spans="1:2" x14ac:dyDescent="0.25">
      <c r="A343" s="13"/>
      <c r="B343" s="13"/>
    </row>
    <row r="344" spans="1:2" x14ac:dyDescent="0.25">
      <c r="A344" s="13"/>
      <c r="B344" s="13"/>
    </row>
    <row r="345" spans="1:2" x14ac:dyDescent="0.25">
      <c r="A345" s="13"/>
      <c r="B345" s="13"/>
    </row>
    <row r="346" spans="1:2" x14ac:dyDescent="0.25">
      <c r="A346" s="13"/>
      <c r="B346" s="13"/>
    </row>
    <row r="347" spans="1:2" x14ac:dyDescent="0.25">
      <c r="A347" s="13"/>
      <c r="B347" s="13"/>
    </row>
    <row r="348" spans="1:2" x14ac:dyDescent="0.25">
      <c r="A348" s="13"/>
      <c r="B348" s="13"/>
    </row>
    <row r="349" spans="1:2" x14ac:dyDescent="0.25">
      <c r="A349" s="13"/>
      <c r="B349" s="13"/>
    </row>
    <row r="350" spans="1:2" x14ac:dyDescent="0.25">
      <c r="A350" s="13"/>
      <c r="B350" s="13"/>
    </row>
    <row r="351" spans="1:2" x14ac:dyDescent="0.25">
      <c r="A351" s="13"/>
      <c r="B351" s="13"/>
    </row>
    <row r="352" spans="1:2" x14ac:dyDescent="0.25">
      <c r="A352" s="13"/>
      <c r="B352" s="13"/>
    </row>
    <row r="353" spans="1:2" x14ac:dyDescent="0.25">
      <c r="A353" s="13"/>
      <c r="B353" s="13"/>
    </row>
    <row r="354" spans="1:2" x14ac:dyDescent="0.25">
      <c r="A354" s="13"/>
      <c r="B354" s="13"/>
    </row>
    <row r="355" spans="1:2" x14ac:dyDescent="0.25">
      <c r="A355" s="13"/>
      <c r="B355" s="13"/>
    </row>
    <row r="356" spans="1:2" x14ac:dyDescent="0.25">
      <c r="A356" s="13"/>
      <c r="B356" s="13"/>
    </row>
    <row r="357" spans="1:2" x14ac:dyDescent="0.25">
      <c r="A357" s="13"/>
      <c r="B357" s="13"/>
    </row>
    <row r="358" spans="1:2" x14ac:dyDescent="0.25">
      <c r="A358" s="13"/>
      <c r="B358" s="13"/>
    </row>
    <row r="359" spans="1:2" x14ac:dyDescent="0.25">
      <c r="A359" s="13"/>
      <c r="B359" s="13"/>
    </row>
    <row r="360" spans="1:2" x14ac:dyDescent="0.25">
      <c r="A360" s="13"/>
      <c r="B360" s="13"/>
    </row>
    <row r="361" spans="1:2" x14ac:dyDescent="0.25">
      <c r="A361" s="13"/>
      <c r="B361" s="13"/>
    </row>
    <row r="362" spans="1:2" x14ac:dyDescent="0.25">
      <c r="A362" s="13"/>
      <c r="B362" s="13"/>
    </row>
    <row r="363" spans="1:2" x14ac:dyDescent="0.25">
      <c r="A363" s="13"/>
      <c r="B363" s="13"/>
    </row>
    <row r="364" spans="1:2" x14ac:dyDescent="0.25">
      <c r="A364" s="13"/>
      <c r="B364" s="13"/>
    </row>
    <row r="365" spans="1:2" x14ac:dyDescent="0.25">
      <c r="A365" s="13"/>
      <c r="B365" s="13"/>
    </row>
    <row r="366" spans="1:2" x14ac:dyDescent="0.25">
      <c r="A366" s="13"/>
      <c r="B366" s="13"/>
    </row>
    <row r="367" spans="1:2" x14ac:dyDescent="0.25">
      <c r="A367" s="13"/>
      <c r="B367" s="13"/>
    </row>
    <row r="368" spans="1:2" x14ac:dyDescent="0.25">
      <c r="A368" s="13"/>
      <c r="B368" s="13"/>
    </row>
    <row r="369" spans="1:2" x14ac:dyDescent="0.25">
      <c r="A369" s="13"/>
      <c r="B369" s="13"/>
    </row>
    <row r="370" spans="1:2" x14ac:dyDescent="0.25">
      <c r="A370" s="13"/>
      <c r="B370" s="13"/>
    </row>
    <row r="371" spans="1:2" x14ac:dyDescent="0.25">
      <c r="A371" s="13"/>
      <c r="B371" s="13"/>
    </row>
    <row r="372" spans="1:2" x14ac:dyDescent="0.25">
      <c r="A372" s="13"/>
      <c r="B372" s="13"/>
    </row>
    <row r="373" spans="1:2" x14ac:dyDescent="0.25">
      <c r="A373" s="13"/>
      <c r="B373" s="13"/>
    </row>
    <row r="374" spans="1:2" x14ac:dyDescent="0.25">
      <c r="A374" s="13"/>
      <c r="B374" s="13"/>
    </row>
    <row r="375" spans="1:2" x14ac:dyDescent="0.25">
      <c r="A375" s="13"/>
      <c r="B375" s="13"/>
    </row>
    <row r="376" spans="1:2" x14ac:dyDescent="0.25">
      <c r="A376" s="13"/>
      <c r="B376" s="13"/>
    </row>
    <row r="377" spans="1:2" x14ac:dyDescent="0.25">
      <c r="A377" s="13"/>
      <c r="B377" s="13"/>
    </row>
    <row r="378" spans="1:2" x14ac:dyDescent="0.25">
      <c r="A378" s="13"/>
      <c r="B378" s="13"/>
    </row>
    <row r="379" spans="1:2" x14ac:dyDescent="0.25">
      <c r="A379" s="13"/>
      <c r="B379" s="13"/>
    </row>
    <row r="380" spans="1:2" x14ac:dyDescent="0.25">
      <c r="A380" s="13"/>
      <c r="B380" s="13"/>
    </row>
    <row r="381" spans="1:2" x14ac:dyDescent="0.25">
      <c r="A381" s="13"/>
      <c r="B381" s="13"/>
    </row>
    <row r="382" spans="1:2" x14ac:dyDescent="0.25">
      <c r="A382" s="13"/>
      <c r="B382" s="13"/>
    </row>
    <row r="383" spans="1:2" x14ac:dyDescent="0.25">
      <c r="A383" s="13"/>
      <c r="B383" s="13"/>
    </row>
    <row r="384" spans="1:2" x14ac:dyDescent="0.25">
      <c r="A384" s="13"/>
      <c r="B384" s="13"/>
    </row>
    <row r="385" spans="1:2" x14ac:dyDescent="0.25">
      <c r="A385" s="13"/>
      <c r="B385" s="13"/>
    </row>
    <row r="386" spans="1:2" x14ac:dyDescent="0.25">
      <c r="A386" s="13"/>
      <c r="B386" s="13"/>
    </row>
    <row r="387" spans="1:2" x14ac:dyDescent="0.25">
      <c r="A387" s="13"/>
      <c r="B387" s="13"/>
    </row>
    <row r="388" spans="1:2" x14ac:dyDescent="0.25">
      <c r="A388" s="13"/>
      <c r="B388" s="13"/>
    </row>
    <row r="389" spans="1:2" x14ac:dyDescent="0.25">
      <c r="A389" s="13"/>
      <c r="B389" s="13"/>
    </row>
    <row r="390" spans="1:2" x14ac:dyDescent="0.25">
      <c r="A390" s="13"/>
      <c r="B390" s="13"/>
    </row>
    <row r="391" spans="1:2" x14ac:dyDescent="0.25">
      <c r="A391" s="13"/>
      <c r="B391" s="13"/>
    </row>
    <row r="392" spans="1:2" x14ac:dyDescent="0.25">
      <c r="A392" s="13"/>
      <c r="B392" s="13"/>
    </row>
    <row r="393" spans="1:2" x14ac:dyDescent="0.25">
      <c r="A393" s="13"/>
      <c r="B393" s="13"/>
    </row>
    <row r="394" spans="1:2" x14ac:dyDescent="0.25">
      <c r="A394" s="13"/>
      <c r="B394" s="13"/>
    </row>
    <row r="395" spans="1:2" x14ac:dyDescent="0.25">
      <c r="A395" s="13"/>
      <c r="B395" s="13"/>
    </row>
    <row r="396" spans="1:2" x14ac:dyDescent="0.25">
      <c r="A396" s="13"/>
      <c r="B396" s="13"/>
    </row>
    <row r="397" spans="1:2" x14ac:dyDescent="0.25">
      <c r="A397" s="13"/>
      <c r="B397" s="13"/>
    </row>
    <row r="398" spans="1:2" x14ac:dyDescent="0.25">
      <c r="A398" s="13"/>
      <c r="B398" s="13"/>
    </row>
    <row r="399" spans="1:2" x14ac:dyDescent="0.25">
      <c r="A399" s="13"/>
      <c r="B399" s="13"/>
    </row>
    <row r="400" spans="1:2" x14ac:dyDescent="0.25">
      <c r="A400" s="13"/>
      <c r="B400" s="13"/>
    </row>
    <row r="401" spans="1:2" x14ac:dyDescent="0.25">
      <c r="A401" s="13"/>
      <c r="B401" s="13"/>
    </row>
    <row r="402" spans="1:2" x14ac:dyDescent="0.25">
      <c r="A402" s="13"/>
      <c r="B402" s="13"/>
    </row>
    <row r="403" spans="1:2" x14ac:dyDescent="0.25">
      <c r="A403" s="13"/>
      <c r="B403" s="13"/>
    </row>
    <row r="404" spans="1:2" x14ac:dyDescent="0.25">
      <c r="A404" s="13"/>
      <c r="B404" s="13"/>
    </row>
    <row r="405" spans="1:2" x14ac:dyDescent="0.25">
      <c r="A405" s="13"/>
      <c r="B405" s="13"/>
    </row>
    <row r="406" spans="1:2" x14ac:dyDescent="0.25">
      <c r="A406" s="13"/>
      <c r="B406" s="13"/>
    </row>
    <row r="407" spans="1:2" x14ac:dyDescent="0.25">
      <c r="A407" s="13"/>
      <c r="B407" s="13"/>
    </row>
    <row r="408" spans="1:2" x14ac:dyDescent="0.25">
      <c r="A408" s="13"/>
      <c r="B408" s="13"/>
    </row>
    <row r="409" spans="1:2" x14ac:dyDescent="0.25">
      <c r="A409" s="13"/>
      <c r="B409" s="13"/>
    </row>
    <row r="410" spans="1:2" x14ac:dyDescent="0.25">
      <c r="A410" s="13"/>
      <c r="B410" s="13"/>
    </row>
    <row r="411" spans="1:2" x14ac:dyDescent="0.25">
      <c r="A411" s="13"/>
      <c r="B411" s="13"/>
    </row>
    <row r="412" spans="1:2" x14ac:dyDescent="0.25">
      <c r="A412" s="13"/>
      <c r="B412" s="13"/>
    </row>
    <row r="413" spans="1:2" x14ac:dyDescent="0.25">
      <c r="A413" s="13"/>
      <c r="B413" s="13"/>
    </row>
    <row r="414" spans="1:2" x14ac:dyDescent="0.25">
      <c r="A414" s="13"/>
      <c r="B414" s="13"/>
    </row>
    <row r="415" spans="1:2" x14ac:dyDescent="0.25">
      <c r="A415" s="13"/>
      <c r="B415" s="13"/>
    </row>
    <row r="416" spans="1:2" x14ac:dyDescent="0.25">
      <c r="A416" s="13"/>
      <c r="B416" s="13"/>
    </row>
    <row r="417" spans="1:2" x14ac:dyDescent="0.25">
      <c r="A417" s="13"/>
      <c r="B417" s="13"/>
    </row>
    <row r="418" spans="1:2" x14ac:dyDescent="0.25">
      <c r="A418" s="13"/>
      <c r="B418" s="13"/>
    </row>
    <row r="419" spans="1:2" x14ac:dyDescent="0.25">
      <c r="A419" s="13"/>
      <c r="B419" s="13"/>
    </row>
    <row r="420" spans="1:2" x14ac:dyDescent="0.25">
      <c r="A420" s="13"/>
      <c r="B420" s="13"/>
    </row>
    <row r="421" spans="1:2" x14ac:dyDescent="0.25">
      <c r="A421" s="13"/>
      <c r="B421" s="13"/>
    </row>
    <row r="422" spans="1:2" x14ac:dyDescent="0.25">
      <c r="A422" s="13"/>
      <c r="B422" s="13"/>
    </row>
    <row r="423" spans="1:2" x14ac:dyDescent="0.25">
      <c r="A423" s="13"/>
      <c r="B423" s="13"/>
    </row>
    <row r="424" spans="1:2" x14ac:dyDescent="0.25">
      <c r="A424" s="13"/>
      <c r="B424" s="13"/>
    </row>
    <row r="425" spans="1:2" x14ac:dyDescent="0.25">
      <c r="A425" s="13"/>
      <c r="B425" s="13"/>
    </row>
    <row r="426" spans="1:2" x14ac:dyDescent="0.25">
      <c r="A426" s="13"/>
      <c r="B426" s="13"/>
    </row>
    <row r="427" spans="1:2" x14ac:dyDescent="0.25">
      <c r="A427" s="13"/>
      <c r="B427" s="13"/>
    </row>
    <row r="428" spans="1:2" x14ac:dyDescent="0.25">
      <c r="A428" s="13"/>
      <c r="B428" s="13"/>
    </row>
    <row r="429" spans="1:2" x14ac:dyDescent="0.25">
      <c r="A429" s="13"/>
      <c r="B429" s="13"/>
    </row>
    <row r="430" spans="1:2" x14ac:dyDescent="0.25">
      <c r="A430" s="13"/>
      <c r="B430" s="13"/>
    </row>
    <row r="431" spans="1:2" x14ac:dyDescent="0.25">
      <c r="A431" s="13"/>
      <c r="B431" s="13"/>
    </row>
    <row r="432" spans="1:2" x14ac:dyDescent="0.25">
      <c r="A432" s="13"/>
      <c r="B432" s="13"/>
    </row>
    <row r="433" spans="1:2" x14ac:dyDescent="0.25">
      <c r="A433" s="13"/>
      <c r="B433" s="13"/>
    </row>
    <row r="434" spans="1:2" x14ac:dyDescent="0.25">
      <c r="A434" s="13"/>
      <c r="B434" s="13"/>
    </row>
    <row r="435" spans="1:2" x14ac:dyDescent="0.25">
      <c r="A435" s="13"/>
      <c r="B435" s="13"/>
    </row>
    <row r="436" spans="1:2" x14ac:dyDescent="0.25">
      <c r="A436" s="13"/>
      <c r="B436" s="13"/>
    </row>
    <row r="437" spans="1:2" x14ac:dyDescent="0.25">
      <c r="A437" s="13"/>
      <c r="B437" s="13"/>
    </row>
    <row r="438" spans="1:2" x14ac:dyDescent="0.25">
      <c r="A438" s="13"/>
      <c r="B438" s="13"/>
    </row>
    <row r="439" spans="1:2" x14ac:dyDescent="0.25">
      <c r="A439" s="13"/>
      <c r="B439" s="13"/>
    </row>
    <row r="440" spans="1:2" x14ac:dyDescent="0.25">
      <c r="A440" s="13"/>
      <c r="B440" s="13"/>
    </row>
    <row r="441" spans="1:2" x14ac:dyDescent="0.25">
      <c r="A441" s="13"/>
      <c r="B441" s="13"/>
    </row>
    <row r="442" spans="1:2" x14ac:dyDescent="0.25">
      <c r="A442" s="13"/>
      <c r="B442" s="13"/>
    </row>
    <row r="443" spans="1:2" x14ac:dyDescent="0.25">
      <c r="A443" s="13"/>
      <c r="B443" s="13"/>
    </row>
    <row r="444" spans="1:2" x14ac:dyDescent="0.25">
      <c r="A444" s="13"/>
      <c r="B444" s="13"/>
    </row>
    <row r="445" spans="1:2" x14ac:dyDescent="0.25">
      <c r="A445" s="13"/>
      <c r="B445" s="13"/>
    </row>
    <row r="446" spans="1:2" x14ac:dyDescent="0.25">
      <c r="A446" s="13"/>
      <c r="B446" s="13"/>
    </row>
    <row r="447" spans="1:2" x14ac:dyDescent="0.25">
      <c r="A447" s="13"/>
      <c r="B447" s="13"/>
    </row>
    <row r="448" spans="1:2" x14ac:dyDescent="0.25">
      <c r="A448" s="13"/>
      <c r="B448" s="13"/>
    </row>
    <row r="449" spans="1:2" x14ac:dyDescent="0.25">
      <c r="A449" s="13"/>
      <c r="B449" s="13"/>
    </row>
    <row r="450" spans="1:2" x14ac:dyDescent="0.25">
      <c r="A450" s="13"/>
      <c r="B450" s="13"/>
    </row>
    <row r="451" spans="1:2" x14ac:dyDescent="0.25">
      <c r="A451" s="13"/>
      <c r="B451" s="13"/>
    </row>
    <row r="452" spans="1:2" x14ac:dyDescent="0.25">
      <c r="A452" s="13"/>
      <c r="B452" s="13"/>
    </row>
    <row r="453" spans="1:2" x14ac:dyDescent="0.25">
      <c r="A453" s="13"/>
      <c r="B453" s="13"/>
    </row>
    <row r="454" spans="1:2" x14ac:dyDescent="0.25">
      <c r="A454" s="13"/>
      <c r="B454" s="13"/>
    </row>
    <row r="455" spans="1:2" x14ac:dyDescent="0.25">
      <c r="A455" s="13"/>
      <c r="B455" s="13"/>
    </row>
    <row r="456" spans="1:2" x14ac:dyDescent="0.25">
      <c r="A456" s="13"/>
      <c r="B456" s="13"/>
    </row>
    <row r="457" spans="1:2" x14ac:dyDescent="0.25">
      <c r="A457" s="13"/>
      <c r="B457" s="13"/>
    </row>
    <row r="458" spans="1:2" x14ac:dyDescent="0.25">
      <c r="A458" s="13"/>
      <c r="B458" s="13"/>
    </row>
    <row r="459" spans="1:2" x14ac:dyDescent="0.25">
      <c r="A459" s="13"/>
      <c r="B459" s="13"/>
    </row>
    <row r="460" spans="1:2" x14ac:dyDescent="0.25">
      <c r="A460" s="13"/>
      <c r="B460" s="13"/>
    </row>
    <row r="461" spans="1:2" x14ac:dyDescent="0.25">
      <c r="A461" s="13"/>
      <c r="B461" s="13"/>
    </row>
    <row r="462" spans="1:2" x14ac:dyDescent="0.25">
      <c r="A462" s="13"/>
      <c r="B462" s="13"/>
    </row>
    <row r="463" spans="1:2" x14ac:dyDescent="0.25">
      <c r="A463" s="13"/>
      <c r="B463" s="13"/>
    </row>
    <row r="464" spans="1:2" x14ac:dyDescent="0.25">
      <c r="A464" s="13"/>
      <c r="B464" s="13"/>
    </row>
    <row r="465" spans="1:2" x14ac:dyDescent="0.25">
      <c r="A465" s="13"/>
      <c r="B465" s="13"/>
    </row>
    <row r="466" spans="1:2" x14ac:dyDescent="0.25">
      <c r="A466" s="13"/>
      <c r="B466" s="13"/>
    </row>
    <row r="467" spans="1:2" x14ac:dyDescent="0.25">
      <c r="A467" s="13"/>
      <c r="B467" s="13"/>
    </row>
    <row r="468" spans="1:2" x14ac:dyDescent="0.25">
      <c r="A468" s="13"/>
      <c r="B468" s="13"/>
    </row>
    <row r="469" spans="1:2" x14ac:dyDescent="0.25">
      <c r="A469" s="13"/>
      <c r="B469" s="13"/>
    </row>
    <row r="470" spans="1:2" x14ac:dyDescent="0.25">
      <c r="A470" s="13"/>
      <c r="B470" s="13"/>
    </row>
    <row r="471" spans="1:2" x14ac:dyDescent="0.25">
      <c r="A471" s="13"/>
      <c r="B471" s="13"/>
    </row>
    <row r="472" spans="1:2" x14ac:dyDescent="0.25">
      <c r="A472" s="13"/>
      <c r="B472" s="13"/>
    </row>
    <row r="473" spans="1:2" x14ac:dyDescent="0.25">
      <c r="A473" s="13"/>
      <c r="B473" s="13"/>
    </row>
    <row r="474" spans="1:2" x14ac:dyDescent="0.25">
      <c r="A474" s="13"/>
      <c r="B474" s="13"/>
    </row>
    <row r="475" spans="1:2" x14ac:dyDescent="0.25">
      <c r="A475" s="13"/>
      <c r="B475" s="13"/>
    </row>
    <row r="476" spans="1:2" x14ac:dyDescent="0.25">
      <c r="A476" s="13"/>
      <c r="B476" s="13"/>
    </row>
    <row r="477" spans="1:2" x14ac:dyDescent="0.25">
      <c r="A477" s="13"/>
      <c r="B477" s="13"/>
    </row>
    <row r="478" spans="1:2" x14ac:dyDescent="0.25">
      <c r="A478" s="13"/>
      <c r="B478" s="13"/>
    </row>
    <row r="479" spans="1:2" x14ac:dyDescent="0.25">
      <c r="A479" s="13"/>
      <c r="B479" s="13"/>
    </row>
    <row r="480" spans="1:2" x14ac:dyDescent="0.25">
      <c r="A480" s="13"/>
      <c r="B480" s="13"/>
    </row>
    <row r="481" spans="1:2" x14ac:dyDescent="0.25">
      <c r="A481" s="13"/>
      <c r="B481" s="13"/>
    </row>
    <row r="482" spans="1:2" x14ac:dyDescent="0.25">
      <c r="A482" s="13"/>
      <c r="B482" s="13"/>
    </row>
    <row r="483" spans="1:2" x14ac:dyDescent="0.25">
      <c r="A483" s="13"/>
      <c r="B483" s="13"/>
    </row>
    <row r="484" spans="1:2" x14ac:dyDescent="0.25">
      <c r="A484" s="13"/>
      <c r="B484" s="13"/>
    </row>
    <row r="485" spans="1:2" x14ac:dyDescent="0.25">
      <c r="A485" s="13"/>
      <c r="B485" s="13"/>
    </row>
    <row r="486" spans="1:2" x14ac:dyDescent="0.25">
      <c r="A486" s="13"/>
      <c r="B486" s="13"/>
    </row>
    <row r="487" spans="1:2" x14ac:dyDescent="0.25">
      <c r="A487" s="13"/>
      <c r="B487" s="13"/>
    </row>
    <row r="488" spans="1:2" x14ac:dyDescent="0.25">
      <c r="A488" s="13"/>
      <c r="B488" s="13"/>
    </row>
    <row r="489" spans="1:2" x14ac:dyDescent="0.25">
      <c r="A489" s="13"/>
      <c r="B489" s="13"/>
    </row>
    <row r="490" spans="1:2" x14ac:dyDescent="0.25">
      <c r="A490" s="13"/>
      <c r="B490" s="13"/>
    </row>
    <row r="491" spans="1:2" x14ac:dyDescent="0.25">
      <c r="A491" s="13"/>
      <c r="B491" s="13"/>
    </row>
    <row r="492" spans="1:2" x14ac:dyDescent="0.25">
      <c r="A492" s="13"/>
      <c r="B492" s="13"/>
    </row>
    <row r="493" spans="1:2" x14ac:dyDescent="0.25">
      <c r="A493" s="13"/>
      <c r="B493" s="13"/>
    </row>
    <row r="494" spans="1:2" x14ac:dyDescent="0.25">
      <c r="A494" s="13"/>
      <c r="B494" s="13"/>
    </row>
    <row r="495" spans="1:2" x14ac:dyDescent="0.25">
      <c r="A495" s="13"/>
      <c r="B495" s="13"/>
    </row>
    <row r="496" spans="1:2" x14ac:dyDescent="0.25">
      <c r="A496" s="13"/>
      <c r="B496" s="13"/>
    </row>
    <row r="497" spans="1:2" x14ac:dyDescent="0.25">
      <c r="A497" s="13"/>
      <c r="B497" s="13"/>
    </row>
    <row r="498" spans="1:2" x14ac:dyDescent="0.25">
      <c r="A498" s="13"/>
      <c r="B498" s="13"/>
    </row>
    <row r="499" spans="1:2" x14ac:dyDescent="0.25">
      <c r="A499" s="13"/>
      <c r="B499" s="13"/>
    </row>
    <row r="500" spans="1:2" x14ac:dyDescent="0.25">
      <c r="A500" s="13"/>
      <c r="B500" s="13"/>
    </row>
    <row r="501" spans="1:2" x14ac:dyDescent="0.25">
      <c r="A501" s="13"/>
      <c r="B501" s="13"/>
    </row>
    <row r="502" spans="1:2" x14ac:dyDescent="0.25">
      <c r="A502" s="13"/>
      <c r="B502" s="13"/>
    </row>
    <row r="503" spans="1:2" x14ac:dyDescent="0.25">
      <c r="A503" s="13"/>
      <c r="B503" s="13"/>
    </row>
    <row r="504" spans="1:2" x14ac:dyDescent="0.25">
      <c r="A504" s="13"/>
      <c r="B504" s="13"/>
    </row>
    <row r="505" spans="1:2" x14ac:dyDescent="0.25">
      <c r="A505" s="13"/>
      <c r="B505" s="13"/>
    </row>
    <row r="506" spans="1:2" x14ac:dyDescent="0.25">
      <c r="A506" s="13"/>
      <c r="B506" s="13"/>
    </row>
    <row r="507" spans="1:2" x14ac:dyDescent="0.25">
      <c r="A507" s="13"/>
      <c r="B507" s="13"/>
    </row>
    <row r="508" spans="1:2" x14ac:dyDescent="0.25">
      <c r="A508" s="13"/>
      <c r="B508" s="13"/>
    </row>
    <row r="509" spans="1:2" x14ac:dyDescent="0.25">
      <c r="A509" s="13"/>
      <c r="B509" s="13"/>
    </row>
    <row r="510" spans="1:2" x14ac:dyDescent="0.25">
      <c r="A510" s="13"/>
      <c r="B510" s="13"/>
    </row>
    <row r="511" spans="1:2" x14ac:dyDescent="0.25">
      <c r="A511" s="13"/>
      <c r="B511" s="13"/>
    </row>
    <row r="512" spans="1:2" x14ac:dyDescent="0.25">
      <c r="A512" s="13"/>
      <c r="B512" s="13"/>
    </row>
    <row r="513" spans="1:2" x14ac:dyDescent="0.25">
      <c r="A513" s="13"/>
      <c r="B513" s="13"/>
    </row>
    <row r="514" spans="1:2" x14ac:dyDescent="0.25">
      <c r="A514" s="13"/>
      <c r="B514" s="13"/>
    </row>
    <row r="515" spans="1:2" x14ac:dyDescent="0.25">
      <c r="A515" s="13"/>
      <c r="B515" s="13"/>
    </row>
    <row r="516" spans="1:2" x14ac:dyDescent="0.25">
      <c r="A516" s="13"/>
      <c r="B516" s="13"/>
    </row>
    <row r="517" spans="1:2" x14ac:dyDescent="0.25">
      <c r="A517" s="13"/>
      <c r="B517" s="13"/>
    </row>
    <row r="518" spans="1:2" x14ac:dyDescent="0.25">
      <c r="A518" s="13"/>
      <c r="B518" s="13"/>
    </row>
    <row r="519" spans="1:2" x14ac:dyDescent="0.25">
      <c r="A519" s="13"/>
      <c r="B519" s="13"/>
    </row>
    <row r="520" spans="1:2" x14ac:dyDescent="0.25">
      <c r="A520" s="13"/>
      <c r="B520" s="13"/>
    </row>
    <row r="521" spans="1:2" x14ac:dyDescent="0.25">
      <c r="A521" s="13"/>
      <c r="B521" s="13"/>
    </row>
    <row r="522" spans="1:2" x14ac:dyDescent="0.25">
      <c r="A522" s="13"/>
      <c r="B522" s="13"/>
    </row>
    <row r="523" spans="1:2" x14ac:dyDescent="0.25">
      <c r="A523" s="13"/>
      <c r="B523" s="13"/>
    </row>
    <row r="524" spans="1:2" x14ac:dyDescent="0.25">
      <c r="A524" s="13"/>
      <c r="B524" s="13"/>
    </row>
    <row r="525" spans="1:2" x14ac:dyDescent="0.25">
      <c r="A525" s="13"/>
      <c r="B525" s="13"/>
    </row>
    <row r="526" spans="1:2" x14ac:dyDescent="0.25">
      <c r="A526" s="13"/>
      <c r="B526" s="13"/>
    </row>
    <row r="527" spans="1:2" x14ac:dyDescent="0.25">
      <c r="A527" s="13"/>
      <c r="B527" s="13"/>
    </row>
    <row r="528" spans="1:2" x14ac:dyDescent="0.25">
      <c r="A528" s="13"/>
      <c r="B528" s="13"/>
    </row>
    <row r="529" spans="1:2" x14ac:dyDescent="0.25">
      <c r="A529" s="13"/>
      <c r="B529" s="13"/>
    </row>
    <row r="530" spans="1:2" x14ac:dyDescent="0.25">
      <c r="A530" s="13"/>
      <c r="B530" s="13"/>
    </row>
    <row r="531" spans="1:2" x14ac:dyDescent="0.25">
      <c r="A531" s="13"/>
      <c r="B531" s="13"/>
    </row>
    <row r="532" spans="1:2" x14ac:dyDescent="0.25">
      <c r="A532" s="13"/>
      <c r="B532" s="13"/>
    </row>
    <row r="533" spans="1:2" x14ac:dyDescent="0.25">
      <c r="A533" s="13"/>
      <c r="B533" s="13"/>
    </row>
    <row r="534" spans="1:2" x14ac:dyDescent="0.25">
      <c r="A534" s="13"/>
      <c r="B534" s="13"/>
    </row>
    <row r="535" spans="1:2" x14ac:dyDescent="0.25">
      <c r="A535" s="13"/>
      <c r="B535" s="13"/>
    </row>
    <row r="536" spans="1:2" x14ac:dyDescent="0.25">
      <c r="A536" s="13"/>
      <c r="B536" s="13"/>
    </row>
    <row r="537" spans="1:2" x14ac:dyDescent="0.25">
      <c r="A537" s="13"/>
      <c r="B537" s="13"/>
    </row>
    <row r="538" spans="1:2" x14ac:dyDescent="0.25">
      <c r="A538" s="13"/>
      <c r="B538" s="13"/>
    </row>
    <row r="539" spans="1:2" x14ac:dyDescent="0.25">
      <c r="A539" s="13"/>
      <c r="B539" s="13"/>
    </row>
    <row r="540" spans="1:2" x14ac:dyDescent="0.25">
      <c r="A540" s="13"/>
      <c r="B540" s="13"/>
    </row>
    <row r="541" spans="1:2" x14ac:dyDescent="0.25">
      <c r="A541" s="13"/>
      <c r="B541" s="13"/>
    </row>
    <row r="542" spans="1:2" x14ac:dyDescent="0.25">
      <c r="A542" s="13"/>
      <c r="B542" s="13"/>
    </row>
    <row r="543" spans="1:2" x14ac:dyDescent="0.25">
      <c r="A543" s="13"/>
      <c r="B543" s="13"/>
    </row>
    <row r="544" spans="1:2" x14ac:dyDescent="0.25">
      <c r="A544" s="13"/>
      <c r="B544" s="13"/>
    </row>
    <row r="545" spans="1:2" x14ac:dyDescent="0.25">
      <c r="A545" s="13"/>
      <c r="B545" s="13"/>
    </row>
    <row r="546" spans="1:2" x14ac:dyDescent="0.25">
      <c r="A546" s="13"/>
      <c r="B546" s="13"/>
    </row>
    <row r="547" spans="1:2" x14ac:dyDescent="0.25">
      <c r="A547" s="13"/>
      <c r="B547" s="13"/>
    </row>
    <row r="548" spans="1:2" x14ac:dyDescent="0.25">
      <c r="A548" s="13"/>
      <c r="B548" s="13"/>
    </row>
    <row r="549" spans="1:2" x14ac:dyDescent="0.25">
      <c r="A549" s="13"/>
      <c r="B549" s="13"/>
    </row>
    <row r="550" spans="1:2" x14ac:dyDescent="0.25">
      <c r="A550" s="13"/>
      <c r="B550" s="13"/>
    </row>
    <row r="551" spans="1:2" x14ac:dyDescent="0.25">
      <c r="A551" s="13"/>
      <c r="B551" s="13"/>
    </row>
    <row r="552" spans="1:2" x14ac:dyDescent="0.25">
      <c r="A552" s="13"/>
      <c r="B552" s="13"/>
    </row>
    <row r="553" spans="1:2" x14ac:dyDescent="0.25">
      <c r="A553" s="13"/>
      <c r="B553" s="13"/>
    </row>
    <row r="554" spans="1:2" x14ac:dyDescent="0.25">
      <c r="A554" s="13"/>
      <c r="B554" s="13"/>
    </row>
    <row r="555" spans="1:2" x14ac:dyDescent="0.25">
      <c r="A555" s="13"/>
      <c r="B555" s="13"/>
    </row>
    <row r="556" spans="1:2" x14ac:dyDescent="0.25">
      <c r="A556" s="13"/>
      <c r="B556" s="13"/>
    </row>
    <row r="557" spans="1:2" x14ac:dyDescent="0.25">
      <c r="A557" s="13"/>
      <c r="B557" s="13"/>
    </row>
    <row r="558" spans="1:2" x14ac:dyDescent="0.25">
      <c r="A558" s="13"/>
      <c r="B558" s="13"/>
    </row>
    <row r="559" spans="1:2" x14ac:dyDescent="0.25">
      <c r="A559" s="13"/>
      <c r="B559" s="13"/>
    </row>
    <row r="560" spans="1:2" x14ac:dyDescent="0.25">
      <c r="A560" s="13"/>
      <c r="B560" s="13"/>
    </row>
    <row r="561" spans="1:2" x14ac:dyDescent="0.25">
      <c r="A561" s="13"/>
      <c r="B561" s="13"/>
    </row>
    <row r="562" spans="1:2" x14ac:dyDescent="0.25">
      <c r="A562" s="13"/>
      <c r="B562" s="13"/>
    </row>
    <row r="563" spans="1:2" x14ac:dyDescent="0.25">
      <c r="A563" s="13"/>
      <c r="B563" s="13"/>
    </row>
    <row r="564" spans="1:2" x14ac:dyDescent="0.25">
      <c r="A564" s="13"/>
      <c r="B564" s="13"/>
    </row>
    <row r="565" spans="1:2" x14ac:dyDescent="0.25">
      <c r="A565" s="13"/>
      <c r="B565" s="13"/>
    </row>
    <row r="566" spans="1:2" x14ac:dyDescent="0.25">
      <c r="A566" s="13"/>
      <c r="B566" s="13"/>
    </row>
    <row r="567" spans="1:2" x14ac:dyDescent="0.25">
      <c r="A567" s="13"/>
      <c r="B567" s="13"/>
    </row>
    <row r="568" spans="1:2" x14ac:dyDescent="0.25">
      <c r="A568" s="13"/>
      <c r="B568" s="13"/>
    </row>
    <row r="569" spans="1:2" x14ac:dyDescent="0.25">
      <c r="A569" s="13"/>
      <c r="B569" s="13"/>
    </row>
    <row r="570" spans="1:2" x14ac:dyDescent="0.25">
      <c r="A570" s="13"/>
      <c r="B570" s="13"/>
    </row>
    <row r="571" spans="1:2" x14ac:dyDescent="0.25">
      <c r="A571" s="13"/>
      <c r="B571" s="13"/>
    </row>
    <row r="572" spans="1:2" x14ac:dyDescent="0.25">
      <c r="A572" s="13"/>
      <c r="B572" s="13"/>
    </row>
    <row r="573" spans="1:2" x14ac:dyDescent="0.25">
      <c r="A573" s="13"/>
      <c r="B573" s="13"/>
    </row>
    <row r="574" spans="1:2" x14ac:dyDescent="0.25">
      <c r="A574" s="13"/>
      <c r="B574" s="13"/>
    </row>
    <row r="575" spans="1:2" x14ac:dyDescent="0.25">
      <c r="A575" s="13"/>
      <c r="B575" s="13"/>
    </row>
    <row r="576" spans="1:2" x14ac:dyDescent="0.25">
      <c r="A576" s="13"/>
      <c r="B576" s="13"/>
    </row>
    <row r="577" spans="1:2" x14ac:dyDescent="0.25">
      <c r="A577" s="13"/>
      <c r="B577" s="13"/>
    </row>
    <row r="578" spans="1:2" x14ac:dyDescent="0.25">
      <c r="A578" s="13"/>
      <c r="B578" s="13"/>
    </row>
    <row r="579" spans="1:2" x14ac:dyDescent="0.25">
      <c r="A579" s="13"/>
      <c r="B579" s="13"/>
    </row>
    <row r="580" spans="1:2" x14ac:dyDescent="0.25">
      <c r="A580" s="13"/>
      <c r="B580" s="13"/>
    </row>
    <row r="581" spans="1:2" x14ac:dyDescent="0.25">
      <c r="A581" s="13"/>
      <c r="B581" s="13"/>
    </row>
    <row r="582" spans="1:2" x14ac:dyDescent="0.25">
      <c r="A582" s="13"/>
      <c r="B582" s="13"/>
    </row>
    <row r="583" spans="1:2" x14ac:dyDescent="0.25">
      <c r="A583" s="13"/>
      <c r="B583" s="13"/>
    </row>
    <row r="584" spans="1:2" x14ac:dyDescent="0.25">
      <c r="A584" s="13"/>
      <c r="B584" s="13"/>
    </row>
    <row r="585" spans="1:2" x14ac:dyDescent="0.25">
      <c r="A585" s="13"/>
      <c r="B585" s="13"/>
    </row>
    <row r="586" spans="1:2" x14ac:dyDescent="0.25">
      <c r="A586" s="13"/>
      <c r="B586" s="13"/>
    </row>
    <row r="587" spans="1:2" x14ac:dyDescent="0.25">
      <c r="A587" s="13"/>
      <c r="B587" s="13"/>
    </row>
    <row r="588" spans="1:2" x14ac:dyDescent="0.25">
      <c r="A588" s="13"/>
      <c r="B588" s="13"/>
    </row>
    <row r="589" spans="1:2" x14ac:dyDescent="0.25">
      <c r="A589" s="13"/>
      <c r="B589" s="13"/>
    </row>
    <row r="590" spans="1:2" x14ac:dyDescent="0.25">
      <c r="A590" s="13"/>
      <c r="B590" s="13"/>
    </row>
    <row r="591" spans="1:2" x14ac:dyDescent="0.25">
      <c r="A591" s="13"/>
      <c r="B591" s="13"/>
    </row>
    <row r="592" spans="1:2" x14ac:dyDescent="0.25">
      <c r="A592" s="13"/>
      <c r="B592" s="13"/>
    </row>
    <row r="593" spans="1:2" x14ac:dyDescent="0.25">
      <c r="A593" s="13"/>
      <c r="B593" s="13"/>
    </row>
    <row r="594" spans="1:2" x14ac:dyDescent="0.25">
      <c r="A594" s="13"/>
      <c r="B594" s="13"/>
    </row>
    <row r="595" spans="1:2" x14ac:dyDescent="0.25">
      <c r="A595" s="13"/>
      <c r="B595" s="13"/>
    </row>
    <row r="596" spans="1:2" x14ac:dyDescent="0.25">
      <c r="A596" s="13"/>
      <c r="B596" s="13"/>
    </row>
    <row r="597" spans="1:2" x14ac:dyDescent="0.25">
      <c r="A597" s="13"/>
      <c r="B597" s="13"/>
    </row>
    <row r="598" spans="1:2" x14ac:dyDescent="0.25">
      <c r="A598" s="13"/>
      <c r="B598" s="13"/>
    </row>
    <row r="599" spans="1:2" x14ac:dyDescent="0.25">
      <c r="A599" s="13"/>
      <c r="B599" s="13"/>
    </row>
    <row r="600" spans="1:2" x14ac:dyDescent="0.25">
      <c r="A600" s="13"/>
      <c r="B600" s="13"/>
    </row>
    <row r="601" spans="1:2" x14ac:dyDescent="0.25">
      <c r="A601" s="13"/>
      <c r="B601" s="13"/>
    </row>
    <row r="602" spans="1:2" x14ac:dyDescent="0.25">
      <c r="A602" s="13"/>
      <c r="B602" s="13"/>
    </row>
    <row r="603" spans="1:2" x14ac:dyDescent="0.25">
      <c r="A603" s="13"/>
      <c r="B603" s="13"/>
    </row>
    <row r="604" spans="1:2" x14ac:dyDescent="0.25">
      <c r="A604" s="13"/>
      <c r="B604" s="13"/>
    </row>
    <row r="605" spans="1:2" x14ac:dyDescent="0.25">
      <c r="A605" s="13"/>
      <c r="B605" s="13"/>
    </row>
    <row r="606" spans="1:2" x14ac:dyDescent="0.25">
      <c r="A606" s="13"/>
      <c r="B606" s="13"/>
    </row>
    <row r="607" spans="1:2" x14ac:dyDescent="0.25">
      <c r="A607" s="13"/>
      <c r="B607" s="13"/>
    </row>
    <row r="608" spans="1:2" x14ac:dyDescent="0.25">
      <c r="A608" s="13"/>
      <c r="B608" s="13"/>
    </row>
    <row r="609" spans="1:2" x14ac:dyDescent="0.25">
      <c r="A609" s="13"/>
      <c r="B609" s="13"/>
    </row>
    <row r="610" spans="1:2" x14ac:dyDescent="0.25">
      <c r="A610" s="13"/>
      <c r="B610" s="13"/>
    </row>
    <row r="611" spans="1:2" x14ac:dyDescent="0.25">
      <c r="A611" s="13"/>
      <c r="B611" s="13"/>
    </row>
    <row r="612" spans="1:2" x14ac:dyDescent="0.25">
      <c r="A612" s="13"/>
      <c r="B612" s="13"/>
    </row>
    <row r="613" spans="1:2" x14ac:dyDescent="0.25">
      <c r="A613" s="13"/>
      <c r="B613" s="13"/>
    </row>
    <row r="614" spans="1:2" x14ac:dyDescent="0.25">
      <c r="A614" s="13"/>
      <c r="B614" s="13"/>
    </row>
    <row r="615" spans="1:2" x14ac:dyDescent="0.25">
      <c r="A615" s="13"/>
      <c r="B615" s="13"/>
    </row>
    <row r="616" spans="1:2" x14ac:dyDescent="0.25">
      <c r="A616" s="13"/>
      <c r="B616" s="13"/>
    </row>
    <row r="617" spans="1:2" x14ac:dyDescent="0.25">
      <c r="A617" s="13"/>
      <c r="B617" s="13"/>
    </row>
    <row r="618" spans="1:2" x14ac:dyDescent="0.25">
      <c r="A618" s="13"/>
      <c r="B618" s="13"/>
    </row>
    <row r="619" spans="1:2" x14ac:dyDescent="0.25">
      <c r="A619" s="13"/>
      <c r="B619" s="13"/>
    </row>
    <row r="620" spans="1:2" x14ac:dyDescent="0.25">
      <c r="A620" s="13"/>
      <c r="B620" s="13"/>
    </row>
    <row r="621" spans="1:2" x14ac:dyDescent="0.25">
      <c r="A621" s="13"/>
      <c r="B621" s="13"/>
    </row>
    <row r="622" spans="1:2" x14ac:dyDescent="0.25">
      <c r="A622" s="13"/>
      <c r="B622" s="13"/>
    </row>
    <row r="623" spans="1:2" x14ac:dyDescent="0.25">
      <c r="A623" s="13"/>
      <c r="B623" s="13"/>
    </row>
    <row r="624" spans="1:2" x14ac:dyDescent="0.25">
      <c r="A624" s="13"/>
      <c r="B624" s="13"/>
    </row>
    <row r="625" spans="1:2" x14ac:dyDescent="0.25">
      <c r="A625" s="13"/>
      <c r="B625" s="13"/>
    </row>
    <row r="626" spans="1:2" x14ac:dyDescent="0.25">
      <c r="A626" s="13"/>
      <c r="B626" s="13"/>
    </row>
    <row r="627" spans="1:2" x14ac:dyDescent="0.25">
      <c r="A627" s="13"/>
      <c r="B627" s="13"/>
    </row>
    <row r="628" spans="1:2" x14ac:dyDescent="0.25">
      <c r="A628" s="13"/>
      <c r="B628" s="13"/>
    </row>
    <row r="629" spans="1:2" x14ac:dyDescent="0.25">
      <c r="A629" s="13"/>
      <c r="B629" s="13"/>
    </row>
    <row r="630" spans="1:2" x14ac:dyDescent="0.25">
      <c r="A630" s="13"/>
      <c r="B630" s="13"/>
    </row>
    <row r="631" spans="1:2" x14ac:dyDescent="0.25">
      <c r="A631" s="13"/>
      <c r="B631" s="13"/>
    </row>
    <row r="632" spans="1:2" x14ac:dyDescent="0.25">
      <c r="A632" s="13"/>
      <c r="B632" s="13"/>
    </row>
    <row r="633" spans="1:2" x14ac:dyDescent="0.25">
      <c r="A633" s="13"/>
      <c r="B633" s="13"/>
    </row>
    <row r="634" spans="1:2" x14ac:dyDescent="0.25">
      <c r="A634" s="13"/>
      <c r="B634" s="13"/>
    </row>
    <row r="635" spans="1:2" x14ac:dyDescent="0.25">
      <c r="A635" s="13"/>
      <c r="B635" s="13"/>
    </row>
    <row r="636" spans="1:2" x14ac:dyDescent="0.25">
      <c r="A636" s="13"/>
      <c r="B636" s="13"/>
    </row>
    <row r="637" spans="1:2" x14ac:dyDescent="0.25">
      <c r="A637" s="13"/>
      <c r="B637" s="13"/>
    </row>
    <row r="638" spans="1:2" x14ac:dyDescent="0.25">
      <c r="A638" s="13"/>
      <c r="B638" s="13"/>
    </row>
    <row r="639" spans="1:2" x14ac:dyDescent="0.25">
      <c r="A639" s="13"/>
      <c r="B639" s="13"/>
    </row>
    <row r="640" spans="1:2" x14ac:dyDescent="0.25">
      <c r="A640" s="13"/>
      <c r="B640" s="13"/>
    </row>
    <row r="641" spans="1:2" x14ac:dyDescent="0.25">
      <c r="A641" s="13"/>
      <c r="B641" s="13"/>
    </row>
    <row r="642" spans="1:2" x14ac:dyDescent="0.25">
      <c r="A642" s="13"/>
      <c r="B642" s="13"/>
    </row>
    <row r="643" spans="1:2" x14ac:dyDescent="0.25">
      <c r="A643" s="13"/>
      <c r="B643" s="13"/>
    </row>
    <row r="644" spans="1:2" x14ac:dyDescent="0.25">
      <c r="A644" s="13"/>
      <c r="B644" s="13"/>
    </row>
    <row r="645" spans="1:2" x14ac:dyDescent="0.25">
      <c r="A645" s="13"/>
      <c r="B645" s="13"/>
    </row>
    <row r="646" spans="1:2" x14ac:dyDescent="0.25">
      <c r="A646" s="13"/>
      <c r="B646" s="13"/>
    </row>
    <row r="647" spans="1:2" x14ac:dyDescent="0.25">
      <c r="A647" s="13"/>
      <c r="B647" s="13"/>
    </row>
    <row r="648" spans="1:2" x14ac:dyDescent="0.25">
      <c r="A648" s="13"/>
      <c r="B648" s="13"/>
    </row>
    <row r="649" spans="1:2" x14ac:dyDescent="0.25">
      <c r="A649" s="13"/>
      <c r="B649" s="13"/>
    </row>
    <row r="650" spans="1:2" x14ac:dyDescent="0.25">
      <c r="A650" s="13"/>
      <c r="B650" s="13"/>
    </row>
    <row r="651" spans="1:2" x14ac:dyDescent="0.25">
      <c r="A651" s="13"/>
      <c r="B651" s="13"/>
    </row>
    <row r="652" spans="1:2" x14ac:dyDescent="0.25">
      <c r="A652" s="13"/>
      <c r="B652" s="13"/>
    </row>
    <row r="653" spans="1:2" x14ac:dyDescent="0.25">
      <c r="A653" s="13"/>
      <c r="B653" s="13"/>
    </row>
    <row r="654" spans="1:2" x14ac:dyDescent="0.25">
      <c r="A654" s="13"/>
      <c r="B654" s="13"/>
    </row>
    <row r="655" spans="1:2" x14ac:dyDescent="0.25">
      <c r="A655" s="13"/>
      <c r="B655" s="13"/>
    </row>
    <row r="656" spans="1:2" x14ac:dyDescent="0.25">
      <c r="A656" s="13"/>
      <c r="B656" s="13"/>
    </row>
    <row r="657" spans="1:2" x14ac:dyDescent="0.25">
      <c r="A657" s="13"/>
      <c r="B657" s="13"/>
    </row>
    <row r="658" spans="1:2" x14ac:dyDescent="0.25">
      <c r="A658" s="13"/>
      <c r="B658" s="13"/>
    </row>
    <row r="659" spans="1:2" x14ac:dyDescent="0.25">
      <c r="A659" s="13"/>
      <c r="B659" s="13"/>
    </row>
    <row r="660" spans="1:2" x14ac:dyDescent="0.25">
      <c r="A660" s="13"/>
      <c r="B660" s="13"/>
    </row>
    <row r="661" spans="1:2" x14ac:dyDescent="0.25">
      <c r="A661" s="13"/>
      <c r="B661" s="13"/>
    </row>
    <row r="662" spans="1:2" x14ac:dyDescent="0.25">
      <c r="A662" s="13"/>
      <c r="B662" s="13"/>
    </row>
    <row r="663" spans="1:2" x14ac:dyDescent="0.25">
      <c r="A663" s="13"/>
      <c r="B663" s="13"/>
    </row>
    <row r="664" spans="1:2" x14ac:dyDescent="0.25">
      <c r="A664" s="13"/>
      <c r="B664" s="13"/>
    </row>
    <row r="665" spans="1:2" x14ac:dyDescent="0.25">
      <c r="A665" s="13"/>
      <c r="B665" s="13"/>
    </row>
    <row r="666" spans="1:2" x14ac:dyDescent="0.25">
      <c r="A666" s="13"/>
      <c r="B666" s="13"/>
    </row>
    <row r="667" spans="1:2" x14ac:dyDescent="0.25">
      <c r="A667" s="13"/>
      <c r="B667" s="13"/>
    </row>
    <row r="668" spans="1:2" x14ac:dyDescent="0.25">
      <c r="A668" s="13"/>
      <c r="B668" s="13"/>
    </row>
    <row r="669" spans="1:2" x14ac:dyDescent="0.25">
      <c r="A669" s="13"/>
      <c r="B669" s="13"/>
    </row>
    <row r="670" spans="1:2" x14ac:dyDescent="0.25">
      <c r="A670" s="13"/>
      <c r="B670" s="13"/>
    </row>
    <row r="671" spans="1:2" x14ac:dyDescent="0.25">
      <c r="A671" s="13"/>
      <c r="B671" s="13"/>
    </row>
    <row r="672" spans="1:2" x14ac:dyDescent="0.25">
      <c r="A672" s="13"/>
      <c r="B672" s="13"/>
    </row>
    <row r="673" spans="1:2" x14ac:dyDescent="0.25">
      <c r="A673" s="13"/>
      <c r="B673" s="13"/>
    </row>
    <row r="674" spans="1:2" x14ac:dyDescent="0.25">
      <c r="A674" s="13"/>
      <c r="B674" s="13"/>
    </row>
    <row r="675" spans="1:2" x14ac:dyDescent="0.25">
      <c r="A675" s="13"/>
      <c r="B675" s="13"/>
    </row>
    <row r="676" spans="1:2" x14ac:dyDescent="0.25">
      <c r="A676" s="13"/>
      <c r="B676" s="13"/>
    </row>
    <row r="677" spans="1:2" x14ac:dyDescent="0.25">
      <c r="A677" s="13"/>
      <c r="B677" s="13"/>
    </row>
    <row r="678" spans="1:2" x14ac:dyDescent="0.25">
      <c r="A678" s="13"/>
      <c r="B678" s="13"/>
    </row>
    <row r="679" spans="1:2" x14ac:dyDescent="0.25">
      <c r="A679" s="13"/>
      <c r="B679" s="13"/>
    </row>
    <row r="680" spans="1:2" x14ac:dyDescent="0.25">
      <c r="A680" s="13"/>
      <c r="B680" s="13"/>
    </row>
    <row r="681" spans="1:2" x14ac:dyDescent="0.25">
      <c r="A681" s="13"/>
      <c r="B681" s="13"/>
    </row>
    <row r="682" spans="1:2" x14ac:dyDescent="0.25">
      <c r="A682" s="13"/>
      <c r="B682" s="13"/>
    </row>
    <row r="683" spans="1:2" x14ac:dyDescent="0.25">
      <c r="A683" s="13"/>
      <c r="B683" s="13"/>
    </row>
    <row r="684" spans="1:2" x14ac:dyDescent="0.25">
      <c r="A684" s="13"/>
      <c r="B684" s="13"/>
    </row>
    <row r="685" spans="1:2" x14ac:dyDescent="0.25">
      <c r="A685" s="13"/>
      <c r="B685" s="13"/>
    </row>
    <row r="686" spans="1:2" x14ac:dyDescent="0.25">
      <c r="A686" s="13"/>
      <c r="B686" s="13"/>
    </row>
    <row r="687" spans="1:2" x14ac:dyDescent="0.25">
      <c r="A687" s="13"/>
      <c r="B687" s="13"/>
    </row>
    <row r="688" spans="1:2" x14ac:dyDescent="0.25">
      <c r="A688" s="13"/>
      <c r="B688" s="13"/>
    </row>
    <row r="689" spans="1:2" x14ac:dyDescent="0.25">
      <c r="A689" s="13"/>
      <c r="B689" s="13"/>
    </row>
    <row r="690" spans="1:2" x14ac:dyDescent="0.25">
      <c r="A690" s="13"/>
      <c r="B690" s="13"/>
    </row>
    <row r="691" spans="1:2" x14ac:dyDescent="0.25">
      <c r="A691" s="13"/>
      <c r="B691" s="13"/>
    </row>
    <row r="692" spans="1:2" x14ac:dyDescent="0.25">
      <c r="A692" s="13"/>
      <c r="B692" s="13"/>
    </row>
    <row r="693" spans="1:2" x14ac:dyDescent="0.25">
      <c r="A693" s="13"/>
      <c r="B693" s="13"/>
    </row>
    <row r="694" spans="1:2" x14ac:dyDescent="0.25">
      <c r="A694" s="13"/>
      <c r="B694" s="13"/>
    </row>
    <row r="695" spans="1:2" x14ac:dyDescent="0.25">
      <c r="A695" s="13"/>
      <c r="B695" s="13"/>
    </row>
    <row r="696" spans="1:2" x14ac:dyDescent="0.25">
      <c r="A696" s="13"/>
      <c r="B696" s="13"/>
    </row>
    <row r="697" spans="1:2" x14ac:dyDescent="0.25">
      <c r="A697" s="13"/>
      <c r="B697" s="13"/>
    </row>
    <row r="698" spans="1:2" x14ac:dyDescent="0.25">
      <c r="A698" s="13"/>
      <c r="B698" s="13"/>
    </row>
    <row r="699" spans="1:2" x14ac:dyDescent="0.25">
      <c r="A699" s="13"/>
      <c r="B699" s="13"/>
    </row>
    <row r="700" spans="1:2" x14ac:dyDescent="0.25">
      <c r="A700" s="13"/>
      <c r="B700" s="13"/>
    </row>
    <row r="701" spans="1:2" x14ac:dyDescent="0.25">
      <c r="A701" s="13"/>
      <c r="B701" s="13"/>
    </row>
    <row r="702" spans="1:2" x14ac:dyDescent="0.25">
      <c r="A702" s="13"/>
      <c r="B702" s="13"/>
    </row>
    <row r="703" spans="1:2" x14ac:dyDescent="0.25">
      <c r="A703" s="13"/>
      <c r="B703" s="13"/>
    </row>
    <row r="704" spans="1:2" x14ac:dyDescent="0.25">
      <c r="A704" s="13"/>
      <c r="B704" s="13"/>
    </row>
    <row r="705" spans="1:2" x14ac:dyDescent="0.25">
      <c r="A705" s="13"/>
      <c r="B705" s="13"/>
    </row>
    <row r="706" spans="1:2" x14ac:dyDescent="0.25">
      <c r="A706" s="13"/>
      <c r="B706" s="13"/>
    </row>
    <row r="707" spans="1:2" x14ac:dyDescent="0.25">
      <c r="A707" s="13"/>
      <c r="B707" s="13"/>
    </row>
    <row r="708" spans="1:2" x14ac:dyDescent="0.25">
      <c r="A708" s="13"/>
      <c r="B708" s="13"/>
    </row>
    <row r="709" spans="1:2" x14ac:dyDescent="0.25">
      <c r="A709" s="13"/>
      <c r="B709" s="13"/>
    </row>
    <row r="710" spans="1:2" x14ac:dyDescent="0.25">
      <c r="A710" s="13"/>
      <c r="B710" s="13"/>
    </row>
    <row r="711" spans="1:2" x14ac:dyDescent="0.25">
      <c r="A711" s="13"/>
      <c r="B711" s="13"/>
    </row>
    <row r="712" spans="1:2" x14ac:dyDescent="0.25">
      <c r="A712" s="13"/>
      <c r="B712" s="13"/>
    </row>
    <row r="713" spans="1:2" x14ac:dyDescent="0.25">
      <c r="A713" s="13"/>
      <c r="B713" s="13"/>
    </row>
    <row r="714" spans="1:2" x14ac:dyDescent="0.25">
      <c r="A714" s="13"/>
      <c r="B714" s="13"/>
    </row>
    <row r="715" spans="1:2" x14ac:dyDescent="0.25">
      <c r="A715" s="13"/>
      <c r="B715" s="13"/>
    </row>
    <row r="716" spans="1:2" x14ac:dyDescent="0.25">
      <c r="A716" s="13"/>
      <c r="B716" s="13"/>
    </row>
    <row r="717" spans="1:2" x14ac:dyDescent="0.25">
      <c r="A717" s="13"/>
      <c r="B717" s="13"/>
    </row>
    <row r="718" spans="1:2" x14ac:dyDescent="0.25">
      <c r="A718" s="13"/>
      <c r="B718" s="13"/>
    </row>
    <row r="719" spans="1:2" x14ac:dyDescent="0.25">
      <c r="A719" s="13"/>
      <c r="B719" s="13"/>
    </row>
    <row r="720" spans="1:2" x14ac:dyDescent="0.25">
      <c r="A720" s="13"/>
      <c r="B720" s="13"/>
    </row>
    <row r="721" spans="1:2" x14ac:dyDescent="0.25">
      <c r="A721" s="13"/>
      <c r="B721" s="13"/>
    </row>
    <row r="722" spans="1:2" x14ac:dyDescent="0.25">
      <c r="A722" s="13"/>
      <c r="B722" s="13"/>
    </row>
    <row r="723" spans="1:2" x14ac:dyDescent="0.25">
      <c r="A723" s="13"/>
      <c r="B723" s="13"/>
    </row>
    <row r="724" spans="1:2" x14ac:dyDescent="0.25">
      <c r="A724" s="13"/>
      <c r="B724" s="13"/>
    </row>
    <row r="725" spans="1:2" x14ac:dyDescent="0.25">
      <c r="A725" s="13"/>
      <c r="B725" s="13"/>
    </row>
    <row r="726" spans="1:2" x14ac:dyDescent="0.25">
      <c r="A726" s="13"/>
      <c r="B726" s="13"/>
    </row>
    <row r="727" spans="1:2" x14ac:dyDescent="0.25">
      <c r="A727" s="13"/>
      <c r="B727" s="13"/>
    </row>
    <row r="728" spans="1:2" x14ac:dyDescent="0.25">
      <c r="A728" s="13"/>
      <c r="B728" s="13"/>
    </row>
    <row r="729" spans="1:2" x14ac:dyDescent="0.25">
      <c r="A729" s="13"/>
      <c r="B729" s="13"/>
    </row>
    <row r="730" spans="1:2" x14ac:dyDescent="0.25">
      <c r="A730" s="13"/>
      <c r="B730" s="13"/>
    </row>
    <row r="731" spans="1:2" x14ac:dyDescent="0.25">
      <c r="A731" s="13"/>
      <c r="B731" s="13"/>
    </row>
    <row r="732" spans="1:2" x14ac:dyDescent="0.25">
      <c r="A732" s="13"/>
      <c r="B732" s="13"/>
    </row>
    <row r="733" spans="1:2" x14ac:dyDescent="0.25">
      <c r="A733" s="13"/>
      <c r="B733" s="13"/>
    </row>
    <row r="734" spans="1:2" x14ac:dyDescent="0.25">
      <c r="A734" s="13"/>
      <c r="B734" s="13"/>
    </row>
    <row r="735" spans="1:2" x14ac:dyDescent="0.25">
      <c r="A735" s="13"/>
      <c r="B735" s="13"/>
    </row>
    <row r="736" spans="1:2" x14ac:dyDescent="0.25">
      <c r="A736" s="13"/>
      <c r="B736" s="13"/>
    </row>
    <row r="737" spans="1:2" x14ac:dyDescent="0.25">
      <c r="A737" s="13"/>
      <c r="B737" s="13"/>
    </row>
    <row r="738" spans="1:2" x14ac:dyDescent="0.25">
      <c r="A738" s="13"/>
      <c r="B738" s="13"/>
    </row>
    <row r="739" spans="1:2" x14ac:dyDescent="0.25">
      <c r="A739" s="13"/>
      <c r="B739" s="13"/>
    </row>
    <row r="740" spans="1:2" x14ac:dyDescent="0.25">
      <c r="A740" s="13"/>
      <c r="B740" s="13"/>
    </row>
    <row r="741" spans="1:2" x14ac:dyDescent="0.25">
      <c r="A741" s="13"/>
      <c r="B741" s="13"/>
    </row>
    <row r="742" spans="1:2" x14ac:dyDescent="0.25">
      <c r="A742" s="13"/>
      <c r="B742" s="13"/>
    </row>
    <row r="743" spans="1:2" x14ac:dyDescent="0.25">
      <c r="A743" s="13"/>
      <c r="B743" s="13"/>
    </row>
    <row r="744" spans="1:2" x14ac:dyDescent="0.25">
      <c r="A744" s="13"/>
      <c r="B744" s="13"/>
    </row>
    <row r="745" spans="1:2" x14ac:dyDescent="0.25">
      <c r="A745" s="13"/>
      <c r="B745" s="13"/>
    </row>
    <row r="746" spans="1:2" x14ac:dyDescent="0.25">
      <c r="A746" s="13"/>
      <c r="B746" s="13"/>
    </row>
    <row r="747" spans="1:2" x14ac:dyDescent="0.25">
      <c r="A747" s="13"/>
      <c r="B747" s="13"/>
    </row>
    <row r="748" spans="1:2" x14ac:dyDescent="0.25">
      <c r="A748" s="13"/>
      <c r="B748" s="13"/>
    </row>
    <row r="749" spans="1:2" x14ac:dyDescent="0.25">
      <c r="A749" s="13"/>
      <c r="B749" s="13"/>
    </row>
    <row r="750" spans="1:2" x14ac:dyDescent="0.25">
      <c r="A750" s="13"/>
      <c r="B750" s="13"/>
    </row>
    <row r="751" spans="1:2" x14ac:dyDescent="0.25">
      <c r="A751" s="13"/>
      <c r="B751" s="13"/>
    </row>
    <row r="752" spans="1:2" x14ac:dyDescent="0.25">
      <c r="A752" s="13"/>
      <c r="B752" s="13"/>
    </row>
    <row r="753" spans="1:2" x14ac:dyDescent="0.25">
      <c r="A753" s="13"/>
      <c r="B753" s="13"/>
    </row>
    <row r="754" spans="1:2" x14ac:dyDescent="0.25">
      <c r="A754" s="13"/>
      <c r="B754" s="13"/>
    </row>
    <row r="755" spans="1:2" x14ac:dyDescent="0.25">
      <c r="A755" s="13"/>
      <c r="B755" s="13"/>
    </row>
    <row r="756" spans="1:2" x14ac:dyDescent="0.25">
      <c r="A756" s="13"/>
      <c r="B756" s="13"/>
    </row>
    <row r="757" spans="1:2" x14ac:dyDescent="0.25">
      <c r="A757" s="13"/>
      <c r="B757" s="13"/>
    </row>
    <row r="758" spans="1:2" x14ac:dyDescent="0.25">
      <c r="A758" s="13"/>
      <c r="B758" s="13"/>
    </row>
    <row r="759" spans="1:2" x14ac:dyDescent="0.25">
      <c r="A759" s="13"/>
      <c r="B759" s="13"/>
    </row>
    <row r="760" spans="1:2" x14ac:dyDescent="0.25">
      <c r="A760" s="13"/>
      <c r="B760" s="13"/>
    </row>
    <row r="761" spans="1:2" x14ac:dyDescent="0.25">
      <c r="A761" s="13"/>
      <c r="B761" s="13"/>
    </row>
    <row r="762" spans="1:2" x14ac:dyDescent="0.25">
      <c r="A762" s="13"/>
      <c r="B762" s="13"/>
    </row>
    <row r="763" spans="1:2" x14ac:dyDescent="0.25">
      <c r="A763" s="13"/>
      <c r="B763" s="13"/>
    </row>
    <row r="764" spans="1:2" x14ac:dyDescent="0.25">
      <c r="A764" s="13"/>
      <c r="B764" s="13"/>
    </row>
    <row r="765" spans="1:2" x14ac:dyDescent="0.25">
      <c r="A765" s="13"/>
      <c r="B765" s="13"/>
    </row>
    <row r="766" spans="1:2" x14ac:dyDescent="0.25">
      <c r="A766" s="13"/>
      <c r="B766" s="13"/>
    </row>
    <row r="767" spans="1:2" x14ac:dyDescent="0.25">
      <c r="A767" s="13"/>
      <c r="B767" s="13"/>
    </row>
    <row r="768" spans="1:2" x14ac:dyDescent="0.25">
      <c r="A768" s="13"/>
      <c r="B768" s="13"/>
    </row>
    <row r="769" spans="1:2" x14ac:dyDescent="0.25">
      <c r="A769" s="13"/>
      <c r="B769" s="13"/>
    </row>
    <row r="770" spans="1:2" x14ac:dyDescent="0.25">
      <c r="A770" s="13"/>
      <c r="B770" s="13"/>
    </row>
    <row r="771" spans="1:2" x14ac:dyDescent="0.25">
      <c r="A771" s="13"/>
      <c r="B771" s="13"/>
    </row>
    <row r="772" spans="1:2" x14ac:dyDescent="0.25">
      <c r="A772" s="13"/>
      <c r="B772" s="13"/>
    </row>
    <row r="773" spans="1:2" x14ac:dyDescent="0.25">
      <c r="A773" s="13"/>
      <c r="B773" s="13"/>
    </row>
    <row r="774" spans="1:2" x14ac:dyDescent="0.25">
      <c r="A774" s="13"/>
      <c r="B774" s="13"/>
    </row>
    <row r="775" spans="1:2" x14ac:dyDescent="0.25">
      <c r="A775" s="13"/>
      <c r="B775" s="13"/>
    </row>
    <row r="776" spans="1:2" x14ac:dyDescent="0.25">
      <c r="A776" s="13"/>
      <c r="B776" s="13"/>
    </row>
    <row r="777" spans="1:2" x14ac:dyDescent="0.25">
      <c r="A777" s="13"/>
      <c r="B777" s="13"/>
    </row>
    <row r="778" spans="1:2" x14ac:dyDescent="0.25">
      <c r="A778" s="13"/>
      <c r="B778" s="13"/>
    </row>
    <row r="779" spans="1:2" x14ac:dyDescent="0.25">
      <c r="A779" s="13"/>
      <c r="B779" s="13"/>
    </row>
    <row r="780" spans="1:2" x14ac:dyDescent="0.25">
      <c r="A780" s="13"/>
      <c r="B780" s="13"/>
    </row>
    <row r="781" spans="1:2" x14ac:dyDescent="0.25">
      <c r="A781" s="13"/>
      <c r="B781" s="13"/>
    </row>
    <row r="782" spans="1:2" x14ac:dyDescent="0.25">
      <c r="A782" s="13"/>
      <c r="B782" s="13"/>
    </row>
    <row r="783" spans="1:2" x14ac:dyDescent="0.25">
      <c r="A783" s="13"/>
      <c r="B783" s="13"/>
    </row>
    <row r="784" spans="1:2" x14ac:dyDescent="0.25">
      <c r="A784" s="13"/>
      <c r="B784" s="13"/>
    </row>
    <row r="785" spans="1:2" x14ac:dyDescent="0.25">
      <c r="A785" s="13"/>
      <c r="B785" s="13"/>
    </row>
    <row r="786" spans="1:2" x14ac:dyDescent="0.25">
      <c r="A786" s="13"/>
      <c r="B786" s="13"/>
    </row>
    <row r="787" spans="1:2" x14ac:dyDescent="0.25">
      <c r="A787" s="13"/>
      <c r="B787" s="13"/>
    </row>
    <row r="788" spans="1:2" x14ac:dyDescent="0.25">
      <c r="A788" s="13"/>
      <c r="B788" s="13"/>
    </row>
    <row r="789" spans="1:2" x14ac:dyDescent="0.25">
      <c r="A789" s="13"/>
      <c r="B789" s="13"/>
    </row>
    <row r="790" spans="1:2" x14ac:dyDescent="0.25">
      <c r="A790" s="13"/>
      <c r="B790" s="13"/>
    </row>
    <row r="791" spans="1:2" x14ac:dyDescent="0.25">
      <c r="A791" s="13"/>
      <c r="B791" s="13"/>
    </row>
    <row r="792" spans="1:2" x14ac:dyDescent="0.25">
      <c r="A792" s="13"/>
      <c r="B792" s="13"/>
    </row>
    <row r="793" spans="1:2" x14ac:dyDescent="0.25">
      <c r="A793" s="13"/>
      <c r="B793" s="13"/>
    </row>
    <row r="794" spans="1:2" x14ac:dyDescent="0.25">
      <c r="A794" s="13"/>
      <c r="B794" s="13"/>
    </row>
    <row r="795" spans="1:2" x14ac:dyDescent="0.25">
      <c r="A795" s="13"/>
      <c r="B795" s="13"/>
    </row>
    <row r="796" spans="1:2" x14ac:dyDescent="0.25">
      <c r="A796" s="13"/>
      <c r="B796" s="13"/>
    </row>
    <row r="797" spans="1:2" x14ac:dyDescent="0.25">
      <c r="A797" s="13"/>
      <c r="B797" s="13"/>
    </row>
    <row r="798" spans="1:2" x14ac:dyDescent="0.25">
      <c r="A798" s="13"/>
      <c r="B798" s="13"/>
    </row>
    <row r="799" spans="1:2" x14ac:dyDescent="0.25">
      <c r="A799" s="13"/>
      <c r="B799" s="13"/>
    </row>
    <row r="800" spans="1:2" x14ac:dyDescent="0.25">
      <c r="A800" s="13"/>
      <c r="B800" s="13"/>
    </row>
    <row r="801" spans="1:2" x14ac:dyDescent="0.25">
      <c r="A801" s="13"/>
      <c r="B801" s="13"/>
    </row>
    <row r="802" spans="1:2" x14ac:dyDescent="0.25">
      <c r="A802" s="13"/>
      <c r="B802" s="13"/>
    </row>
    <row r="803" spans="1:2" x14ac:dyDescent="0.25">
      <c r="A803" s="13"/>
      <c r="B803" s="13"/>
    </row>
    <row r="804" spans="1:2" x14ac:dyDescent="0.25">
      <c r="A804" s="13"/>
      <c r="B804" s="13"/>
    </row>
    <row r="805" spans="1:2" x14ac:dyDescent="0.25">
      <c r="A805" s="13"/>
      <c r="B805" s="13"/>
    </row>
    <row r="806" spans="1:2" x14ac:dyDescent="0.25">
      <c r="A806" s="13"/>
      <c r="B806" s="13"/>
    </row>
    <row r="807" spans="1:2" x14ac:dyDescent="0.25">
      <c r="A807" s="13"/>
      <c r="B807" s="13"/>
    </row>
    <row r="808" spans="1:2" x14ac:dyDescent="0.25">
      <c r="A808" s="13"/>
      <c r="B808" s="13"/>
    </row>
    <row r="809" spans="1:2" x14ac:dyDescent="0.25">
      <c r="A809" s="13"/>
      <c r="B809" s="13"/>
    </row>
    <row r="810" spans="1:2" x14ac:dyDescent="0.25">
      <c r="A810" s="13"/>
      <c r="B810" s="13"/>
    </row>
    <row r="811" spans="1:2" x14ac:dyDescent="0.25">
      <c r="A811" s="13"/>
      <c r="B811" s="13"/>
    </row>
    <row r="812" spans="1:2" x14ac:dyDescent="0.25">
      <c r="A812" s="13"/>
      <c r="B812" s="13"/>
    </row>
    <row r="813" spans="1:2" x14ac:dyDescent="0.25">
      <c r="A813" s="13"/>
      <c r="B813" s="13"/>
    </row>
    <row r="814" spans="1:2" x14ac:dyDescent="0.25">
      <c r="A814" s="13"/>
      <c r="B814" s="13"/>
    </row>
    <row r="815" spans="1:2" x14ac:dyDescent="0.25">
      <c r="A815" s="13"/>
      <c r="B815" s="13"/>
    </row>
    <row r="816" spans="1:2" x14ac:dyDescent="0.25">
      <c r="A816" s="13"/>
      <c r="B816" s="13"/>
    </row>
    <row r="817" spans="1:2" x14ac:dyDescent="0.25">
      <c r="A817" s="13"/>
      <c r="B817" s="13"/>
    </row>
    <row r="818" spans="1:2" x14ac:dyDescent="0.25">
      <c r="A818" s="13"/>
      <c r="B818" s="13"/>
    </row>
    <row r="819" spans="1:2" x14ac:dyDescent="0.25">
      <c r="A819" s="13"/>
      <c r="B819" s="13"/>
    </row>
    <row r="820" spans="1:2" x14ac:dyDescent="0.25">
      <c r="A820" s="13"/>
      <c r="B820" s="13"/>
    </row>
    <row r="821" spans="1:2" x14ac:dyDescent="0.25">
      <c r="A821" s="13"/>
      <c r="B821" s="13"/>
    </row>
    <row r="822" spans="1:2" x14ac:dyDescent="0.25">
      <c r="A822" s="13"/>
      <c r="B822" s="13"/>
    </row>
    <row r="823" spans="1:2" x14ac:dyDescent="0.25">
      <c r="A823" s="13"/>
      <c r="B823" s="13"/>
    </row>
    <row r="824" spans="1:2" x14ac:dyDescent="0.25">
      <c r="A824" s="13"/>
      <c r="B824" s="13"/>
    </row>
    <row r="825" spans="1:2" x14ac:dyDescent="0.25">
      <c r="A825" s="13"/>
      <c r="B825" s="13"/>
    </row>
    <row r="826" spans="1:2" x14ac:dyDescent="0.25">
      <c r="A826" s="13"/>
      <c r="B826" s="13"/>
    </row>
    <row r="827" spans="1:2" x14ac:dyDescent="0.25">
      <c r="A827" s="13"/>
      <c r="B827" s="13"/>
    </row>
    <row r="828" spans="1:2" x14ac:dyDescent="0.25">
      <c r="A828" s="13"/>
      <c r="B828" s="13"/>
    </row>
    <row r="829" spans="1:2" x14ac:dyDescent="0.25">
      <c r="A829" s="13"/>
      <c r="B829" s="13"/>
    </row>
    <row r="830" spans="1:2" x14ac:dyDescent="0.25">
      <c r="A830" s="13"/>
      <c r="B830" s="13"/>
    </row>
    <row r="831" spans="1:2" x14ac:dyDescent="0.25">
      <c r="A831" s="13"/>
      <c r="B831" s="13"/>
    </row>
    <row r="832" spans="1:2" x14ac:dyDescent="0.25">
      <c r="A832" s="13"/>
      <c r="B832" s="13"/>
    </row>
    <row r="833" spans="1:2" x14ac:dyDescent="0.25">
      <c r="A833" s="13"/>
      <c r="B833" s="13"/>
    </row>
    <row r="834" spans="1:2" x14ac:dyDescent="0.25">
      <c r="A834" s="13"/>
      <c r="B834" s="13"/>
    </row>
    <row r="835" spans="1:2" x14ac:dyDescent="0.25">
      <c r="A835" s="13"/>
      <c r="B835" s="13"/>
    </row>
    <row r="836" spans="1:2" x14ac:dyDescent="0.25">
      <c r="A836" s="13"/>
      <c r="B836" s="13"/>
    </row>
    <row r="837" spans="1:2" x14ac:dyDescent="0.25">
      <c r="A837" s="13"/>
      <c r="B837" s="13"/>
    </row>
    <row r="838" spans="1:2" x14ac:dyDescent="0.25">
      <c r="A838" s="13"/>
      <c r="B838" s="13"/>
    </row>
    <row r="839" spans="1:2" x14ac:dyDescent="0.25">
      <c r="A839" s="13"/>
      <c r="B839" s="13"/>
    </row>
    <row r="840" spans="1:2" x14ac:dyDescent="0.25">
      <c r="A840" s="13"/>
      <c r="B840" s="13"/>
    </row>
    <row r="841" spans="1:2" x14ac:dyDescent="0.25">
      <c r="A841" s="13"/>
      <c r="B841" s="13"/>
    </row>
    <row r="842" spans="1:2" x14ac:dyDescent="0.25">
      <c r="A842" s="13"/>
      <c r="B842" s="13"/>
    </row>
    <row r="843" spans="1:2" x14ac:dyDescent="0.25">
      <c r="A843" s="13"/>
      <c r="B843" s="13"/>
    </row>
    <row r="844" spans="1:2" x14ac:dyDescent="0.25">
      <c r="A844" s="13"/>
      <c r="B844" s="13"/>
    </row>
    <row r="845" spans="1:2" x14ac:dyDescent="0.25">
      <c r="A845" s="13"/>
      <c r="B845" s="13"/>
    </row>
    <row r="846" spans="1:2" x14ac:dyDescent="0.25">
      <c r="A846" s="13"/>
      <c r="B846" s="13"/>
    </row>
    <row r="847" spans="1:2" x14ac:dyDescent="0.25">
      <c r="A847" s="13"/>
      <c r="B847" s="13"/>
    </row>
    <row r="848" spans="1:2" x14ac:dyDescent="0.25">
      <c r="A848" s="13"/>
      <c r="B848" s="13"/>
    </row>
    <row r="849" spans="1:2" x14ac:dyDescent="0.25">
      <c r="A849" s="13"/>
      <c r="B849" s="13"/>
    </row>
    <row r="850" spans="1:2" x14ac:dyDescent="0.25">
      <c r="A850" s="13"/>
      <c r="B850" s="13"/>
    </row>
    <row r="851" spans="1:2" x14ac:dyDescent="0.25">
      <c r="A851" s="13"/>
      <c r="B851" s="13"/>
    </row>
    <row r="852" spans="1:2" x14ac:dyDescent="0.25">
      <c r="A852" s="13"/>
      <c r="B852" s="13"/>
    </row>
    <row r="853" spans="1:2" x14ac:dyDescent="0.25">
      <c r="A853" s="13"/>
      <c r="B853" s="13"/>
    </row>
    <row r="854" spans="1:2" x14ac:dyDescent="0.25">
      <c r="A854" s="13"/>
      <c r="B854" s="13"/>
    </row>
    <row r="855" spans="1:2" x14ac:dyDescent="0.25">
      <c r="A855" s="13"/>
      <c r="B855" s="13"/>
    </row>
    <row r="856" spans="1:2" x14ac:dyDescent="0.25">
      <c r="A856" s="13"/>
      <c r="B856" s="13"/>
    </row>
    <row r="857" spans="1:2" x14ac:dyDescent="0.25">
      <c r="A857" s="13"/>
      <c r="B857" s="13"/>
    </row>
    <row r="858" spans="1:2" x14ac:dyDescent="0.25">
      <c r="A858" s="13"/>
      <c r="B858" s="13"/>
    </row>
    <row r="859" spans="1:2" x14ac:dyDescent="0.25">
      <c r="A859" s="13"/>
      <c r="B859" s="13"/>
    </row>
    <row r="860" spans="1:2" x14ac:dyDescent="0.25">
      <c r="A860" s="13"/>
      <c r="B860" s="13"/>
    </row>
    <row r="861" spans="1:2" x14ac:dyDescent="0.25">
      <c r="A861" s="13"/>
      <c r="B861" s="13"/>
    </row>
    <row r="862" spans="1:2" x14ac:dyDescent="0.25">
      <c r="A862" s="13"/>
      <c r="B862" s="13"/>
    </row>
    <row r="863" spans="1:2" x14ac:dyDescent="0.25">
      <c r="A863" s="13"/>
      <c r="B863" s="13"/>
    </row>
    <row r="864" spans="1:2" x14ac:dyDescent="0.25">
      <c r="A864" s="13"/>
      <c r="B864" s="13"/>
    </row>
    <row r="865" spans="1:2" x14ac:dyDescent="0.25">
      <c r="A865" s="13"/>
      <c r="B865" s="13"/>
    </row>
    <row r="866" spans="1:2" x14ac:dyDescent="0.25">
      <c r="A866" s="13"/>
      <c r="B866" s="13"/>
    </row>
    <row r="867" spans="1:2" x14ac:dyDescent="0.25">
      <c r="A867" s="13"/>
      <c r="B867" s="13"/>
    </row>
    <row r="868" spans="1:2" x14ac:dyDescent="0.25">
      <c r="A868" s="13"/>
      <c r="B868" s="13"/>
    </row>
    <row r="869" spans="1:2" x14ac:dyDescent="0.25">
      <c r="A869" s="13"/>
      <c r="B869" s="13"/>
    </row>
    <row r="870" spans="1:2" x14ac:dyDescent="0.25">
      <c r="A870" s="13"/>
      <c r="B870" s="13"/>
    </row>
    <row r="871" spans="1:2" x14ac:dyDescent="0.25">
      <c r="A871" s="13"/>
      <c r="B871" s="13"/>
    </row>
    <row r="872" spans="1:2" x14ac:dyDescent="0.25">
      <c r="A872" s="13"/>
      <c r="B872" s="13"/>
    </row>
    <row r="873" spans="1:2" x14ac:dyDescent="0.25">
      <c r="A873" s="13"/>
      <c r="B873" s="13"/>
    </row>
    <row r="874" spans="1:2" x14ac:dyDescent="0.25">
      <c r="A874" s="13"/>
      <c r="B874" s="13"/>
    </row>
    <row r="875" spans="1:2" x14ac:dyDescent="0.25">
      <c r="A875" s="13"/>
      <c r="B875" s="13"/>
    </row>
    <row r="876" spans="1:2" x14ac:dyDescent="0.25">
      <c r="A876" s="13"/>
      <c r="B876" s="13"/>
    </row>
    <row r="877" spans="1:2" x14ac:dyDescent="0.25">
      <c r="A877" s="13"/>
      <c r="B877" s="13"/>
    </row>
    <row r="878" spans="1:2" x14ac:dyDescent="0.25">
      <c r="A878" s="13"/>
      <c r="B878" s="13"/>
    </row>
    <row r="879" spans="1:2" x14ac:dyDescent="0.25">
      <c r="A879" s="13"/>
      <c r="B879" s="13"/>
    </row>
    <row r="880" spans="1:2" x14ac:dyDescent="0.25">
      <c r="A880" s="13"/>
      <c r="B880" s="13"/>
    </row>
    <row r="881" spans="1:2" x14ac:dyDescent="0.25">
      <c r="A881" s="13"/>
      <c r="B881" s="13"/>
    </row>
    <row r="882" spans="1:2" x14ac:dyDescent="0.25">
      <c r="A882" s="13"/>
      <c r="B882" s="13"/>
    </row>
    <row r="883" spans="1:2" x14ac:dyDescent="0.25">
      <c r="A883" s="13"/>
      <c r="B883" s="13"/>
    </row>
    <row r="884" spans="1:2" x14ac:dyDescent="0.25">
      <c r="A884" s="13"/>
      <c r="B884" s="13"/>
    </row>
    <row r="885" spans="1:2" x14ac:dyDescent="0.25">
      <c r="A885" s="13"/>
      <c r="B885" s="13"/>
    </row>
    <row r="886" spans="1:2" x14ac:dyDescent="0.25">
      <c r="A886" s="13"/>
      <c r="B886" s="13"/>
    </row>
    <row r="887" spans="1:2" x14ac:dyDescent="0.25">
      <c r="A887" s="13"/>
      <c r="B887" s="13"/>
    </row>
    <row r="888" spans="1:2" x14ac:dyDescent="0.25">
      <c r="A888" s="13"/>
      <c r="B888" s="13"/>
    </row>
    <row r="889" spans="1:2" x14ac:dyDescent="0.25">
      <c r="A889" s="13"/>
      <c r="B889" s="13"/>
    </row>
    <row r="890" spans="1:2" x14ac:dyDescent="0.25">
      <c r="A890" s="13"/>
      <c r="B890" s="13"/>
    </row>
    <row r="891" spans="1:2" x14ac:dyDescent="0.25">
      <c r="A891" s="13"/>
      <c r="B891" s="13"/>
    </row>
    <row r="892" spans="1:2" x14ac:dyDescent="0.25">
      <c r="A892" s="13"/>
      <c r="B892" s="13"/>
    </row>
    <row r="893" spans="1:2" x14ac:dyDescent="0.25">
      <c r="A893" s="13"/>
      <c r="B893" s="13"/>
    </row>
    <row r="894" spans="1:2" x14ac:dyDescent="0.25">
      <c r="A894" s="13"/>
      <c r="B894" s="13"/>
    </row>
    <row r="895" spans="1:2" x14ac:dyDescent="0.25">
      <c r="A895" s="13"/>
      <c r="B895" s="13"/>
    </row>
    <row r="896" spans="1:2" x14ac:dyDescent="0.25">
      <c r="A896" s="13"/>
      <c r="B896" s="13"/>
    </row>
    <row r="897" spans="1:2" x14ac:dyDescent="0.25">
      <c r="A897" s="13"/>
      <c r="B897" s="13"/>
    </row>
    <row r="898" spans="1:2" x14ac:dyDescent="0.25">
      <c r="A898" s="13"/>
      <c r="B898" s="13"/>
    </row>
    <row r="899" spans="1:2" x14ac:dyDescent="0.25">
      <c r="A899" s="13"/>
      <c r="B899" s="13"/>
    </row>
    <row r="900" spans="1:2" x14ac:dyDescent="0.25">
      <c r="A900" s="13"/>
      <c r="B900" s="13"/>
    </row>
    <row r="901" spans="1:2" x14ac:dyDescent="0.25">
      <c r="A901" s="13"/>
      <c r="B901" s="13"/>
    </row>
    <row r="902" spans="1:2" x14ac:dyDescent="0.25">
      <c r="A902" s="13"/>
      <c r="B902" s="13"/>
    </row>
    <row r="903" spans="1:2" x14ac:dyDescent="0.25">
      <c r="A903" s="13"/>
      <c r="B903" s="13"/>
    </row>
    <row r="904" spans="1:2" x14ac:dyDescent="0.25">
      <c r="A904" s="13"/>
      <c r="B904" s="13"/>
    </row>
    <row r="905" spans="1:2" x14ac:dyDescent="0.25">
      <c r="A905" s="13"/>
      <c r="B905" s="13"/>
    </row>
    <row r="906" spans="1:2" x14ac:dyDescent="0.25">
      <c r="A906" s="13"/>
      <c r="B906" s="13"/>
    </row>
    <row r="907" spans="1:2" x14ac:dyDescent="0.25">
      <c r="A907" s="13"/>
      <c r="B907" s="13"/>
    </row>
    <row r="908" spans="1:2" x14ac:dyDescent="0.25">
      <c r="A908" s="13"/>
      <c r="B908" s="13"/>
    </row>
    <row r="909" spans="1:2" x14ac:dyDescent="0.25">
      <c r="A909" s="13"/>
      <c r="B909" s="13"/>
    </row>
    <row r="910" spans="1:2" x14ac:dyDescent="0.25">
      <c r="A910" s="13"/>
      <c r="B910" s="13"/>
    </row>
    <row r="911" spans="1:2" x14ac:dyDescent="0.25">
      <c r="A911" s="13"/>
      <c r="B911" s="13"/>
    </row>
    <row r="912" spans="1:2" x14ac:dyDescent="0.25">
      <c r="A912" s="13"/>
      <c r="B912" s="13"/>
    </row>
    <row r="913" spans="1:2" x14ac:dyDescent="0.25">
      <c r="A913" s="13"/>
      <c r="B913" s="13"/>
    </row>
    <row r="914" spans="1:2" x14ac:dyDescent="0.25">
      <c r="A914" s="13"/>
      <c r="B914" s="13"/>
    </row>
    <row r="915" spans="1:2" x14ac:dyDescent="0.25">
      <c r="A915" s="13"/>
      <c r="B915" s="13"/>
    </row>
    <row r="916" spans="1:2" x14ac:dyDescent="0.25">
      <c r="A916" s="13"/>
      <c r="B916" s="13"/>
    </row>
    <row r="917" spans="1:2" x14ac:dyDescent="0.25">
      <c r="A917" s="13"/>
      <c r="B917" s="13"/>
    </row>
    <row r="918" spans="1:2" x14ac:dyDescent="0.25">
      <c r="A918" s="13"/>
      <c r="B918" s="13"/>
    </row>
    <row r="919" spans="1:2" x14ac:dyDescent="0.25">
      <c r="A919" s="13"/>
      <c r="B919" s="13"/>
    </row>
    <row r="920" spans="1:2" x14ac:dyDescent="0.25">
      <c r="A920" s="13"/>
      <c r="B920" s="13"/>
    </row>
    <row r="921" spans="1:2" x14ac:dyDescent="0.25">
      <c r="A921" s="13"/>
      <c r="B921" s="13"/>
    </row>
    <row r="922" spans="1:2" x14ac:dyDescent="0.25">
      <c r="A922" s="13"/>
      <c r="B922" s="13"/>
    </row>
    <row r="923" spans="1:2" x14ac:dyDescent="0.25">
      <c r="A923" s="13"/>
      <c r="B923" s="13"/>
    </row>
    <row r="924" spans="1:2" x14ac:dyDescent="0.25">
      <c r="A924" s="13"/>
      <c r="B924" s="13"/>
    </row>
    <row r="925" spans="1:2" x14ac:dyDescent="0.25">
      <c r="A925" s="13"/>
      <c r="B925" s="13"/>
    </row>
    <row r="926" spans="1:2" x14ac:dyDescent="0.25">
      <c r="A926" s="13"/>
      <c r="B926" s="13"/>
    </row>
    <row r="927" spans="1:2" x14ac:dyDescent="0.25">
      <c r="A927" s="13"/>
      <c r="B927" s="13"/>
    </row>
    <row r="928" spans="1:2" x14ac:dyDescent="0.25">
      <c r="A928" s="13"/>
      <c r="B928" s="13"/>
    </row>
    <row r="929" spans="1:2" x14ac:dyDescent="0.25">
      <c r="A929" s="13"/>
      <c r="B929" s="13"/>
    </row>
    <row r="930" spans="1:2" x14ac:dyDescent="0.25">
      <c r="A930" s="13"/>
      <c r="B930" s="13"/>
    </row>
    <row r="931" spans="1:2" x14ac:dyDescent="0.25">
      <c r="A931" s="13"/>
      <c r="B931" s="13"/>
    </row>
    <row r="932" spans="1:2" x14ac:dyDescent="0.25">
      <c r="A932" s="13"/>
      <c r="B932" s="13"/>
    </row>
    <row r="933" spans="1:2" x14ac:dyDescent="0.25">
      <c r="A933" s="13"/>
      <c r="B933" s="13"/>
    </row>
    <row r="934" spans="1:2" x14ac:dyDescent="0.25">
      <c r="A934" s="13"/>
      <c r="B934" s="13"/>
    </row>
    <row r="935" spans="1:2" x14ac:dyDescent="0.25">
      <c r="A935" s="13"/>
      <c r="B935" s="13"/>
    </row>
    <row r="936" spans="1:2" x14ac:dyDescent="0.25">
      <c r="A936" s="13"/>
      <c r="B936" s="13"/>
    </row>
    <row r="937" spans="1:2" x14ac:dyDescent="0.25">
      <c r="A937" s="13"/>
      <c r="B937" s="13"/>
    </row>
    <row r="938" spans="1:2" x14ac:dyDescent="0.25">
      <c r="A938" s="13"/>
      <c r="B938" s="13"/>
    </row>
    <row r="939" spans="1:2" x14ac:dyDescent="0.25">
      <c r="A939" s="13"/>
      <c r="B939" s="13"/>
    </row>
    <row r="940" spans="1:2" x14ac:dyDescent="0.25">
      <c r="A940" s="13"/>
      <c r="B940" s="13"/>
    </row>
    <row r="941" spans="1:2" x14ac:dyDescent="0.25">
      <c r="A941" s="13"/>
      <c r="B941" s="13"/>
    </row>
    <row r="942" spans="1:2" x14ac:dyDescent="0.25">
      <c r="A942" s="13"/>
      <c r="B942" s="13"/>
    </row>
    <row r="943" spans="1:2" x14ac:dyDescent="0.25">
      <c r="A943" s="13"/>
      <c r="B943" s="13"/>
    </row>
    <row r="944" spans="1:2" x14ac:dyDescent="0.25">
      <c r="A944" s="13"/>
      <c r="B944" s="13"/>
    </row>
    <row r="945" spans="1:2" x14ac:dyDescent="0.25">
      <c r="A945" s="13"/>
      <c r="B945" s="13"/>
    </row>
    <row r="946" spans="1:2" x14ac:dyDescent="0.25">
      <c r="A946" s="13"/>
      <c r="B946" s="13"/>
    </row>
    <row r="947" spans="1:2" x14ac:dyDescent="0.25">
      <c r="A947" s="13"/>
      <c r="B947" s="13"/>
    </row>
    <row r="948" spans="1:2" x14ac:dyDescent="0.25">
      <c r="A948" s="13"/>
      <c r="B948" s="13"/>
    </row>
    <row r="949" spans="1:2" x14ac:dyDescent="0.25">
      <c r="A949" s="13"/>
      <c r="B949" s="13"/>
    </row>
    <row r="950" spans="1:2" x14ac:dyDescent="0.25">
      <c r="A950" s="13"/>
      <c r="B950" s="13"/>
    </row>
    <row r="951" spans="1:2" x14ac:dyDescent="0.25">
      <c r="A951" s="13"/>
      <c r="B951" s="13"/>
    </row>
    <row r="952" spans="1:2" x14ac:dyDescent="0.25">
      <c r="A952" s="13"/>
      <c r="B952" s="13"/>
    </row>
    <row r="953" spans="1:2" x14ac:dyDescent="0.25">
      <c r="A953" s="13"/>
      <c r="B953" s="13"/>
    </row>
    <row r="954" spans="1:2" x14ac:dyDescent="0.25">
      <c r="A954" s="13"/>
      <c r="B954" s="13"/>
    </row>
    <row r="955" spans="1:2" x14ac:dyDescent="0.25">
      <c r="A955" s="13"/>
      <c r="B955" s="13"/>
    </row>
    <row r="956" spans="1:2" x14ac:dyDescent="0.25">
      <c r="A956" s="13"/>
      <c r="B956" s="13"/>
    </row>
    <row r="957" spans="1:2" x14ac:dyDescent="0.25">
      <c r="A957" s="13"/>
      <c r="B957" s="13"/>
    </row>
    <row r="958" spans="1:2" x14ac:dyDescent="0.25">
      <c r="A958" s="13"/>
      <c r="B958" s="13"/>
    </row>
    <row r="959" spans="1:2" x14ac:dyDescent="0.25">
      <c r="A959" s="13"/>
      <c r="B959" s="13"/>
    </row>
    <row r="960" spans="1:2" x14ac:dyDescent="0.25">
      <c r="A960" s="13"/>
      <c r="B960" s="13"/>
    </row>
    <row r="961" spans="1:2" x14ac:dyDescent="0.25">
      <c r="A961" s="13"/>
      <c r="B961" s="13"/>
    </row>
    <row r="962" spans="1:2" x14ac:dyDescent="0.25">
      <c r="A962" s="13"/>
      <c r="B962" s="13"/>
    </row>
    <row r="963" spans="1:2" x14ac:dyDescent="0.25">
      <c r="A963" s="13"/>
      <c r="B963" s="13"/>
    </row>
    <row r="964" spans="1:2" x14ac:dyDescent="0.25">
      <c r="A964" s="13"/>
      <c r="B964" s="13"/>
    </row>
    <row r="965" spans="1:2" x14ac:dyDescent="0.25">
      <c r="A965" s="13"/>
      <c r="B965" s="13"/>
    </row>
    <row r="966" spans="1:2" x14ac:dyDescent="0.25">
      <c r="A966" s="13"/>
      <c r="B966" s="13"/>
    </row>
    <row r="967" spans="1:2" x14ac:dyDescent="0.25">
      <c r="A967" s="13"/>
      <c r="B967" s="13"/>
    </row>
    <row r="968" spans="1:2" x14ac:dyDescent="0.25">
      <c r="A968" s="13"/>
      <c r="B968" s="13"/>
    </row>
    <row r="969" spans="1:2" x14ac:dyDescent="0.25">
      <c r="A969" s="13"/>
      <c r="B969" s="13"/>
    </row>
    <row r="970" spans="1:2" x14ac:dyDescent="0.25">
      <c r="A970" s="13"/>
      <c r="B970" s="13"/>
    </row>
    <row r="971" spans="1:2" x14ac:dyDescent="0.25">
      <c r="A971" s="13"/>
      <c r="B971" s="13"/>
    </row>
    <row r="972" spans="1:2" x14ac:dyDescent="0.25">
      <c r="A972" s="13"/>
      <c r="B972" s="13"/>
    </row>
    <row r="973" spans="1:2" x14ac:dyDescent="0.25">
      <c r="A973" s="13"/>
      <c r="B973" s="13"/>
    </row>
    <row r="974" spans="1:2" x14ac:dyDescent="0.25">
      <c r="A974" s="13"/>
      <c r="B974" s="13"/>
    </row>
    <row r="975" spans="1:2" x14ac:dyDescent="0.25">
      <c r="A975" s="13"/>
      <c r="B975" s="13"/>
    </row>
    <row r="976" spans="1:2" x14ac:dyDescent="0.25">
      <c r="A976" s="13"/>
      <c r="B976" s="13"/>
    </row>
    <row r="977" spans="1:2" x14ac:dyDescent="0.25">
      <c r="A977" s="13"/>
      <c r="B977" s="13"/>
    </row>
    <row r="978" spans="1:2" x14ac:dyDescent="0.25">
      <c r="A978" s="13"/>
      <c r="B978" s="13"/>
    </row>
    <row r="979" spans="1:2" x14ac:dyDescent="0.25">
      <c r="A979" s="13"/>
      <c r="B979" s="13"/>
    </row>
    <row r="980" spans="1:2" x14ac:dyDescent="0.25">
      <c r="A980" s="13"/>
      <c r="B980" s="13"/>
    </row>
    <row r="981" spans="1:2" x14ac:dyDescent="0.25">
      <c r="A981" s="13"/>
      <c r="B981" s="13"/>
    </row>
    <row r="982" spans="1:2" x14ac:dyDescent="0.25">
      <c r="A982" s="13"/>
      <c r="B982" s="13"/>
    </row>
    <row r="983" spans="1:2" x14ac:dyDescent="0.25">
      <c r="A983" s="13"/>
      <c r="B983" s="13"/>
    </row>
    <row r="984" spans="1:2" x14ac:dyDescent="0.25">
      <c r="A984" s="13"/>
      <c r="B984" s="13"/>
    </row>
    <row r="985" spans="1:2" x14ac:dyDescent="0.25">
      <c r="A985" s="13"/>
      <c r="B985" s="13"/>
    </row>
    <row r="986" spans="1:2" x14ac:dyDescent="0.25">
      <c r="A986" s="13"/>
      <c r="B986" s="13"/>
    </row>
    <row r="987" spans="1:2" x14ac:dyDescent="0.25">
      <c r="A987" s="13"/>
      <c r="B987" s="13"/>
    </row>
    <row r="988" spans="1:2" x14ac:dyDescent="0.25">
      <c r="A988" s="13"/>
      <c r="B988" s="13"/>
    </row>
    <row r="989" spans="1:2" x14ac:dyDescent="0.25">
      <c r="A989" s="13"/>
      <c r="B989" s="13"/>
    </row>
    <row r="990" spans="1:2" x14ac:dyDescent="0.25">
      <c r="A990" s="13"/>
      <c r="B990" s="13"/>
    </row>
    <row r="991" spans="1:2" x14ac:dyDescent="0.25">
      <c r="A991" s="13"/>
      <c r="B991" s="13"/>
    </row>
    <row r="992" spans="1:2" x14ac:dyDescent="0.25">
      <c r="A992" s="13"/>
      <c r="B992" s="13"/>
    </row>
    <row r="993" spans="1:2" x14ac:dyDescent="0.25">
      <c r="A993" s="13"/>
      <c r="B993" s="13"/>
    </row>
    <row r="994" spans="1:2" x14ac:dyDescent="0.25">
      <c r="A994" s="13"/>
      <c r="B994" s="13"/>
    </row>
    <row r="995" spans="1:2" x14ac:dyDescent="0.25">
      <c r="A995" s="13"/>
      <c r="B995" s="13"/>
    </row>
    <row r="996" spans="1:2" x14ac:dyDescent="0.25">
      <c r="A996" s="13"/>
      <c r="B996" s="13"/>
    </row>
    <row r="997" spans="1:2" x14ac:dyDescent="0.25">
      <c r="A997" s="13"/>
      <c r="B997" s="13"/>
    </row>
    <row r="998" spans="1:2" x14ac:dyDescent="0.25">
      <c r="A998" s="13"/>
      <c r="B998" s="13"/>
    </row>
    <row r="999" spans="1:2" x14ac:dyDescent="0.25">
      <c r="A999" s="13"/>
      <c r="B999" s="13"/>
    </row>
    <row r="1000" spans="1:2" x14ac:dyDescent="0.25">
      <c r="A1000" s="13"/>
      <c r="B1000" s="13"/>
    </row>
  </sheetData>
  <mergeCells count="8">
    <mergeCell ref="A19:B19"/>
    <mergeCell ref="A17:B17"/>
    <mergeCell ref="A5:B5"/>
    <mergeCell ref="A7:B7"/>
    <mergeCell ref="A9:B9"/>
    <mergeCell ref="A11:B11"/>
    <mergeCell ref="A13:B13"/>
    <mergeCell ref="A15:B15"/>
  </mergeCells>
  <conditionalFormatting sqref="D6:G100000">
    <cfRule type="expression" dxfId="9" priority="3">
      <formula>ROW($D6)&lt;= COUNTA($D$6:$D$100002)+5</formula>
    </cfRule>
  </conditionalFormatting>
  <conditionalFormatting sqref="D6:D100000">
    <cfRule type="expression" dxfId="8" priority="2">
      <formula>ROW($D6)&lt;= COUNTA($D$6:$D$100002)+5</formula>
    </cfRule>
  </conditionalFormatting>
  <conditionalFormatting sqref="G6:G100000">
    <cfRule type="expression" dxfId="7" priority="1">
      <formula>ROW($D6)&lt;= COUNTA($D$6:$D$100002)+5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66C76-9B7C-42AC-AE8C-4171FD2EBA01}">
  <sheetPr codeName="Sheet9">
    <tabColor theme="8"/>
  </sheetPr>
  <dimension ref="A1:BZ1000"/>
  <sheetViews>
    <sheetView showGridLines="0" showRowColHeaders="0" showZeros="0" workbookViewId="0">
      <selection activeCell="I20" sqref="I20"/>
    </sheetView>
  </sheetViews>
  <sheetFormatPr defaultRowHeight="15" x14ac:dyDescent="0.25"/>
  <cols>
    <col min="1" max="1" width="5" customWidth="1"/>
    <col min="2" max="2" width="13.28515625" customWidth="1"/>
    <col min="3" max="3" width="3.7109375" customWidth="1"/>
    <col min="4" max="4" width="42.42578125" bestFit="1" customWidth="1"/>
    <col min="5" max="5" width="7.28515625" bestFit="1" customWidth="1"/>
    <col min="6" max="6" width="11" bestFit="1" customWidth="1"/>
    <col min="7" max="7" width="10.140625" bestFit="1" customWidth="1"/>
    <col min="8" max="8" width="8.85546875" bestFit="1" customWidth="1"/>
    <col min="9" max="9" width="13.140625" bestFit="1" customWidth="1"/>
    <col min="10" max="10" width="7.140625" bestFit="1" customWidth="1"/>
    <col min="11" max="11" width="36" bestFit="1" customWidth="1"/>
    <col min="12" max="12" width="40.140625" bestFit="1" customWidth="1"/>
    <col min="13" max="13" width="28.7109375" bestFit="1" customWidth="1"/>
    <col min="14" max="20" width="6" bestFit="1" customWidth="1"/>
  </cols>
  <sheetData>
    <row r="1" spans="1:78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</row>
    <row r="2" spans="1:78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</row>
    <row r="3" spans="1:78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</row>
    <row r="4" spans="1:78" x14ac:dyDescent="0.25">
      <c r="A4" s="13"/>
      <c r="B4" s="13"/>
    </row>
    <row r="5" spans="1:78" x14ac:dyDescent="0.25">
      <c r="A5" s="71" t="str">
        <f>HYPERLINK("#'Controls'!d4", "Controls")</f>
        <v>Controls</v>
      </c>
      <c r="B5" s="71"/>
      <c r="D5" s="21" t="str" cm="1">
        <f t="array" ref="D5:T5">IFERROR(_xlfn.VSTACK(Line_List[#Headers], _xlfn.UNIQUE(_xlfn._xlws.FILTER(Line_List[], ISNA(_xlfn.XMATCH(Line_List[Item Key], Image_Data[Item Key], 0))))),
Line_List[#Headers])</f>
        <v>Item Key</v>
      </c>
      <c r="E5" s="22" t="str">
        <v>Season</v>
      </c>
      <c r="F5" s="22" t="str">
        <v>Item Status</v>
      </c>
      <c r="G5" s="22" t="str">
        <v>Brand</v>
      </c>
      <c r="H5" s="22" t="str">
        <v>Gender</v>
      </c>
      <c r="I5" s="22" t="str">
        <v>Style Code</v>
      </c>
      <c r="J5" s="22" t="str">
        <v>Theme</v>
      </c>
      <c r="K5" s="22" t="str">
        <v>Description</v>
      </c>
      <c r="L5" s="22" t="str">
        <v>Description 2</v>
      </c>
      <c r="M5" s="22" t="str">
        <v>Colour</v>
      </c>
      <c r="N5" s="22" t="str">
        <v>Size 1</v>
      </c>
      <c r="O5" s="22" t="str">
        <v>Size 2</v>
      </c>
      <c r="P5" s="22" t="str">
        <v>Size 3</v>
      </c>
      <c r="Q5" s="22" t="str">
        <v>Size 4</v>
      </c>
      <c r="R5" s="22" t="str">
        <v>Size 5</v>
      </c>
      <c r="S5" s="22" t="str">
        <v>Size 6</v>
      </c>
      <c r="T5" s="23" t="str">
        <v>Size 7</v>
      </c>
    </row>
    <row r="6" spans="1:78" x14ac:dyDescent="0.25">
      <c r="A6" s="33"/>
      <c r="B6" s="34"/>
    </row>
    <row r="7" spans="1:78" x14ac:dyDescent="0.25">
      <c r="A7" s="71" t="str">
        <f>HYPERLINK("#'Line List'!d4", "Line List")</f>
        <v>Line List</v>
      </c>
      <c r="B7" s="71"/>
    </row>
    <row r="8" spans="1:78" x14ac:dyDescent="0.25">
      <c r="A8" s="33"/>
      <c r="B8" s="34"/>
    </row>
    <row r="9" spans="1:78" x14ac:dyDescent="0.25">
      <c r="A9" s="71" t="str">
        <f>HYPERLINK("#'Image Data'!D4", "Img Data")</f>
        <v>Img Data</v>
      </c>
      <c r="B9" s="71"/>
    </row>
    <row r="10" spans="1:78" x14ac:dyDescent="0.25">
      <c r="A10" s="33"/>
      <c r="B10" s="34"/>
    </row>
    <row r="11" spans="1:78" x14ac:dyDescent="0.25">
      <c r="A11" s="71" t="str">
        <f>HYPERLINK("#'Image Syle Not in Line List'!D4", "Img Style!=")</f>
        <v>Img Style!=</v>
      </c>
      <c r="B11" s="71"/>
    </row>
    <row r="12" spans="1:78" x14ac:dyDescent="0.25">
      <c r="A12" s="33"/>
      <c r="B12" s="34"/>
    </row>
    <row r="13" spans="1:78" x14ac:dyDescent="0.25">
      <c r="A13" s="71" t="str">
        <f>HYPERLINK("#'Images Not in Line List'!D4", "Img != List")</f>
        <v>Img != List</v>
      </c>
      <c r="B13" s="71"/>
    </row>
    <row r="14" spans="1:78" x14ac:dyDescent="0.25">
      <c r="A14" s="33"/>
      <c r="B14" s="34"/>
    </row>
    <row r="15" spans="1:78" x14ac:dyDescent="0.25">
      <c r="A15" s="71" t="str">
        <f>HYPERLINK("#'Line List Not in Images'!D4", "List != Img")</f>
        <v>List != Img</v>
      </c>
      <c r="B15" s="71"/>
    </row>
    <row r="16" spans="1:78" x14ac:dyDescent="0.25">
      <c r="A16" s="33"/>
      <c r="B16" s="34"/>
    </row>
    <row r="17" spans="1:2" x14ac:dyDescent="0.25">
      <c r="A17" s="71" t="str">
        <f>HYPERLINK("#'Renaming Data'!D4", "Renaming")</f>
        <v>Renaming</v>
      </c>
      <c r="B17" s="71"/>
    </row>
    <row r="18" spans="1:2" x14ac:dyDescent="0.25">
      <c r="A18" s="33"/>
      <c r="B18" s="34"/>
    </row>
    <row r="19" spans="1:2" x14ac:dyDescent="0.25">
      <c r="A19" s="71" t="str">
        <f>HYPERLINK("#'Execution Log'!D4", "Exec Log")</f>
        <v>Exec Log</v>
      </c>
      <c r="B19" s="71"/>
    </row>
    <row r="20" spans="1:2" x14ac:dyDescent="0.25">
      <c r="A20" s="13"/>
      <c r="B20" s="13"/>
    </row>
    <row r="21" spans="1:2" x14ac:dyDescent="0.25">
      <c r="A21" s="13"/>
      <c r="B21" s="13"/>
    </row>
    <row r="22" spans="1:2" x14ac:dyDescent="0.25">
      <c r="A22" s="13"/>
      <c r="B22" s="13"/>
    </row>
    <row r="23" spans="1:2" x14ac:dyDescent="0.25">
      <c r="A23" s="13"/>
      <c r="B23" s="13"/>
    </row>
    <row r="24" spans="1:2" x14ac:dyDescent="0.25">
      <c r="A24" s="13"/>
      <c r="B24" s="13"/>
    </row>
    <row r="25" spans="1:2" x14ac:dyDescent="0.25">
      <c r="A25" s="13"/>
      <c r="B25" s="13"/>
    </row>
    <row r="26" spans="1:2" x14ac:dyDescent="0.25">
      <c r="A26" s="13"/>
      <c r="B26" s="13"/>
    </row>
    <row r="27" spans="1:2" x14ac:dyDescent="0.25">
      <c r="A27" s="13"/>
      <c r="B27" s="13"/>
    </row>
    <row r="28" spans="1:2" x14ac:dyDescent="0.25">
      <c r="A28" s="13"/>
      <c r="B28" s="13"/>
    </row>
    <row r="29" spans="1:2" x14ac:dyDescent="0.25">
      <c r="A29" s="13"/>
      <c r="B29" s="13"/>
    </row>
    <row r="30" spans="1:2" x14ac:dyDescent="0.25">
      <c r="A30" s="13"/>
      <c r="B30" s="13"/>
    </row>
    <row r="31" spans="1:2" x14ac:dyDescent="0.25">
      <c r="A31" s="13"/>
      <c r="B31" s="13"/>
    </row>
    <row r="32" spans="1:2" x14ac:dyDescent="0.25">
      <c r="A32" s="13"/>
      <c r="B32" s="13"/>
    </row>
    <row r="33" spans="1:2" x14ac:dyDescent="0.25">
      <c r="A33" s="13"/>
      <c r="B33" s="13"/>
    </row>
    <row r="34" spans="1:2" x14ac:dyDescent="0.25">
      <c r="A34" s="13"/>
      <c r="B34" s="13"/>
    </row>
    <row r="35" spans="1:2" x14ac:dyDescent="0.25">
      <c r="A35" s="13"/>
      <c r="B35" s="13"/>
    </row>
    <row r="36" spans="1:2" x14ac:dyDescent="0.25">
      <c r="A36" s="13"/>
      <c r="B36" s="13"/>
    </row>
    <row r="37" spans="1:2" x14ac:dyDescent="0.25">
      <c r="A37" s="13"/>
      <c r="B37" s="13"/>
    </row>
    <row r="38" spans="1:2" x14ac:dyDescent="0.25">
      <c r="A38" s="13"/>
      <c r="B38" s="13"/>
    </row>
    <row r="39" spans="1:2" x14ac:dyDescent="0.25">
      <c r="A39" s="13"/>
      <c r="B39" s="13"/>
    </row>
    <row r="40" spans="1:2" x14ac:dyDescent="0.25">
      <c r="A40" s="13"/>
      <c r="B40" s="13"/>
    </row>
    <row r="41" spans="1:2" x14ac:dyDescent="0.25">
      <c r="A41" s="13"/>
      <c r="B41" s="13"/>
    </row>
    <row r="42" spans="1:2" x14ac:dyDescent="0.25">
      <c r="A42" s="13"/>
      <c r="B42" s="13"/>
    </row>
    <row r="43" spans="1:2" x14ac:dyDescent="0.25">
      <c r="A43" s="13"/>
      <c r="B43" s="13"/>
    </row>
    <row r="44" spans="1:2" x14ac:dyDescent="0.25">
      <c r="A44" s="13"/>
      <c r="B44" s="13"/>
    </row>
    <row r="45" spans="1:2" x14ac:dyDescent="0.25">
      <c r="A45" s="13"/>
      <c r="B45" s="13"/>
    </row>
    <row r="46" spans="1:2" x14ac:dyDescent="0.25">
      <c r="A46" s="13"/>
      <c r="B46" s="13"/>
    </row>
    <row r="47" spans="1:2" x14ac:dyDescent="0.25">
      <c r="A47" s="13"/>
      <c r="B47" s="13"/>
    </row>
    <row r="48" spans="1:2" x14ac:dyDescent="0.25">
      <c r="A48" s="13"/>
      <c r="B48" s="13"/>
    </row>
    <row r="49" spans="1:2" x14ac:dyDescent="0.25">
      <c r="A49" s="13"/>
      <c r="B49" s="13"/>
    </row>
    <row r="50" spans="1:2" x14ac:dyDescent="0.25">
      <c r="A50" s="13"/>
      <c r="B50" s="13"/>
    </row>
    <row r="51" spans="1:2" x14ac:dyDescent="0.25">
      <c r="A51" s="13"/>
      <c r="B51" s="13"/>
    </row>
    <row r="52" spans="1:2" x14ac:dyDescent="0.25">
      <c r="A52" s="13"/>
      <c r="B52" s="13"/>
    </row>
    <row r="53" spans="1:2" x14ac:dyDescent="0.25">
      <c r="A53" s="13"/>
      <c r="B53" s="13"/>
    </row>
    <row r="54" spans="1:2" x14ac:dyDescent="0.25">
      <c r="A54" s="13"/>
      <c r="B54" s="13"/>
    </row>
    <row r="55" spans="1:2" x14ac:dyDescent="0.25">
      <c r="A55" s="13"/>
      <c r="B55" s="13"/>
    </row>
    <row r="56" spans="1:2" x14ac:dyDescent="0.25">
      <c r="A56" s="13"/>
      <c r="B56" s="13"/>
    </row>
    <row r="57" spans="1:2" x14ac:dyDescent="0.25">
      <c r="A57" s="13"/>
      <c r="B57" s="13"/>
    </row>
    <row r="58" spans="1:2" x14ac:dyDescent="0.25">
      <c r="A58" s="13"/>
      <c r="B58" s="13"/>
    </row>
    <row r="59" spans="1:2" x14ac:dyDescent="0.25">
      <c r="A59" s="13"/>
      <c r="B59" s="13"/>
    </row>
    <row r="60" spans="1:2" x14ac:dyDescent="0.25">
      <c r="A60" s="13"/>
      <c r="B60" s="13"/>
    </row>
    <row r="61" spans="1:2" x14ac:dyDescent="0.25">
      <c r="A61" s="13"/>
      <c r="B61" s="13"/>
    </row>
    <row r="62" spans="1:2" x14ac:dyDescent="0.25">
      <c r="A62" s="13"/>
      <c r="B62" s="13"/>
    </row>
    <row r="63" spans="1:2" x14ac:dyDescent="0.25">
      <c r="A63" s="13"/>
      <c r="B63" s="13"/>
    </row>
    <row r="64" spans="1:2" x14ac:dyDescent="0.25">
      <c r="A64" s="13"/>
      <c r="B64" s="13"/>
    </row>
    <row r="65" spans="1:2" x14ac:dyDescent="0.25">
      <c r="A65" s="13"/>
      <c r="B65" s="13"/>
    </row>
    <row r="66" spans="1:2" x14ac:dyDescent="0.25">
      <c r="A66" s="13"/>
      <c r="B66" s="13"/>
    </row>
    <row r="67" spans="1:2" x14ac:dyDescent="0.25">
      <c r="A67" s="13"/>
      <c r="B67" s="13"/>
    </row>
    <row r="68" spans="1:2" x14ac:dyDescent="0.25">
      <c r="A68" s="13"/>
      <c r="B68" s="13"/>
    </row>
    <row r="69" spans="1:2" x14ac:dyDescent="0.25">
      <c r="A69" s="13"/>
      <c r="B69" s="13"/>
    </row>
    <row r="70" spans="1:2" x14ac:dyDescent="0.25">
      <c r="A70" s="13"/>
      <c r="B70" s="13"/>
    </row>
    <row r="71" spans="1:2" x14ac:dyDescent="0.25">
      <c r="A71" s="13"/>
      <c r="B71" s="13"/>
    </row>
    <row r="72" spans="1:2" x14ac:dyDescent="0.25">
      <c r="A72" s="13"/>
      <c r="B72" s="13"/>
    </row>
    <row r="73" spans="1:2" x14ac:dyDescent="0.25">
      <c r="A73" s="13"/>
      <c r="B73" s="13"/>
    </row>
    <row r="74" spans="1:2" x14ac:dyDescent="0.25">
      <c r="A74" s="13"/>
      <c r="B74" s="13"/>
    </row>
    <row r="75" spans="1:2" x14ac:dyDescent="0.25">
      <c r="A75" s="13"/>
      <c r="B75" s="13"/>
    </row>
    <row r="76" spans="1:2" x14ac:dyDescent="0.25">
      <c r="A76" s="13"/>
      <c r="B76" s="13"/>
    </row>
    <row r="77" spans="1:2" x14ac:dyDescent="0.25">
      <c r="A77" s="13"/>
      <c r="B77" s="13"/>
    </row>
    <row r="78" spans="1:2" x14ac:dyDescent="0.25">
      <c r="A78" s="13"/>
      <c r="B78" s="13"/>
    </row>
    <row r="79" spans="1:2" x14ac:dyDescent="0.25">
      <c r="A79" s="13"/>
      <c r="B79" s="13"/>
    </row>
    <row r="80" spans="1:2" x14ac:dyDescent="0.25">
      <c r="A80" s="13"/>
      <c r="B80" s="13"/>
    </row>
    <row r="81" spans="1:2" x14ac:dyDescent="0.25">
      <c r="A81" s="13"/>
      <c r="B81" s="13"/>
    </row>
    <row r="82" spans="1:2" x14ac:dyDescent="0.25">
      <c r="A82" s="13"/>
      <c r="B82" s="13"/>
    </row>
    <row r="83" spans="1:2" x14ac:dyDescent="0.25">
      <c r="A83" s="13"/>
      <c r="B83" s="13"/>
    </row>
    <row r="84" spans="1:2" x14ac:dyDescent="0.25">
      <c r="A84" s="13"/>
      <c r="B84" s="13"/>
    </row>
    <row r="85" spans="1:2" x14ac:dyDescent="0.25">
      <c r="A85" s="13"/>
      <c r="B85" s="13"/>
    </row>
    <row r="86" spans="1:2" x14ac:dyDescent="0.25">
      <c r="A86" s="13"/>
      <c r="B86" s="13"/>
    </row>
    <row r="87" spans="1:2" x14ac:dyDescent="0.25">
      <c r="A87" s="13"/>
      <c r="B87" s="13"/>
    </row>
    <row r="88" spans="1:2" x14ac:dyDescent="0.25">
      <c r="A88" s="13"/>
      <c r="B88" s="13"/>
    </row>
    <row r="89" spans="1:2" x14ac:dyDescent="0.25">
      <c r="A89" s="13"/>
      <c r="B89" s="13"/>
    </row>
    <row r="90" spans="1:2" x14ac:dyDescent="0.25">
      <c r="A90" s="13"/>
      <c r="B90" s="13"/>
    </row>
    <row r="91" spans="1:2" x14ac:dyDescent="0.25">
      <c r="A91" s="13"/>
      <c r="B91" s="13"/>
    </row>
    <row r="92" spans="1:2" x14ac:dyDescent="0.25">
      <c r="A92" s="13"/>
      <c r="B92" s="13"/>
    </row>
    <row r="93" spans="1:2" x14ac:dyDescent="0.25">
      <c r="A93" s="13"/>
      <c r="B93" s="13"/>
    </row>
    <row r="94" spans="1:2" x14ac:dyDescent="0.25">
      <c r="A94" s="13"/>
      <c r="B94" s="13"/>
    </row>
    <row r="95" spans="1:2" x14ac:dyDescent="0.25">
      <c r="A95" s="13"/>
      <c r="B95" s="13"/>
    </row>
    <row r="96" spans="1:2" x14ac:dyDescent="0.25">
      <c r="A96" s="13"/>
      <c r="B96" s="13"/>
    </row>
    <row r="97" spans="1:2" x14ac:dyDescent="0.25">
      <c r="A97" s="13"/>
      <c r="B97" s="13"/>
    </row>
    <row r="98" spans="1:2" x14ac:dyDescent="0.25">
      <c r="A98" s="13"/>
      <c r="B98" s="13"/>
    </row>
    <row r="99" spans="1:2" x14ac:dyDescent="0.25">
      <c r="A99" s="13"/>
      <c r="B99" s="13"/>
    </row>
    <row r="100" spans="1:2" x14ac:dyDescent="0.25">
      <c r="A100" s="13"/>
      <c r="B100" s="13"/>
    </row>
    <row r="101" spans="1:2" x14ac:dyDescent="0.25">
      <c r="A101" s="13"/>
      <c r="B101" s="13"/>
    </row>
    <row r="102" spans="1:2" x14ac:dyDescent="0.25">
      <c r="A102" s="13"/>
      <c r="B102" s="13"/>
    </row>
    <row r="103" spans="1:2" x14ac:dyDescent="0.25">
      <c r="A103" s="13"/>
      <c r="B103" s="13"/>
    </row>
    <row r="104" spans="1:2" x14ac:dyDescent="0.25">
      <c r="A104" s="13"/>
      <c r="B104" s="13"/>
    </row>
    <row r="105" spans="1:2" x14ac:dyDescent="0.25">
      <c r="A105" s="13"/>
      <c r="B105" s="13"/>
    </row>
    <row r="106" spans="1:2" x14ac:dyDescent="0.25">
      <c r="A106" s="13"/>
      <c r="B106" s="13"/>
    </row>
    <row r="107" spans="1:2" x14ac:dyDescent="0.25">
      <c r="A107" s="13"/>
      <c r="B107" s="13"/>
    </row>
    <row r="108" spans="1:2" x14ac:dyDescent="0.25">
      <c r="A108" s="13"/>
      <c r="B108" s="13"/>
    </row>
    <row r="109" spans="1:2" x14ac:dyDescent="0.25">
      <c r="A109" s="13"/>
      <c r="B109" s="13"/>
    </row>
    <row r="110" spans="1:2" x14ac:dyDescent="0.25">
      <c r="A110" s="13"/>
      <c r="B110" s="13"/>
    </row>
    <row r="111" spans="1:2" x14ac:dyDescent="0.25">
      <c r="A111" s="13"/>
      <c r="B111" s="13"/>
    </row>
    <row r="112" spans="1:2" x14ac:dyDescent="0.25">
      <c r="A112" s="13"/>
      <c r="B112" s="13"/>
    </row>
    <row r="113" spans="1:2" x14ac:dyDescent="0.25">
      <c r="A113" s="13"/>
      <c r="B113" s="13"/>
    </row>
    <row r="114" spans="1:2" x14ac:dyDescent="0.25">
      <c r="A114" s="13"/>
      <c r="B114" s="13"/>
    </row>
    <row r="115" spans="1:2" x14ac:dyDescent="0.25">
      <c r="A115" s="13"/>
      <c r="B115" s="13"/>
    </row>
    <row r="116" spans="1:2" x14ac:dyDescent="0.25">
      <c r="A116" s="13"/>
      <c r="B116" s="13"/>
    </row>
    <row r="117" spans="1:2" x14ac:dyDescent="0.25">
      <c r="A117" s="13"/>
      <c r="B117" s="13"/>
    </row>
    <row r="118" spans="1:2" x14ac:dyDescent="0.25">
      <c r="A118" s="13"/>
      <c r="B118" s="13"/>
    </row>
    <row r="119" spans="1:2" x14ac:dyDescent="0.25">
      <c r="A119" s="13"/>
      <c r="B119" s="13"/>
    </row>
    <row r="120" spans="1:2" x14ac:dyDescent="0.25">
      <c r="A120" s="13"/>
      <c r="B120" s="13"/>
    </row>
    <row r="121" spans="1:2" x14ac:dyDescent="0.25">
      <c r="A121" s="13"/>
      <c r="B121" s="13"/>
    </row>
    <row r="122" spans="1:2" x14ac:dyDescent="0.25">
      <c r="A122" s="13"/>
      <c r="B122" s="13"/>
    </row>
    <row r="123" spans="1:2" x14ac:dyDescent="0.25">
      <c r="A123" s="13"/>
      <c r="B123" s="13"/>
    </row>
    <row r="124" spans="1:2" x14ac:dyDescent="0.25">
      <c r="A124" s="13"/>
      <c r="B124" s="13"/>
    </row>
    <row r="125" spans="1:2" x14ac:dyDescent="0.25">
      <c r="A125" s="13"/>
      <c r="B125" s="13"/>
    </row>
    <row r="126" spans="1:2" x14ac:dyDescent="0.25">
      <c r="A126" s="13"/>
      <c r="B126" s="13"/>
    </row>
    <row r="127" spans="1:2" x14ac:dyDescent="0.25">
      <c r="A127" s="13"/>
      <c r="B127" s="13"/>
    </row>
    <row r="128" spans="1:2" x14ac:dyDescent="0.25">
      <c r="A128" s="13"/>
      <c r="B128" s="13"/>
    </row>
    <row r="129" spans="1:2" x14ac:dyDescent="0.25">
      <c r="A129" s="13"/>
      <c r="B129" s="13"/>
    </row>
    <row r="130" spans="1:2" x14ac:dyDescent="0.25">
      <c r="A130" s="13"/>
      <c r="B130" s="13"/>
    </row>
    <row r="131" spans="1:2" x14ac:dyDescent="0.25">
      <c r="A131" s="13"/>
      <c r="B131" s="13"/>
    </row>
    <row r="132" spans="1:2" x14ac:dyDescent="0.25">
      <c r="A132" s="13"/>
      <c r="B132" s="13"/>
    </row>
    <row r="133" spans="1:2" x14ac:dyDescent="0.25">
      <c r="A133" s="13"/>
      <c r="B133" s="13"/>
    </row>
    <row r="134" spans="1:2" x14ac:dyDescent="0.25">
      <c r="A134" s="13"/>
      <c r="B134" s="13"/>
    </row>
    <row r="135" spans="1:2" x14ac:dyDescent="0.25">
      <c r="A135" s="13"/>
      <c r="B135" s="13"/>
    </row>
    <row r="136" spans="1:2" x14ac:dyDescent="0.25">
      <c r="A136" s="13"/>
      <c r="B136" s="13"/>
    </row>
    <row r="137" spans="1:2" x14ac:dyDescent="0.25">
      <c r="A137" s="13"/>
      <c r="B137" s="13"/>
    </row>
    <row r="138" spans="1:2" x14ac:dyDescent="0.25">
      <c r="A138" s="13"/>
      <c r="B138" s="13"/>
    </row>
    <row r="139" spans="1:2" x14ac:dyDescent="0.25">
      <c r="A139" s="13"/>
      <c r="B139" s="13"/>
    </row>
    <row r="140" spans="1:2" x14ac:dyDescent="0.25">
      <c r="A140" s="13"/>
      <c r="B140" s="13"/>
    </row>
    <row r="141" spans="1:2" x14ac:dyDescent="0.25">
      <c r="A141" s="13"/>
      <c r="B141" s="13"/>
    </row>
    <row r="142" spans="1:2" x14ac:dyDescent="0.25">
      <c r="A142" s="13"/>
      <c r="B142" s="13"/>
    </row>
    <row r="143" spans="1:2" x14ac:dyDescent="0.25">
      <c r="A143" s="13"/>
      <c r="B143" s="13"/>
    </row>
    <row r="144" spans="1:2" x14ac:dyDescent="0.25">
      <c r="A144" s="13"/>
      <c r="B144" s="13"/>
    </row>
    <row r="145" spans="1:2" x14ac:dyDescent="0.25">
      <c r="A145" s="13"/>
      <c r="B145" s="13"/>
    </row>
    <row r="146" spans="1:2" x14ac:dyDescent="0.25">
      <c r="A146" s="13"/>
      <c r="B146" s="13"/>
    </row>
    <row r="147" spans="1:2" x14ac:dyDescent="0.25">
      <c r="A147" s="13"/>
      <c r="B147" s="13"/>
    </row>
    <row r="148" spans="1:2" x14ac:dyDescent="0.25">
      <c r="A148" s="13"/>
      <c r="B148" s="13"/>
    </row>
    <row r="149" spans="1:2" x14ac:dyDescent="0.25">
      <c r="A149" s="13"/>
      <c r="B149" s="13"/>
    </row>
    <row r="150" spans="1:2" x14ac:dyDescent="0.25">
      <c r="A150" s="13"/>
      <c r="B150" s="13"/>
    </row>
    <row r="151" spans="1:2" x14ac:dyDescent="0.25">
      <c r="A151" s="13"/>
      <c r="B151" s="13"/>
    </row>
    <row r="152" spans="1:2" x14ac:dyDescent="0.25">
      <c r="A152" s="13"/>
      <c r="B152" s="13"/>
    </row>
    <row r="153" spans="1:2" x14ac:dyDescent="0.25">
      <c r="A153" s="13"/>
      <c r="B153" s="13"/>
    </row>
    <row r="154" spans="1:2" x14ac:dyDescent="0.25">
      <c r="A154" s="13"/>
      <c r="B154" s="13"/>
    </row>
    <row r="155" spans="1:2" x14ac:dyDescent="0.25">
      <c r="A155" s="13"/>
      <c r="B155" s="13"/>
    </row>
    <row r="156" spans="1:2" x14ac:dyDescent="0.25">
      <c r="A156" s="13"/>
      <c r="B156" s="13"/>
    </row>
    <row r="157" spans="1:2" x14ac:dyDescent="0.25">
      <c r="A157" s="13"/>
      <c r="B157" s="13"/>
    </row>
    <row r="158" spans="1:2" x14ac:dyDescent="0.25">
      <c r="A158" s="13"/>
      <c r="B158" s="13"/>
    </row>
    <row r="159" spans="1:2" x14ac:dyDescent="0.25">
      <c r="A159" s="13"/>
      <c r="B159" s="13"/>
    </row>
    <row r="160" spans="1:2" x14ac:dyDescent="0.25">
      <c r="A160" s="13"/>
      <c r="B160" s="13"/>
    </row>
    <row r="161" spans="1:2" x14ac:dyDescent="0.25">
      <c r="A161" s="13"/>
      <c r="B161" s="13"/>
    </row>
    <row r="162" spans="1:2" x14ac:dyDescent="0.25">
      <c r="A162" s="13"/>
      <c r="B162" s="13"/>
    </row>
    <row r="163" spans="1:2" x14ac:dyDescent="0.25">
      <c r="A163" s="13"/>
      <c r="B163" s="13"/>
    </row>
    <row r="164" spans="1:2" x14ac:dyDescent="0.25">
      <c r="A164" s="13"/>
      <c r="B164" s="13"/>
    </row>
    <row r="165" spans="1:2" x14ac:dyDescent="0.25">
      <c r="A165" s="13"/>
      <c r="B165" s="13"/>
    </row>
    <row r="166" spans="1:2" x14ac:dyDescent="0.25">
      <c r="A166" s="13"/>
      <c r="B166" s="13"/>
    </row>
    <row r="167" spans="1:2" x14ac:dyDescent="0.25">
      <c r="A167" s="13"/>
      <c r="B167" s="13"/>
    </row>
    <row r="168" spans="1:2" x14ac:dyDescent="0.25">
      <c r="A168" s="13"/>
      <c r="B168" s="13"/>
    </row>
    <row r="169" spans="1:2" x14ac:dyDescent="0.25">
      <c r="A169" s="13"/>
      <c r="B169" s="13"/>
    </row>
    <row r="170" spans="1:2" x14ac:dyDescent="0.25">
      <c r="A170" s="13"/>
      <c r="B170" s="13"/>
    </row>
    <row r="171" spans="1:2" x14ac:dyDescent="0.25">
      <c r="A171" s="13"/>
      <c r="B171" s="13"/>
    </row>
    <row r="172" spans="1:2" x14ac:dyDescent="0.25">
      <c r="A172" s="13"/>
      <c r="B172" s="13"/>
    </row>
    <row r="173" spans="1:2" x14ac:dyDescent="0.25">
      <c r="A173" s="13"/>
      <c r="B173" s="13"/>
    </row>
    <row r="174" spans="1:2" x14ac:dyDescent="0.25">
      <c r="A174" s="13"/>
      <c r="B174" s="13"/>
    </row>
    <row r="175" spans="1:2" x14ac:dyDescent="0.25">
      <c r="A175" s="13"/>
      <c r="B175" s="13"/>
    </row>
    <row r="176" spans="1:2" x14ac:dyDescent="0.25">
      <c r="A176" s="13"/>
      <c r="B176" s="13"/>
    </row>
    <row r="177" spans="1:2" x14ac:dyDescent="0.25">
      <c r="A177" s="13"/>
      <c r="B177" s="13"/>
    </row>
    <row r="178" spans="1:2" x14ac:dyDescent="0.25">
      <c r="A178" s="13"/>
      <c r="B178" s="13"/>
    </row>
    <row r="179" spans="1:2" x14ac:dyDescent="0.25">
      <c r="A179" s="13"/>
      <c r="B179" s="13"/>
    </row>
    <row r="180" spans="1:2" x14ac:dyDescent="0.25">
      <c r="A180" s="13"/>
      <c r="B180" s="13"/>
    </row>
    <row r="181" spans="1:2" x14ac:dyDescent="0.25">
      <c r="A181" s="13"/>
      <c r="B181" s="13"/>
    </row>
    <row r="182" spans="1:2" x14ac:dyDescent="0.25">
      <c r="A182" s="13"/>
      <c r="B182" s="13"/>
    </row>
    <row r="183" spans="1:2" x14ac:dyDescent="0.25">
      <c r="A183" s="13"/>
      <c r="B183" s="13"/>
    </row>
    <row r="184" spans="1:2" x14ac:dyDescent="0.25">
      <c r="A184" s="13"/>
      <c r="B184" s="13"/>
    </row>
    <row r="185" spans="1:2" x14ac:dyDescent="0.25">
      <c r="A185" s="13"/>
      <c r="B185" s="13"/>
    </row>
    <row r="186" spans="1:2" x14ac:dyDescent="0.25">
      <c r="A186" s="13"/>
      <c r="B186" s="13"/>
    </row>
    <row r="187" spans="1:2" x14ac:dyDescent="0.25">
      <c r="A187" s="13"/>
      <c r="B187" s="13"/>
    </row>
    <row r="188" spans="1:2" x14ac:dyDescent="0.25">
      <c r="A188" s="13"/>
      <c r="B188" s="13"/>
    </row>
    <row r="189" spans="1:2" x14ac:dyDescent="0.25">
      <c r="A189" s="13"/>
      <c r="B189" s="13"/>
    </row>
    <row r="190" spans="1:2" x14ac:dyDescent="0.25">
      <c r="A190" s="13"/>
      <c r="B190" s="13"/>
    </row>
    <row r="191" spans="1:2" x14ac:dyDescent="0.25">
      <c r="A191" s="13"/>
      <c r="B191" s="13"/>
    </row>
    <row r="192" spans="1:2" x14ac:dyDescent="0.25">
      <c r="A192" s="13"/>
      <c r="B192" s="13"/>
    </row>
    <row r="193" spans="1:2" x14ac:dyDescent="0.25">
      <c r="A193" s="13"/>
      <c r="B193" s="13"/>
    </row>
    <row r="194" spans="1:2" x14ac:dyDescent="0.25">
      <c r="A194" s="13"/>
      <c r="B194" s="13"/>
    </row>
    <row r="195" spans="1:2" x14ac:dyDescent="0.25">
      <c r="A195" s="13"/>
      <c r="B195" s="13"/>
    </row>
    <row r="196" spans="1:2" x14ac:dyDescent="0.25">
      <c r="A196" s="13"/>
      <c r="B196" s="13"/>
    </row>
    <row r="197" spans="1:2" x14ac:dyDescent="0.25">
      <c r="A197" s="13"/>
      <c r="B197" s="13"/>
    </row>
    <row r="198" spans="1:2" x14ac:dyDescent="0.25">
      <c r="A198" s="13"/>
      <c r="B198" s="13"/>
    </row>
    <row r="199" spans="1:2" x14ac:dyDescent="0.25">
      <c r="A199" s="13"/>
      <c r="B199" s="13"/>
    </row>
    <row r="200" spans="1:2" x14ac:dyDescent="0.25">
      <c r="A200" s="13"/>
      <c r="B200" s="13"/>
    </row>
    <row r="201" spans="1:2" x14ac:dyDescent="0.25">
      <c r="A201" s="13"/>
      <c r="B201" s="13"/>
    </row>
    <row r="202" spans="1:2" x14ac:dyDescent="0.25">
      <c r="A202" s="13"/>
      <c r="B202" s="13"/>
    </row>
    <row r="203" spans="1:2" x14ac:dyDescent="0.25">
      <c r="A203" s="13"/>
      <c r="B203" s="13"/>
    </row>
    <row r="204" spans="1:2" x14ac:dyDescent="0.25">
      <c r="A204" s="13"/>
      <c r="B204" s="13"/>
    </row>
    <row r="205" spans="1:2" x14ac:dyDescent="0.25">
      <c r="A205" s="13"/>
      <c r="B205" s="13"/>
    </row>
    <row r="206" spans="1:2" x14ac:dyDescent="0.25">
      <c r="A206" s="13"/>
      <c r="B206" s="13"/>
    </row>
    <row r="207" spans="1:2" x14ac:dyDescent="0.25">
      <c r="A207" s="13"/>
      <c r="B207" s="13"/>
    </row>
    <row r="208" spans="1:2" x14ac:dyDescent="0.25">
      <c r="A208" s="13"/>
      <c r="B208" s="13"/>
    </row>
    <row r="209" spans="1:2" x14ac:dyDescent="0.25">
      <c r="A209" s="13"/>
      <c r="B209" s="13"/>
    </row>
    <row r="210" spans="1:2" x14ac:dyDescent="0.25">
      <c r="A210" s="13"/>
      <c r="B210" s="13"/>
    </row>
    <row r="211" spans="1:2" x14ac:dyDescent="0.25">
      <c r="A211" s="13"/>
      <c r="B211" s="13"/>
    </row>
    <row r="212" spans="1:2" x14ac:dyDescent="0.25">
      <c r="A212" s="13"/>
      <c r="B212" s="13"/>
    </row>
    <row r="213" spans="1:2" x14ac:dyDescent="0.25">
      <c r="A213" s="13"/>
      <c r="B213" s="13"/>
    </row>
    <row r="214" spans="1:2" x14ac:dyDescent="0.25">
      <c r="A214" s="13"/>
      <c r="B214" s="13"/>
    </row>
    <row r="215" spans="1:2" x14ac:dyDescent="0.25">
      <c r="A215" s="13"/>
      <c r="B215" s="13"/>
    </row>
    <row r="216" spans="1:2" x14ac:dyDescent="0.25">
      <c r="A216" s="13"/>
      <c r="B216" s="13"/>
    </row>
    <row r="217" spans="1:2" x14ac:dyDescent="0.25">
      <c r="A217" s="13"/>
      <c r="B217" s="13"/>
    </row>
    <row r="218" spans="1:2" x14ac:dyDescent="0.25">
      <c r="A218" s="13"/>
      <c r="B218" s="13"/>
    </row>
    <row r="219" spans="1:2" x14ac:dyDescent="0.25">
      <c r="A219" s="13"/>
      <c r="B219" s="13"/>
    </row>
    <row r="220" spans="1:2" x14ac:dyDescent="0.25">
      <c r="A220" s="13"/>
      <c r="B220" s="13"/>
    </row>
    <row r="221" spans="1:2" x14ac:dyDescent="0.25">
      <c r="A221" s="13"/>
      <c r="B221" s="13"/>
    </row>
    <row r="222" spans="1:2" x14ac:dyDescent="0.25">
      <c r="A222" s="13"/>
      <c r="B222" s="13"/>
    </row>
    <row r="223" spans="1:2" x14ac:dyDescent="0.25">
      <c r="A223" s="13"/>
      <c r="B223" s="13"/>
    </row>
    <row r="224" spans="1:2" x14ac:dyDescent="0.25">
      <c r="A224" s="13"/>
      <c r="B224" s="13"/>
    </row>
    <row r="225" spans="1:2" x14ac:dyDescent="0.25">
      <c r="A225" s="13"/>
      <c r="B225" s="13"/>
    </row>
    <row r="226" spans="1:2" x14ac:dyDescent="0.25">
      <c r="A226" s="13"/>
      <c r="B226" s="13"/>
    </row>
    <row r="227" spans="1:2" x14ac:dyDescent="0.25">
      <c r="A227" s="13"/>
      <c r="B227" s="13"/>
    </row>
    <row r="228" spans="1:2" x14ac:dyDescent="0.25">
      <c r="A228" s="13"/>
      <c r="B228" s="13"/>
    </row>
    <row r="229" spans="1:2" x14ac:dyDescent="0.25">
      <c r="A229" s="13"/>
      <c r="B229" s="13"/>
    </row>
    <row r="230" spans="1:2" x14ac:dyDescent="0.25">
      <c r="A230" s="13"/>
      <c r="B230" s="13"/>
    </row>
    <row r="231" spans="1:2" x14ac:dyDescent="0.25">
      <c r="A231" s="13"/>
      <c r="B231" s="13"/>
    </row>
    <row r="232" spans="1:2" x14ac:dyDescent="0.25">
      <c r="A232" s="13"/>
      <c r="B232" s="13"/>
    </row>
    <row r="233" spans="1:2" x14ac:dyDescent="0.25">
      <c r="A233" s="13"/>
      <c r="B233" s="13"/>
    </row>
    <row r="234" spans="1:2" x14ac:dyDescent="0.25">
      <c r="A234" s="13"/>
      <c r="B234" s="13"/>
    </row>
    <row r="235" spans="1:2" x14ac:dyDescent="0.25">
      <c r="A235" s="13"/>
      <c r="B235" s="13"/>
    </row>
    <row r="236" spans="1:2" x14ac:dyDescent="0.25">
      <c r="A236" s="13"/>
      <c r="B236" s="13"/>
    </row>
    <row r="237" spans="1:2" x14ac:dyDescent="0.25">
      <c r="A237" s="13"/>
      <c r="B237" s="13"/>
    </row>
    <row r="238" spans="1:2" x14ac:dyDescent="0.25">
      <c r="A238" s="13"/>
      <c r="B238" s="13"/>
    </row>
    <row r="239" spans="1:2" x14ac:dyDescent="0.25">
      <c r="A239" s="13"/>
      <c r="B239" s="13"/>
    </row>
    <row r="240" spans="1:2" x14ac:dyDescent="0.25">
      <c r="A240" s="13"/>
      <c r="B240" s="13"/>
    </row>
    <row r="241" spans="1:2" x14ac:dyDescent="0.25">
      <c r="A241" s="13"/>
      <c r="B241" s="13"/>
    </row>
    <row r="242" spans="1:2" x14ac:dyDescent="0.25">
      <c r="A242" s="13"/>
      <c r="B242" s="13"/>
    </row>
    <row r="243" spans="1:2" x14ac:dyDescent="0.25">
      <c r="A243" s="13"/>
      <c r="B243" s="13"/>
    </row>
    <row r="244" spans="1:2" x14ac:dyDescent="0.25">
      <c r="A244" s="13"/>
      <c r="B244" s="13"/>
    </row>
    <row r="245" spans="1:2" x14ac:dyDescent="0.25">
      <c r="A245" s="13"/>
      <c r="B245" s="13"/>
    </row>
    <row r="246" spans="1:2" x14ac:dyDescent="0.25">
      <c r="A246" s="13"/>
      <c r="B246" s="13"/>
    </row>
    <row r="247" spans="1:2" x14ac:dyDescent="0.25">
      <c r="A247" s="13"/>
      <c r="B247" s="13"/>
    </row>
    <row r="248" spans="1:2" x14ac:dyDescent="0.25">
      <c r="A248" s="13"/>
      <c r="B248" s="13"/>
    </row>
    <row r="249" spans="1:2" x14ac:dyDescent="0.25">
      <c r="A249" s="13"/>
      <c r="B249" s="13"/>
    </row>
    <row r="250" spans="1:2" x14ac:dyDescent="0.25">
      <c r="A250" s="13"/>
      <c r="B250" s="13"/>
    </row>
    <row r="251" spans="1:2" x14ac:dyDescent="0.25">
      <c r="A251" s="13"/>
      <c r="B251" s="13"/>
    </row>
    <row r="252" spans="1:2" x14ac:dyDescent="0.25">
      <c r="A252" s="13"/>
      <c r="B252" s="13"/>
    </row>
    <row r="253" spans="1:2" x14ac:dyDescent="0.25">
      <c r="A253" s="13"/>
      <c r="B253" s="13"/>
    </row>
    <row r="254" spans="1:2" x14ac:dyDescent="0.25">
      <c r="A254" s="13"/>
      <c r="B254" s="13"/>
    </row>
    <row r="255" spans="1:2" x14ac:dyDescent="0.25">
      <c r="A255" s="13"/>
      <c r="B255" s="13"/>
    </row>
    <row r="256" spans="1:2" x14ac:dyDescent="0.25">
      <c r="A256" s="13"/>
      <c r="B256" s="13"/>
    </row>
    <row r="257" spans="1:2" x14ac:dyDescent="0.25">
      <c r="A257" s="13"/>
      <c r="B257" s="13"/>
    </row>
    <row r="258" spans="1:2" x14ac:dyDescent="0.25">
      <c r="A258" s="13"/>
      <c r="B258" s="13"/>
    </row>
    <row r="259" spans="1:2" x14ac:dyDescent="0.25">
      <c r="A259" s="13"/>
      <c r="B259" s="13"/>
    </row>
    <row r="260" spans="1:2" x14ac:dyDescent="0.25">
      <c r="A260" s="13"/>
      <c r="B260" s="13"/>
    </row>
    <row r="261" spans="1:2" x14ac:dyDescent="0.25">
      <c r="A261" s="13"/>
      <c r="B261" s="13"/>
    </row>
    <row r="262" spans="1:2" x14ac:dyDescent="0.25">
      <c r="A262" s="13"/>
      <c r="B262" s="13"/>
    </row>
    <row r="263" spans="1:2" x14ac:dyDescent="0.25">
      <c r="A263" s="13"/>
      <c r="B263" s="13"/>
    </row>
    <row r="264" spans="1:2" x14ac:dyDescent="0.25">
      <c r="A264" s="13"/>
      <c r="B264" s="13"/>
    </row>
    <row r="265" spans="1:2" x14ac:dyDescent="0.25">
      <c r="A265" s="13"/>
      <c r="B265" s="13"/>
    </row>
    <row r="266" spans="1:2" x14ac:dyDescent="0.25">
      <c r="A266" s="13"/>
      <c r="B266" s="13"/>
    </row>
    <row r="267" spans="1:2" x14ac:dyDescent="0.25">
      <c r="A267" s="13"/>
      <c r="B267" s="13"/>
    </row>
    <row r="268" spans="1:2" x14ac:dyDescent="0.25">
      <c r="A268" s="13"/>
      <c r="B268" s="13"/>
    </row>
    <row r="269" spans="1:2" x14ac:dyDescent="0.25">
      <c r="A269" s="13"/>
      <c r="B269" s="13"/>
    </row>
    <row r="270" spans="1:2" x14ac:dyDescent="0.25">
      <c r="A270" s="13"/>
      <c r="B270" s="13"/>
    </row>
    <row r="271" spans="1:2" x14ac:dyDescent="0.25">
      <c r="A271" s="13"/>
      <c r="B271" s="13"/>
    </row>
    <row r="272" spans="1:2" x14ac:dyDescent="0.25">
      <c r="A272" s="13"/>
      <c r="B272" s="13"/>
    </row>
    <row r="273" spans="1:2" x14ac:dyDescent="0.25">
      <c r="A273" s="13"/>
      <c r="B273" s="13"/>
    </row>
    <row r="274" spans="1:2" x14ac:dyDescent="0.25">
      <c r="A274" s="13"/>
      <c r="B274" s="13"/>
    </row>
    <row r="275" spans="1:2" x14ac:dyDescent="0.25">
      <c r="A275" s="13"/>
      <c r="B275" s="13"/>
    </row>
    <row r="276" spans="1:2" x14ac:dyDescent="0.25">
      <c r="A276" s="13"/>
      <c r="B276" s="13"/>
    </row>
    <row r="277" spans="1:2" x14ac:dyDescent="0.25">
      <c r="A277" s="13"/>
      <c r="B277" s="13"/>
    </row>
    <row r="278" spans="1:2" x14ac:dyDescent="0.25">
      <c r="A278" s="13"/>
      <c r="B278" s="13"/>
    </row>
    <row r="279" spans="1:2" x14ac:dyDescent="0.25">
      <c r="A279" s="13"/>
      <c r="B279" s="13"/>
    </row>
    <row r="280" spans="1:2" x14ac:dyDescent="0.25">
      <c r="A280" s="13"/>
      <c r="B280" s="13"/>
    </row>
    <row r="281" spans="1:2" x14ac:dyDescent="0.25">
      <c r="A281" s="13"/>
      <c r="B281" s="13"/>
    </row>
    <row r="282" spans="1:2" x14ac:dyDescent="0.25">
      <c r="A282" s="13"/>
      <c r="B282" s="13"/>
    </row>
    <row r="283" spans="1:2" x14ac:dyDescent="0.25">
      <c r="A283" s="13"/>
      <c r="B283" s="13"/>
    </row>
    <row r="284" spans="1:2" x14ac:dyDescent="0.25">
      <c r="A284" s="13"/>
      <c r="B284" s="13"/>
    </row>
    <row r="285" spans="1:2" x14ac:dyDescent="0.25">
      <c r="A285" s="13"/>
      <c r="B285" s="13"/>
    </row>
    <row r="286" spans="1:2" x14ac:dyDescent="0.25">
      <c r="A286" s="13"/>
      <c r="B286" s="13"/>
    </row>
    <row r="287" spans="1:2" x14ac:dyDescent="0.25">
      <c r="A287" s="13"/>
      <c r="B287" s="13"/>
    </row>
    <row r="288" spans="1:2" x14ac:dyDescent="0.25">
      <c r="A288" s="13"/>
      <c r="B288" s="13"/>
    </row>
    <row r="289" spans="1:2" x14ac:dyDescent="0.25">
      <c r="A289" s="13"/>
      <c r="B289" s="13"/>
    </row>
    <row r="290" spans="1:2" x14ac:dyDescent="0.25">
      <c r="A290" s="13"/>
      <c r="B290" s="13"/>
    </row>
    <row r="291" spans="1:2" x14ac:dyDescent="0.25">
      <c r="A291" s="13"/>
      <c r="B291" s="13"/>
    </row>
    <row r="292" spans="1:2" x14ac:dyDescent="0.25">
      <c r="A292" s="13"/>
      <c r="B292" s="13"/>
    </row>
    <row r="293" spans="1:2" x14ac:dyDescent="0.25">
      <c r="A293" s="13"/>
      <c r="B293" s="13"/>
    </row>
    <row r="294" spans="1:2" x14ac:dyDescent="0.25">
      <c r="A294" s="13"/>
      <c r="B294" s="13"/>
    </row>
    <row r="295" spans="1:2" x14ac:dyDescent="0.25">
      <c r="A295" s="13"/>
      <c r="B295" s="13"/>
    </row>
    <row r="296" spans="1:2" x14ac:dyDescent="0.25">
      <c r="A296" s="13"/>
      <c r="B296" s="13"/>
    </row>
    <row r="297" spans="1:2" x14ac:dyDescent="0.25">
      <c r="A297" s="13"/>
      <c r="B297" s="13"/>
    </row>
    <row r="298" spans="1:2" x14ac:dyDescent="0.25">
      <c r="A298" s="13"/>
      <c r="B298" s="13"/>
    </row>
    <row r="299" spans="1:2" x14ac:dyDescent="0.25">
      <c r="A299" s="13"/>
      <c r="B299" s="13"/>
    </row>
    <row r="300" spans="1:2" x14ac:dyDescent="0.25">
      <c r="A300" s="13"/>
      <c r="B300" s="13"/>
    </row>
    <row r="301" spans="1:2" x14ac:dyDescent="0.25">
      <c r="A301" s="13"/>
      <c r="B301" s="13"/>
    </row>
    <row r="302" spans="1:2" x14ac:dyDescent="0.25">
      <c r="A302" s="13"/>
      <c r="B302" s="13"/>
    </row>
    <row r="303" spans="1:2" x14ac:dyDescent="0.25">
      <c r="A303" s="13"/>
      <c r="B303" s="13"/>
    </row>
    <row r="304" spans="1:2" x14ac:dyDescent="0.25">
      <c r="A304" s="13"/>
      <c r="B304" s="13"/>
    </row>
    <row r="305" spans="1:2" x14ac:dyDescent="0.25">
      <c r="A305" s="13"/>
      <c r="B305" s="13"/>
    </row>
    <row r="306" spans="1:2" x14ac:dyDescent="0.25">
      <c r="A306" s="13"/>
      <c r="B306" s="13"/>
    </row>
    <row r="307" spans="1:2" x14ac:dyDescent="0.25">
      <c r="A307" s="13"/>
      <c r="B307" s="13"/>
    </row>
    <row r="308" spans="1:2" x14ac:dyDescent="0.25">
      <c r="A308" s="13"/>
      <c r="B308" s="13"/>
    </row>
    <row r="309" spans="1:2" x14ac:dyDescent="0.25">
      <c r="A309" s="13"/>
      <c r="B309" s="13"/>
    </row>
    <row r="310" spans="1:2" x14ac:dyDescent="0.25">
      <c r="A310" s="13"/>
      <c r="B310" s="13"/>
    </row>
    <row r="311" spans="1:2" x14ac:dyDescent="0.25">
      <c r="A311" s="13"/>
      <c r="B311" s="13"/>
    </row>
    <row r="312" spans="1:2" x14ac:dyDescent="0.25">
      <c r="A312" s="13"/>
      <c r="B312" s="13"/>
    </row>
    <row r="313" spans="1:2" x14ac:dyDescent="0.25">
      <c r="A313" s="13"/>
      <c r="B313" s="13"/>
    </row>
    <row r="314" spans="1:2" x14ac:dyDescent="0.25">
      <c r="A314" s="13"/>
      <c r="B314" s="13"/>
    </row>
    <row r="315" spans="1:2" x14ac:dyDescent="0.25">
      <c r="A315" s="13"/>
      <c r="B315" s="13"/>
    </row>
    <row r="316" spans="1:2" x14ac:dyDescent="0.25">
      <c r="A316" s="13"/>
      <c r="B316" s="13"/>
    </row>
    <row r="317" spans="1:2" x14ac:dyDescent="0.25">
      <c r="A317" s="13"/>
      <c r="B317" s="13"/>
    </row>
    <row r="318" spans="1:2" x14ac:dyDescent="0.25">
      <c r="A318" s="13"/>
      <c r="B318" s="13"/>
    </row>
    <row r="319" spans="1:2" x14ac:dyDescent="0.25">
      <c r="A319" s="13"/>
      <c r="B319" s="13"/>
    </row>
    <row r="320" spans="1:2" x14ac:dyDescent="0.25">
      <c r="A320" s="13"/>
      <c r="B320" s="13"/>
    </row>
    <row r="321" spans="1:2" x14ac:dyDescent="0.25">
      <c r="A321" s="13"/>
      <c r="B321" s="13"/>
    </row>
    <row r="322" spans="1:2" x14ac:dyDescent="0.25">
      <c r="A322" s="13"/>
      <c r="B322" s="13"/>
    </row>
    <row r="323" spans="1:2" x14ac:dyDescent="0.25">
      <c r="A323" s="13"/>
      <c r="B323" s="13"/>
    </row>
    <row r="324" spans="1:2" x14ac:dyDescent="0.25">
      <c r="A324" s="13"/>
      <c r="B324" s="13"/>
    </row>
    <row r="325" spans="1:2" x14ac:dyDescent="0.25">
      <c r="A325" s="13"/>
      <c r="B325" s="13"/>
    </row>
    <row r="326" spans="1:2" x14ac:dyDescent="0.25">
      <c r="A326" s="13"/>
      <c r="B326" s="13"/>
    </row>
    <row r="327" spans="1:2" x14ac:dyDescent="0.25">
      <c r="A327" s="13"/>
      <c r="B327" s="13"/>
    </row>
    <row r="328" spans="1:2" x14ac:dyDescent="0.25">
      <c r="A328" s="13"/>
      <c r="B328" s="13"/>
    </row>
    <row r="329" spans="1:2" x14ac:dyDescent="0.25">
      <c r="A329" s="13"/>
      <c r="B329" s="13"/>
    </row>
    <row r="330" spans="1:2" x14ac:dyDescent="0.25">
      <c r="A330" s="13"/>
      <c r="B330" s="13"/>
    </row>
    <row r="331" spans="1:2" x14ac:dyDescent="0.25">
      <c r="A331" s="13"/>
      <c r="B331" s="13"/>
    </row>
    <row r="332" spans="1:2" x14ac:dyDescent="0.25">
      <c r="A332" s="13"/>
      <c r="B332" s="13"/>
    </row>
    <row r="333" spans="1:2" x14ac:dyDescent="0.25">
      <c r="A333" s="13"/>
      <c r="B333" s="13"/>
    </row>
    <row r="334" spans="1:2" x14ac:dyDescent="0.25">
      <c r="A334" s="13"/>
      <c r="B334" s="13"/>
    </row>
    <row r="335" spans="1:2" x14ac:dyDescent="0.25">
      <c r="A335" s="13"/>
      <c r="B335" s="13"/>
    </row>
    <row r="336" spans="1:2" x14ac:dyDescent="0.25">
      <c r="A336" s="13"/>
      <c r="B336" s="13"/>
    </row>
    <row r="337" spans="1:2" x14ac:dyDescent="0.25">
      <c r="A337" s="13"/>
      <c r="B337" s="13"/>
    </row>
    <row r="338" spans="1:2" x14ac:dyDescent="0.25">
      <c r="A338" s="13"/>
      <c r="B338" s="13"/>
    </row>
    <row r="339" spans="1:2" x14ac:dyDescent="0.25">
      <c r="A339" s="13"/>
      <c r="B339" s="13"/>
    </row>
    <row r="340" spans="1:2" x14ac:dyDescent="0.25">
      <c r="A340" s="13"/>
      <c r="B340" s="13"/>
    </row>
    <row r="341" spans="1:2" x14ac:dyDescent="0.25">
      <c r="A341" s="13"/>
      <c r="B341" s="13"/>
    </row>
    <row r="342" spans="1:2" x14ac:dyDescent="0.25">
      <c r="A342" s="13"/>
      <c r="B342" s="13"/>
    </row>
    <row r="343" spans="1:2" x14ac:dyDescent="0.25">
      <c r="A343" s="13"/>
      <c r="B343" s="13"/>
    </row>
    <row r="344" spans="1:2" x14ac:dyDescent="0.25">
      <c r="A344" s="13"/>
      <c r="B344" s="13"/>
    </row>
    <row r="345" spans="1:2" x14ac:dyDescent="0.25">
      <c r="A345" s="13"/>
      <c r="B345" s="13"/>
    </row>
    <row r="346" spans="1:2" x14ac:dyDescent="0.25">
      <c r="A346" s="13"/>
      <c r="B346" s="13"/>
    </row>
    <row r="347" spans="1:2" x14ac:dyDescent="0.25">
      <c r="A347" s="13"/>
      <c r="B347" s="13"/>
    </row>
    <row r="348" spans="1:2" x14ac:dyDescent="0.25">
      <c r="A348" s="13"/>
      <c r="B348" s="13"/>
    </row>
    <row r="349" spans="1:2" x14ac:dyDescent="0.25">
      <c r="A349" s="13"/>
      <c r="B349" s="13"/>
    </row>
    <row r="350" spans="1:2" x14ac:dyDescent="0.25">
      <c r="A350" s="13"/>
      <c r="B350" s="13"/>
    </row>
    <row r="351" spans="1:2" x14ac:dyDescent="0.25">
      <c r="A351" s="13"/>
      <c r="B351" s="13"/>
    </row>
    <row r="352" spans="1:2" x14ac:dyDescent="0.25">
      <c r="A352" s="13"/>
      <c r="B352" s="13"/>
    </row>
    <row r="353" spans="1:2" x14ac:dyDescent="0.25">
      <c r="A353" s="13"/>
      <c r="B353" s="13"/>
    </row>
    <row r="354" spans="1:2" x14ac:dyDescent="0.25">
      <c r="A354" s="13"/>
      <c r="B354" s="13"/>
    </row>
    <row r="355" spans="1:2" x14ac:dyDescent="0.25">
      <c r="A355" s="13"/>
      <c r="B355" s="13"/>
    </row>
    <row r="356" spans="1:2" x14ac:dyDescent="0.25">
      <c r="A356" s="13"/>
      <c r="B356" s="13"/>
    </row>
    <row r="357" spans="1:2" x14ac:dyDescent="0.25">
      <c r="A357" s="13"/>
      <c r="B357" s="13"/>
    </row>
    <row r="358" spans="1:2" x14ac:dyDescent="0.25">
      <c r="A358" s="13"/>
      <c r="B358" s="13"/>
    </row>
    <row r="359" spans="1:2" x14ac:dyDescent="0.25">
      <c r="A359" s="13"/>
      <c r="B359" s="13"/>
    </row>
    <row r="360" spans="1:2" x14ac:dyDescent="0.25">
      <c r="A360" s="13"/>
      <c r="B360" s="13"/>
    </row>
    <row r="361" spans="1:2" x14ac:dyDescent="0.25">
      <c r="A361" s="13"/>
      <c r="B361" s="13"/>
    </row>
    <row r="362" spans="1:2" x14ac:dyDescent="0.25">
      <c r="A362" s="13"/>
      <c r="B362" s="13"/>
    </row>
    <row r="363" spans="1:2" x14ac:dyDescent="0.25">
      <c r="A363" s="13"/>
      <c r="B363" s="13"/>
    </row>
    <row r="364" spans="1:2" x14ac:dyDescent="0.25">
      <c r="A364" s="13"/>
      <c r="B364" s="13"/>
    </row>
    <row r="365" spans="1:2" x14ac:dyDescent="0.25">
      <c r="A365" s="13"/>
      <c r="B365" s="13"/>
    </row>
    <row r="366" spans="1:2" x14ac:dyDescent="0.25">
      <c r="A366" s="13"/>
      <c r="B366" s="13"/>
    </row>
    <row r="367" spans="1:2" x14ac:dyDescent="0.25">
      <c r="A367" s="13"/>
      <c r="B367" s="13"/>
    </row>
    <row r="368" spans="1:2" x14ac:dyDescent="0.25">
      <c r="A368" s="13"/>
      <c r="B368" s="13"/>
    </row>
    <row r="369" spans="1:2" x14ac:dyDescent="0.25">
      <c r="A369" s="13"/>
      <c r="B369" s="13"/>
    </row>
    <row r="370" spans="1:2" x14ac:dyDescent="0.25">
      <c r="A370" s="13"/>
      <c r="B370" s="13"/>
    </row>
    <row r="371" spans="1:2" x14ac:dyDescent="0.25">
      <c r="A371" s="13"/>
      <c r="B371" s="13"/>
    </row>
    <row r="372" spans="1:2" x14ac:dyDescent="0.25">
      <c r="A372" s="13"/>
      <c r="B372" s="13"/>
    </row>
    <row r="373" spans="1:2" x14ac:dyDescent="0.25">
      <c r="A373" s="13"/>
      <c r="B373" s="13"/>
    </row>
    <row r="374" spans="1:2" x14ac:dyDescent="0.25">
      <c r="A374" s="13"/>
      <c r="B374" s="13"/>
    </row>
    <row r="375" spans="1:2" x14ac:dyDescent="0.25">
      <c r="A375" s="13"/>
      <c r="B375" s="13"/>
    </row>
    <row r="376" spans="1:2" x14ac:dyDescent="0.25">
      <c r="A376" s="13"/>
      <c r="B376" s="13"/>
    </row>
    <row r="377" spans="1:2" x14ac:dyDescent="0.25">
      <c r="A377" s="13"/>
      <c r="B377" s="13"/>
    </row>
    <row r="378" spans="1:2" x14ac:dyDescent="0.25">
      <c r="A378" s="13"/>
      <c r="B378" s="13"/>
    </row>
    <row r="379" spans="1:2" x14ac:dyDescent="0.25">
      <c r="A379" s="13"/>
      <c r="B379" s="13"/>
    </row>
    <row r="380" spans="1:2" x14ac:dyDescent="0.25">
      <c r="A380" s="13"/>
      <c r="B380" s="13"/>
    </row>
    <row r="381" spans="1:2" x14ac:dyDescent="0.25">
      <c r="A381" s="13"/>
      <c r="B381" s="13"/>
    </row>
    <row r="382" spans="1:2" x14ac:dyDescent="0.25">
      <c r="A382" s="13"/>
      <c r="B382" s="13"/>
    </row>
    <row r="383" spans="1:2" x14ac:dyDescent="0.25">
      <c r="A383" s="13"/>
      <c r="B383" s="13"/>
    </row>
    <row r="384" spans="1:2" x14ac:dyDescent="0.25">
      <c r="A384" s="13"/>
      <c r="B384" s="13"/>
    </row>
    <row r="385" spans="1:2" x14ac:dyDescent="0.25">
      <c r="A385" s="13"/>
      <c r="B385" s="13"/>
    </row>
    <row r="386" spans="1:2" x14ac:dyDescent="0.25">
      <c r="A386" s="13"/>
      <c r="B386" s="13"/>
    </row>
    <row r="387" spans="1:2" x14ac:dyDescent="0.25">
      <c r="A387" s="13"/>
      <c r="B387" s="13"/>
    </row>
    <row r="388" spans="1:2" x14ac:dyDescent="0.25">
      <c r="A388" s="13"/>
      <c r="B388" s="13"/>
    </row>
    <row r="389" spans="1:2" x14ac:dyDescent="0.25">
      <c r="A389" s="13"/>
      <c r="B389" s="13"/>
    </row>
    <row r="390" spans="1:2" x14ac:dyDescent="0.25">
      <c r="A390" s="13"/>
      <c r="B390" s="13"/>
    </row>
    <row r="391" spans="1:2" x14ac:dyDescent="0.25">
      <c r="A391" s="13"/>
      <c r="B391" s="13"/>
    </row>
    <row r="392" spans="1:2" x14ac:dyDescent="0.25">
      <c r="A392" s="13"/>
      <c r="B392" s="13"/>
    </row>
    <row r="393" spans="1:2" x14ac:dyDescent="0.25">
      <c r="A393" s="13"/>
      <c r="B393" s="13"/>
    </row>
    <row r="394" spans="1:2" x14ac:dyDescent="0.25">
      <c r="A394" s="13"/>
      <c r="B394" s="13"/>
    </row>
    <row r="395" spans="1:2" x14ac:dyDescent="0.25">
      <c r="A395" s="13"/>
      <c r="B395" s="13"/>
    </row>
    <row r="396" spans="1:2" x14ac:dyDescent="0.25">
      <c r="A396" s="13"/>
      <c r="B396" s="13"/>
    </row>
    <row r="397" spans="1:2" x14ac:dyDescent="0.25">
      <c r="A397" s="13"/>
      <c r="B397" s="13"/>
    </row>
    <row r="398" spans="1:2" x14ac:dyDescent="0.25">
      <c r="A398" s="13"/>
      <c r="B398" s="13"/>
    </row>
    <row r="399" spans="1:2" x14ac:dyDescent="0.25">
      <c r="A399" s="13"/>
      <c r="B399" s="13"/>
    </row>
    <row r="400" spans="1:2" x14ac:dyDescent="0.25">
      <c r="A400" s="13"/>
      <c r="B400" s="13"/>
    </row>
    <row r="401" spans="1:2" x14ac:dyDescent="0.25">
      <c r="A401" s="13"/>
      <c r="B401" s="13"/>
    </row>
    <row r="402" spans="1:2" x14ac:dyDescent="0.25">
      <c r="A402" s="13"/>
      <c r="B402" s="13"/>
    </row>
    <row r="403" spans="1:2" x14ac:dyDescent="0.25">
      <c r="A403" s="13"/>
      <c r="B403" s="13"/>
    </row>
    <row r="404" spans="1:2" x14ac:dyDescent="0.25">
      <c r="A404" s="13"/>
      <c r="B404" s="13"/>
    </row>
    <row r="405" spans="1:2" x14ac:dyDescent="0.25">
      <c r="A405" s="13"/>
      <c r="B405" s="13"/>
    </row>
    <row r="406" spans="1:2" x14ac:dyDescent="0.25">
      <c r="A406" s="13"/>
      <c r="B406" s="13"/>
    </row>
    <row r="407" spans="1:2" x14ac:dyDescent="0.25">
      <c r="A407" s="13"/>
      <c r="B407" s="13"/>
    </row>
    <row r="408" spans="1:2" x14ac:dyDescent="0.25">
      <c r="A408" s="13"/>
      <c r="B408" s="13"/>
    </row>
    <row r="409" spans="1:2" x14ac:dyDescent="0.25">
      <c r="A409" s="13"/>
      <c r="B409" s="13"/>
    </row>
    <row r="410" spans="1:2" x14ac:dyDescent="0.25">
      <c r="A410" s="13"/>
      <c r="B410" s="13"/>
    </row>
    <row r="411" spans="1:2" x14ac:dyDescent="0.25">
      <c r="A411" s="13"/>
      <c r="B411" s="13"/>
    </row>
    <row r="412" spans="1:2" x14ac:dyDescent="0.25">
      <c r="A412" s="13"/>
      <c r="B412" s="13"/>
    </row>
    <row r="413" spans="1:2" x14ac:dyDescent="0.25">
      <c r="A413" s="13"/>
      <c r="B413" s="13"/>
    </row>
    <row r="414" spans="1:2" x14ac:dyDescent="0.25">
      <c r="A414" s="13"/>
      <c r="B414" s="13"/>
    </row>
    <row r="415" spans="1:2" x14ac:dyDescent="0.25">
      <c r="A415" s="13"/>
      <c r="B415" s="13"/>
    </row>
    <row r="416" spans="1:2" x14ac:dyDescent="0.25">
      <c r="A416" s="13"/>
      <c r="B416" s="13"/>
    </row>
    <row r="417" spans="1:2" x14ac:dyDescent="0.25">
      <c r="A417" s="13"/>
      <c r="B417" s="13"/>
    </row>
    <row r="418" spans="1:2" x14ac:dyDescent="0.25">
      <c r="A418" s="13"/>
      <c r="B418" s="13"/>
    </row>
    <row r="419" spans="1:2" x14ac:dyDescent="0.25">
      <c r="A419" s="13"/>
      <c r="B419" s="13"/>
    </row>
    <row r="420" spans="1:2" x14ac:dyDescent="0.25">
      <c r="A420" s="13"/>
      <c r="B420" s="13"/>
    </row>
    <row r="421" spans="1:2" x14ac:dyDescent="0.25">
      <c r="A421" s="13"/>
      <c r="B421" s="13"/>
    </row>
    <row r="422" spans="1:2" x14ac:dyDescent="0.25">
      <c r="A422" s="13"/>
      <c r="B422" s="13"/>
    </row>
    <row r="423" spans="1:2" x14ac:dyDescent="0.25">
      <c r="A423" s="13"/>
      <c r="B423" s="13"/>
    </row>
    <row r="424" spans="1:2" x14ac:dyDescent="0.25">
      <c r="A424" s="13"/>
      <c r="B424" s="13"/>
    </row>
    <row r="425" spans="1:2" x14ac:dyDescent="0.25">
      <c r="A425" s="13"/>
      <c r="B425" s="13"/>
    </row>
    <row r="426" spans="1:2" x14ac:dyDescent="0.25">
      <c r="A426" s="13"/>
      <c r="B426" s="13"/>
    </row>
    <row r="427" spans="1:2" x14ac:dyDescent="0.25">
      <c r="A427" s="13"/>
      <c r="B427" s="13"/>
    </row>
    <row r="428" spans="1:2" x14ac:dyDescent="0.25">
      <c r="A428" s="13"/>
      <c r="B428" s="13"/>
    </row>
    <row r="429" spans="1:2" x14ac:dyDescent="0.25">
      <c r="A429" s="13"/>
      <c r="B429" s="13"/>
    </row>
    <row r="430" spans="1:2" x14ac:dyDescent="0.25">
      <c r="A430" s="13"/>
      <c r="B430" s="13"/>
    </row>
    <row r="431" spans="1:2" x14ac:dyDescent="0.25">
      <c r="A431" s="13"/>
      <c r="B431" s="13"/>
    </row>
    <row r="432" spans="1:2" x14ac:dyDescent="0.25">
      <c r="A432" s="13"/>
      <c r="B432" s="13"/>
    </row>
    <row r="433" spans="1:2" x14ac:dyDescent="0.25">
      <c r="A433" s="13"/>
      <c r="B433" s="13"/>
    </row>
    <row r="434" spans="1:2" x14ac:dyDescent="0.25">
      <c r="A434" s="13"/>
      <c r="B434" s="13"/>
    </row>
    <row r="435" spans="1:2" x14ac:dyDescent="0.25">
      <c r="A435" s="13"/>
      <c r="B435" s="13"/>
    </row>
    <row r="436" spans="1:2" x14ac:dyDescent="0.25">
      <c r="A436" s="13"/>
      <c r="B436" s="13"/>
    </row>
    <row r="437" spans="1:2" x14ac:dyDescent="0.25">
      <c r="A437" s="13"/>
      <c r="B437" s="13"/>
    </row>
    <row r="438" spans="1:2" x14ac:dyDescent="0.25">
      <c r="A438" s="13"/>
      <c r="B438" s="13"/>
    </row>
    <row r="439" spans="1:2" x14ac:dyDescent="0.25">
      <c r="A439" s="13"/>
      <c r="B439" s="13"/>
    </row>
    <row r="440" spans="1:2" x14ac:dyDescent="0.25">
      <c r="A440" s="13"/>
      <c r="B440" s="13"/>
    </row>
    <row r="441" spans="1:2" x14ac:dyDescent="0.25">
      <c r="A441" s="13"/>
      <c r="B441" s="13"/>
    </row>
    <row r="442" spans="1:2" x14ac:dyDescent="0.25">
      <c r="A442" s="13"/>
      <c r="B442" s="13"/>
    </row>
    <row r="443" spans="1:2" x14ac:dyDescent="0.25">
      <c r="A443" s="13"/>
      <c r="B443" s="13"/>
    </row>
    <row r="444" spans="1:2" x14ac:dyDescent="0.25">
      <c r="A444" s="13"/>
      <c r="B444" s="13"/>
    </row>
    <row r="445" spans="1:2" x14ac:dyDescent="0.25">
      <c r="A445" s="13"/>
      <c r="B445" s="13"/>
    </row>
    <row r="446" spans="1:2" x14ac:dyDescent="0.25">
      <c r="A446" s="13"/>
      <c r="B446" s="13"/>
    </row>
    <row r="447" spans="1:2" x14ac:dyDescent="0.25">
      <c r="A447" s="13"/>
      <c r="B447" s="13"/>
    </row>
    <row r="448" spans="1:2" x14ac:dyDescent="0.25">
      <c r="A448" s="13"/>
      <c r="B448" s="13"/>
    </row>
    <row r="449" spans="1:2" x14ac:dyDescent="0.25">
      <c r="A449" s="13"/>
      <c r="B449" s="13"/>
    </row>
    <row r="450" spans="1:2" x14ac:dyDescent="0.25">
      <c r="A450" s="13"/>
      <c r="B450" s="13"/>
    </row>
    <row r="451" spans="1:2" x14ac:dyDescent="0.25">
      <c r="A451" s="13"/>
      <c r="B451" s="13"/>
    </row>
    <row r="452" spans="1:2" x14ac:dyDescent="0.25">
      <c r="A452" s="13"/>
      <c r="B452" s="13"/>
    </row>
    <row r="453" spans="1:2" x14ac:dyDescent="0.25">
      <c r="A453" s="13"/>
      <c r="B453" s="13"/>
    </row>
    <row r="454" spans="1:2" x14ac:dyDescent="0.25">
      <c r="A454" s="13"/>
      <c r="B454" s="13"/>
    </row>
    <row r="455" spans="1:2" x14ac:dyDescent="0.25">
      <c r="A455" s="13"/>
      <c r="B455" s="13"/>
    </row>
    <row r="456" spans="1:2" x14ac:dyDescent="0.25">
      <c r="A456" s="13"/>
      <c r="B456" s="13"/>
    </row>
    <row r="457" spans="1:2" x14ac:dyDescent="0.25">
      <c r="A457" s="13"/>
      <c r="B457" s="13"/>
    </row>
    <row r="458" spans="1:2" x14ac:dyDescent="0.25">
      <c r="A458" s="13"/>
      <c r="B458" s="13"/>
    </row>
    <row r="459" spans="1:2" x14ac:dyDescent="0.25">
      <c r="A459" s="13"/>
      <c r="B459" s="13"/>
    </row>
    <row r="460" spans="1:2" x14ac:dyDescent="0.25">
      <c r="A460" s="13"/>
      <c r="B460" s="13"/>
    </row>
    <row r="461" spans="1:2" x14ac:dyDescent="0.25">
      <c r="A461" s="13"/>
      <c r="B461" s="13"/>
    </row>
    <row r="462" spans="1:2" x14ac:dyDescent="0.25">
      <c r="A462" s="13"/>
      <c r="B462" s="13"/>
    </row>
    <row r="463" spans="1:2" x14ac:dyDescent="0.25">
      <c r="A463" s="13"/>
      <c r="B463" s="13"/>
    </row>
    <row r="464" spans="1:2" x14ac:dyDescent="0.25">
      <c r="A464" s="13"/>
      <c r="B464" s="13"/>
    </row>
    <row r="465" spans="1:2" x14ac:dyDescent="0.25">
      <c r="A465" s="13"/>
      <c r="B465" s="13"/>
    </row>
    <row r="466" spans="1:2" x14ac:dyDescent="0.25">
      <c r="A466" s="13"/>
      <c r="B466" s="13"/>
    </row>
    <row r="467" spans="1:2" x14ac:dyDescent="0.25">
      <c r="A467" s="13"/>
      <c r="B467" s="13"/>
    </row>
    <row r="468" spans="1:2" x14ac:dyDescent="0.25">
      <c r="A468" s="13"/>
      <c r="B468" s="13"/>
    </row>
    <row r="469" spans="1:2" x14ac:dyDescent="0.25">
      <c r="A469" s="13"/>
      <c r="B469" s="13"/>
    </row>
    <row r="470" spans="1:2" x14ac:dyDescent="0.25">
      <c r="A470" s="13"/>
      <c r="B470" s="13"/>
    </row>
    <row r="471" spans="1:2" x14ac:dyDescent="0.25">
      <c r="A471" s="13"/>
      <c r="B471" s="13"/>
    </row>
    <row r="472" spans="1:2" x14ac:dyDescent="0.25">
      <c r="A472" s="13"/>
      <c r="B472" s="13"/>
    </row>
    <row r="473" spans="1:2" x14ac:dyDescent="0.25">
      <c r="A473" s="13"/>
      <c r="B473" s="13"/>
    </row>
    <row r="474" spans="1:2" x14ac:dyDescent="0.25">
      <c r="A474" s="13"/>
      <c r="B474" s="13"/>
    </row>
    <row r="475" spans="1:2" x14ac:dyDescent="0.25">
      <c r="A475" s="13"/>
      <c r="B475" s="13"/>
    </row>
    <row r="476" spans="1:2" x14ac:dyDescent="0.25">
      <c r="A476" s="13"/>
      <c r="B476" s="13"/>
    </row>
    <row r="477" spans="1:2" x14ac:dyDescent="0.25">
      <c r="A477" s="13"/>
      <c r="B477" s="13"/>
    </row>
    <row r="478" spans="1:2" x14ac:dyDescent="0.25">
      <c r="A478" s="13"/>
      <c r="B478" s="13"/>
    </row>
    <row r="479" spans="1:2" x14ac:dyDescent="0.25">
      <c r="A479" s="13"/>
      <c r="B479" s="13"/>
    </row>
    <row r="480" spans="1:2" x14ac:dyDescent="0.25">
      <c r="A480" s="13"/>
      <c r="B480" s="13"/>
    </row>
    <row r="481" spans="1:2" x14ac:dyDescent="0.25">
      <c r="A481" s="13"/>
      <c r="B481" s="13"/>
    </row>
    <row r="482" spans="1:2" x14ac:dyDescent="0.25">
      <c r="A482" s="13"/>
      <c r="B482" s="13"/>
    </row>
    <row r="483" spans="1:2" x14ac:dyDescent="0.25">
      <c r="A483" s="13"/>
      <c r="B483" s="13"/>
    </row>
    <row r="484" spans="1:2" x14ac:dyDescent="0.25">
      <c r="A484" s="13"/>
      <c r="B484" s="13"/>
    </row>
    <row r="485" spans="1:2" x14ac:dyDescent="0.25">
      <c r="A485" s="13"/>
      <c r="B485" s="13"/>
    </row>
    <row r="486" spans="1:2" x14ac:dyDescent="0.25">
      <c r="A486" s="13"/>
      <c r="B486" s="13"/>
    </row>
    <row r="487" spans="1:2" x14ac:dyDescent="0.25">
      <c r="A487" s="13"/>
      <c r="B487" s="13"/>
    </row>
    <row r="488" spans="1:2" x14ac:dyDescent="0.25">
      <c r="A488" s="13"/>
      <c r="B488" s="13"/>
    </row>
    <row r="489" spans="1:2" x14ac:dyDescent="0.25">
      <c r="A489" s="13"/>
      <c r="B489" s="13"/>
    </row>
    <row r="490" spans="1:2" x14ac:dyDescent="0.25">
      <c r="A490" s="13"/>
      <c r="B490" s="13"/>
    </row>
    <row r="491" spans="1:2" x14ac:dyDescent="0.25">
      <c r="A491" s="13"/>
      <c r="B491" s="13"/>
    </row>
    <row r="492" spans="1:2" x14ac:dyDescent="0.25">
      <c r="A492" s="13"/>
      <c r="B492" s="13"/>
    </row>
    <row r="493" spans="1:2" x14ac:dyDescent="0.25">
      <c r="A493" s="13"/>
      <c r="B493" s="13"/>
    </row>
    <row r="494" spans="1:2" x14ac:dyDescent="0.25">
      <c r="A494" s="13"/>
      <c r="B494" s="13"/>
    </row>
    <row r="495" spans="1:2" x14ac:dyDescent="0.25">
      <c r="A495" s="13"/>
      <c r="B495" s="13"/>
    </row>
    <row r="496" spans="1:2" x14ac:dyDescent="0.25">
      <c r="A496" s="13"/>
      <c r="B496" s="13"/>
    </row>
    <row r="497" spans="1:2" x14ac:dyDescent="0.25">
      <c r="A497" s="13"/>
      <c r="B497" s="13"/>
    </row>
    <row r="498" spans="1:2" x14ac:dyDescent="0.25">
      <c r="A498" s="13"/>
      <c r="B498" s="13"/>
    </row>
    <row r="499" spans="1:2" x14ac:dyDescent="0.25">
      <c r="A499" s="13"/>
      <c r="B499" s="13"/>
    </row>
    <row r="500" spans="1:2" x14ac:dyDescent="0.25">
      <c r="A500" s="13"/>
      <c r="B500" s="13"/>
    </row>
    <row r="501" spans="1:2" x14ac:dyDescent="0.25">
      <c r="A501" s="13"/>
      <c r="B501" s="13"/>
    </row>
    <row r="502" spans="1:2" x14ac:dyDescent="0.25">
      <c r="A502" s="13"/>
      <c r="B502" s="13"/>
    </row>
    <row r="503" spans="1:2" x14ac:dyDescent="0.25">
      <c r="A503" s="13"/>
      <c r="B503" s="13"/>
    </row>
    <row r="504" spans="1:2" x14ac:dyDescent="0.25">
      <c r="A504" s="13"/>
      <c r="B504" s="13"/>
    </row>
    <row r="505" spans="1:2" x14ac:dyDescent="0.25">
      <c r="A505" s="13"/>
      <c r="B505" s="13"/>
    </row>
    <row r="506" spans="1:2" x14ac:dyDescent="0.25">
      <c r="A506" s="13"/>
      <c r="B506" s="13"/>
    </row>
    <row r="507" spans="1:2" x14ac:dyDescent="0.25">
      <c r="A507" s="13"/>
      <c r="B507" s="13"/>
    </row>
    <row r="508" spans="1:2" x14ac:dyDescent="0.25">
      <c r="A508" s="13"/>
      <c r="B508" s="13"/>
    </row>
    <row r="509" spans="1:2" x14ac:dyDescent="0.25">
      <c r="A509" s="13"/>
      <c r="B509" s="13"/>
    </row>
    <row r="510" spans="1:2" x14ac:dyDescent="0.25">
      <c r="A510" s="13"/>
      <c r="B510" s="13"/>
    </row>
    <row r="511" spans="1:2" x14ac:dyDescent="0.25">
      <c r="A511" s="13"/>
      <c r="B511" s="13"/>
    </row>
    <row r="512" spans="1:2" x14ac:dyDescent="0.25">
      <c r="A512" s="13"/>
      <c r="B512" s="13"/>
    </row>
    <row r="513" spans="1:2" x14ac:dyDescent="0.25">
      <c r="A513" s="13"/>
      <c r="B513" s="13"/>
    </row>
    <row r="514" spans="1:2" x14ac:dyDescent="0.25">
      <c r="A514" s="13"/>
      <c r="B514" s="13"/>
    </row>
    <row r="515" spans="1:2" x14ac:dyDescent="0.25">
      <c r="A515" s="13"/>
      <c r="B515" s="13"/>
    </row>
    <row r="516" spans="1:2" x14ac:dyDescent="0.25">
      <c r="A516" s="13"/>
      <c r="B516" s="13"/>
    </row>
    <row r="517" spans="1:2" x14ac:dyDescent="0.25">
      <c r="A517" s="13"/>
      <c r="B517" s="13"/>
    </row>
    <row r="518" spans="1:2" x14ac:dyDescent="0.25">
      <c r="A518" s="13"/>
      <c r="B518" s="13"/>
    </row>
    <row r="519" spans="1:2" x14ac:dyDescent="0.25">
      <c r="A519" s="13"/>
      <c r="B519" s="13"/>
    </row>
    <row r="520" spans="1:2" x14ac:dyDescent="0.25">
      <c r="A520" s="13"/>
      <c r="B520" s="13"/>
    </row>
    <row r="521" spans="1:2" x14ac:dyDescent="0.25">
      <c r="A521" s="13"/>
      <c r="B521" s="13"/>
    </row>
    <row r="522" spans="1:2" x14ac:dyDescent="0.25">
      <c r="A522" s="13"/>
      <c r="B522" s="13"/>
    </row>
    <row r="523" spans="1:2" x14ac:dyDescent="0.25">
      <c r="A523" s="13"/>
      <c r="B523" s="13"/>
    </row>
    <row r="524" spans="1:2" x14ac:dyDescent="0.25">
      <c r="A524" s="13"/>
      <c r="B524" s="13"/>
    </row>
    <row r="525" spans="1:2" x14ac:dyDescent="0.25">
      <c r="A525" s="13"/>
      <c r="B525" s="13"/>
    </row>
    <row r="526" spans="1:2" x14ac:dyDescent="0.25">
      <c r="A526" s="13"/>
      <c r="B526" s="13"/>
    </row>
    <row r="527" spans="1:2" x14ac:dyDescent="0.25">
      <c r="A527" s="13"/>
      <c r="B527" s="13"/>
    </row>
    <row r="528" spans="1:2" x14ac:dyDescent="0.25">
      <c r="A528" s="13"/>
      <c r="B528" s="13"/>
    </row>
    <row r="529" spans="1:2" x14ac:dyDescent="0.25">
      <c r="A529" s="13"/>
      <c r="B529" s="13"/>
    </row>
    <row r="530" spans="1:2" x14ac:dyDescent="0.25">
      <c r="A530" s="13"/>
      <c r="B530" s="13"/>
    </row>
    <row r="531" spans="1:2" x14ac:dyDescent="0.25">
      <c r="A531" s="13"/>
      <c r="B531" s="13"/>
    </row>
    <row r="532" spans="1:2" x14ac:dyDescent="0.25">
      <c r="A532" s="13"/>
      <c r="B532" s="13"/>
    </row>
    <row r="533" spans="1:2" x14ac:dyDescent="0.25">
      <c r="A533" s="13"/>
      <c r="B533" s="13"/>
    </row>
    <row r="534" spans="1:2" x14ac:dyDescent="0.25">
      <c r="A534" s="13"/>
      <c r="B534" s="13"/>
    </row>
    <row r="535" spans="1:2" x14ac:dyDescent="0.25">
      <c r="A535" s="13"/>
      <c r="B535" s="13"/>
    </row>
    <row r="536" spans="1:2" x14ac:dyDescent="0.25">
      <c r="A536" s="13"/>
      <c r="B536" s="13"/>
    </row>
    <row r="537" spans="1:2" x14ac:dyDescent="0.25">
      <c r="A537" s="13"/>
      <c r="B537" s="13"/>
    </row>
    <row r="538" spans="1:2" x14ac:dyDescent="0.25">
      <c r="A538" s="13"/>
      <c r="B538" s="13"/>
    </row>
    <row r="539" spans="1:2" x14ac:dyDescent="0.25">
      <c r="A539" s="13"/>
      <c r="B539" s="13"/>
    </row>
    <row r="540" spans="1:2" x14ac:dyDescent="0.25">
      <c r="A540" s="13"/>
      <c r="B540" s="13"/>
    </row>
    <row r="541" spans="1:2" x14ac:dyDescent="0.25">
      <c r="A541" s="13"/>
      <c r="B541" s="13"/>
    </row>
    <row r="542" spans="1:2" x14ac:dyDescent="0.25">
      <c r="A542" s="13"/>
      <c r="B542" s="13"/>
    </row>
    <row r="543" spans="1:2" x14ac:dyDescent="0.25">
      <c r="A543" s="13"/>
      <c r="B543" s="13"/>
    </row>
    <row r="544" spans="1:2" x14ac:dyDescent="0.25">
      <c r="A544" s="13"/>
      <c r="B544" s="13"/>
    </row>
    <row r="545" spans="1:2" x14ac:dyDescent="0.25">
      <c r="A545" s="13"/>
      <c r="B545" s="13"/>
    </row>
    <row r="546" spans="1:2" x14ac:dyDescent="0.25">
      <c r="A546" s="13"/>
      <c r="B546" s="13"/>
    </row>
    <row r="547" spans="1:2" x14ac:dyDescent="0.25">
      <c r="A547" s="13"/>
      <c r="B547" s="13"/>
    </row>
    <row r="548" spans="1:2" x14ac:dyDescent="0.25">
      <c r="A548" s="13"/>
      <c r="B548" s="13"/>
    </row>
    <row r="549" spans="1:2" x14ac:dyDescent="0.25">
      <c r="A549" s="13"/>
      <c r="B549" s="13"/>
    </row>
    <row r="550" spans="1:2" x14ac:dyDescent="0.25">
      <c r="A550" s="13"/>
      <c r="B550" s="13"/>
    </row>
    <row r="551" spans="1:2" x14ac:dyDescent="0.25">
      <c r="A551" s="13"/>
      <c r="B551" s="13"/>
    </row>
    <row r="552" spans="1:2" x14ac:dyDescent="0.25">
      <c r="A552" s="13"/>
      <c r="B552" s="13"/>
    </row>
    <row r="553" spans="1:2" x14ac:dyDescent="0.25">
      <c r="A553" s="13"/>
      <c r="B553" s="13"/>
    </row>
    <row r="554" spans="1:2" x14ac:dyDescent="0.25">
      <c r="A554" s="13"/>
      <c r="B554" s="13"/>
    </row>
    <row r="555" spans="1:2" x14ac:dyDescent="0.25">
      <c r="A555" s="13"/>
      <c r="B555" s="13"/>
    </row>
    <row r="556" spans="1:2" x14ac:dyDescent="0.25">
      <c r="A556" s="13"/>
      <c r="B556" s="13"/>
    </row>
    <row r="557" spans="1:2" x14ac:dyDescent="0.25">
      <c r="A557" s="13"/>
      <c r="B557" s="13"/>
    </row>
    <row r="558" spans="1:2" x14ac:dyDescent="0.25">
      <c r="A558" s="13"/>
      <c r="B558" s="13"/>
    </row>
    <row r="559" spans="1:2" x14ac:dyDescent="0.25">
      <c r="A559" s="13"/>
      <c r="B559" s="13"/>
    </row>
    <row r="560" spans="1:2" x14ac:dyDescent="0.25">
      <c r="A560" s="13"/>
      <c r="B560" s="13"/>
    </row>
    <row r="561" spans="1:2" x14ac:dyDescent="0.25">
      <c r="A561" s="13"/>
      <c r="B561" s="13"/>
    </row>
    <row r="562" spans="1:2" x14ac:dyDescent="0.25">
      <c r="A562" s="13"/>
      <c r="B562" s="13"/>
    </row>
    <row r="563" spans="1:2" x14ac:dyDescent="0.25">
      <c r="A563" s="13"/>
      <c r="B563" s="13"/>
    </row>
    <row r="564" spans="1:2" x14ac:dyDescent="0.25">
      <c r="A564" s="13"/>
      <c r="B564" s="13"/>
    </row>
    <row r="565" spans="1:2" x14ac:dyDescent="0.25">
      <c r="A565" s="13"/>
      <c r="B565" s="13"/>
    </row>
    <row r="566" spans="1:2" x14ac:dyDescent="0.25">
      <c r="A566" s="13"/>
      <c r="B566" s="13"/>
    </row>
    <row r="567" spans="1:2" x14ac:dyDescent="0.25">
      <c r="A567" s="13"/>
      <c r="B567" s="13"/>
    </row>
    <row r="568" spans="1:2" x14ac:dyDescent="0.25">
      <c r="A568" s="13"/>
      <c r="B568" s="13"/>
    </row>
    <row r="569" spans="1:2" x14ac:dyDescent="0.25">
      <c r="A569" s="13"/>
      <c r="B569" s="13"/>
    </row>
    <row r="570" spans="1:2" x14ac:dyDescent="0.25">
      <c r="A570" s="13"/>
      <c r="B570" s="13"/>
    </row>
    <row r="571" spans="1:2" x14ac:dyDescent="0.25">
      <c r="A571" s="13"/>
      <c r="B571" s="13"/>
    </row>
    <row r="572" spans="1:2" x14ac:dyDescent="0.25">
      <c r="A572" s="13"/>
      <c r="B572" s="13"/>
    </row>
    <row r="573" spans="1:2" x14ac:dyDescent="0.25">
      <c r="A573" s="13"/>
      <c r="B573" s="13"/>
    </row>
    <row r="574" spans="1:2" x14ac:dyDescent="0.25">
      <c r="A574" s="13"/>
      <c r="B574" s="13"/>
    </row>
    <row r="575" spans="1:2" x14ac:dyDescent="0.25">
      <c r="A575" s="13"/>
      <c r="B575" s="13"/>
    </row>
    <row r="576" spans="1:2" x14ac:dyDescent="0.25">
      <c r="A576" s="13"/>
      <c r="B576" s="13"/>
    </row>
    <row r="577" spans="1:2" x14ac:dyDescent="0.25">
      <c r="A577" s="13"/>
      <c r="B577" s="13"/>
    </row>
    <row r="578" spans="1:2" x14ac:dyDescent="0.25">
      <c r="A578" s="13"/>
      <c r="B578" s="13"/>
    </row>
    <row r="579" spans="1:2" x14ac:dyDescent="0.25">
      <c r="A579" s="13"/>
      <c r="B579" s="13"/>
    </row>
    <row r="580" spans="1:2" x14ac:dyDescent="0.25">
      <c r="A580" s="13"/>
      <c r="B580" s="13"/>
    </row>
    <row r="581" spans="1:2" x14ac:dyDescent="0.25">
      <c r="A581" s="13"/>
      <c r="B581" s="13"/>
    </row>
    <row r="582" spans="1:2" x14ac:dyDescent="0.25">
      <c r="A582" s="13"/>
      <c r="B582" s="13"/>
    </row>
    <row r="583" spans="1:2" x14ac:dyDescent="0.25">
      <c r="A583" s="13"/>
      <c r="B583" s="13"/>
    </row>
    <row r="584" spans="1:2" x14ac:dyDescent="0.25">
      <c r="A584" s="13"/>
      <c r="B584" s="13"/>
    </row>
    <row r="585" spans="1:2" x14ac:dyDescent="0.25">
      <c r="A585" s="13"/>
      <c r="B585" s="13"/>
    </row>
    <row r="586" spans="1:2" x14ac:dyDescent="0.25">
      <c r="A586" s="13"/>
      <c r="B586" s="13"/>
    </row>
    <row r="587" spans="1:2" x14ac:dyDescent="0.25">
      <c r="A587" s="13"/>
      <c r="B587" s="13"/>
    </row>
    <row r="588" spans="1:2" x14ac:dyDescent="0.25">
      <c r="A588" s="13"/>
      <c r="B588" s="13"/>
    </row>
    <row r="589" spans="1:2" x14ac:dyDescent="0.25">
      <c r="A589" s="13"/>
      <c r="B589" s="13"/>
    </row>
    <row r="590" spans="1:2" x14ac:dyDescent="0.25">
      <c r="A590" s="13"/>
      <c r="B590" s="13"/>
    </row>
    <row r="591" spans="1:2" x14ac:dyDescent="0.25">
      <c r="A591" s="13"/>
      <c r="B591" s="13"/>
    </row>
    <row r="592" spans="1:2" x14ac:dyDescent="0.25">
      <c r="A592" s="13"/>
      <c r="B592" s="13"/>
    </row>
    <row r="593" spans="1:2" x14ac:dyDescent="0.25">
      <c r="A593" s="13"/>
      <c r="B593" s="13"/>
    </row>
    <row r="594" spans="1:2" x14ac:dyDescent="0.25">
      <c r="A594" s="13"/>
      <c r="B594" s="13"/>
    </row>
    <row r="595" spans="1:2" x14ac:dyDescent="0.25">
      <c r="A595" s="13"/>
      <c r="B595" s="13"/>
    </row>
    <row r="596" spans="1:2" x14ac:dyDescent="0.25">
      <c r="A596" s="13"/>
      <c r="B596" s="13"/>
    </row>
    <row r="597" spans="1:2" x14ac:dyDescent="0.25">
      <c r="A597" s="13"/>
      <c r="B597" s="13"/>
    </row>
    <row r="598" spans="1:2" x14ac:dyDescent="0.25">
      <c r="A598" s="13"/>
      <c r="B598" s="13"/>
    </row>
    <row r="599" spans="1:2" x14ac:dyDescent="0.25">
      <c r="A599" s="13"/>
      <c r="B599" s="13"/>
    </row>
    <row r="600" spans="1:2" x14ac:dyDescent="0.25">
      <c r="A600" s="13"/>
      <c r="B600" s="13"/>
    </row>
    <row r="601" spans="1:2" x14ac:dyDescent="0.25">
      <c r="A601" s="13"/>
      <c r="B601" s="13"/>
    </row>
    <row r="602" spans="1:2" x14ac:dyDescent="0.25">
      <c r="A602" s="13"/>
      <c r="B602" s="13"/>
    </row>
    <row r="603" spans="1:2" x14ac:dyDescent="0.25">
      <c r="A603" s="13"/>
      <c r="B603" s="13"/>
    </row>
    <row r="604" spans="1:2" x14ac:dyDescent="0.25">
      <c r="A604" s="13"/>
      <c r="B604" s="13"/>
    </row>
    <row r="605" spans="1:2" x14ac:dyDescent="0.25">
      <c r="A605" s="13"/>
      <c r="B605" s="13"/>
    </row>
    <row r="606" spans="1:2" x14ac:dyDescent="0.25">
      <c r="A606" s="13"/>
      <c r="B606" s="13"/>
    </row>
    <row r="607" spans="1:2" x14ac:dyDescent="0.25">
      <c r="A607" s="13"/>
      <c r="B607" s="13"/>
    </row>
    <row r="608" spans="1:2" x14ac:dyDescent="0.25">
      <c r="A608" s="13"/>
      <c r="B608" s="13"/>
    </row>
    <row r="609" spans="1:2" x14ac:dyDescent="0.25">
      <c r="A609" s="13"/>
      <c r="B609" s="13"/>
    </row>
    <row r="610" spans="1:2" x14ac:dyDescent="0.25">
      <c r="A610" s="13"/>
      <c r="B610" s="13"/>
    </row>
    <row r="611" spans="1:2" x14ac:dyDescent="0.25">
      <c r="A611" s="13"/>
      <c r="B611" s="13"/>
    </row>
    <row r="612" spans="1:2" x14ac:dyDescent="0.25">
      <c r="A612" s="13"/>
      <c r="B612" s="13"/>
    </row>
    <row r="613" spans="1:2" x14ac:dyDescent="0.25">
      <c r="A613" s="13"/>
      <c r="B613" s="13"/>
    </row>
    <row r="614" spans="1:2" x14ac:dyDescent="0.25">
      <c r="A614" s="13"/>
      <c r="B614" s="13"/>
    </row>
    <row r="615" spans="1:2" x14ac:dyDescent="0.25">
      <c r="A615" s="13"/>
      <c r="B615" s="13"/>
    </row>
    <row r="616" spans="1:2" x14ac:dyDescent="0.25">
      <c r="A616" s="13"/>
      <c r="B616" s="13"/>
    </row>
    <row r="617" spans="1:2" x14ac:dyDescent="0.25">
      <c r="A617" s="13"/>
      <c r="B617" s="13"/>
    </row>
    <row r="618" spans="1:2" x14ac:dyDescent="0.25">
      <c r="A618" s="13"/>
      <c r="B618" s="13"/>
    </row>
    <row r="619" spans="1:2" x14ac:dyDescent="0.25">
      <c r="A619" s="13"/>
      <c r="B619" s="13"/>
    </row>
    <row r="620" spans="1:2" x14ac:dyDescent="0.25">
      <c r="A620" s="13"/>
      <c r="B620" s="13"/>
    </row>
    <row r="621" spans="1:2" x14ac:dyDescent="0.25">
      <c r="A621" s="13"/>
      <c r="B621" s="13"/>
    </row>
    <row r="622" spans="1:2" x14ac:dyDescent="0.25">
      <c r="A622" s="13"/>
      <c r="B622" s="13"/>
    </row>
    <row r="623" spans="1:2" x14ac:dyDescent="0.25">
      <c r="A623" s="13"/>
      <c r="B623" s="13"/>
    </row>
    <row r="624" spans="1:2" x14ac:dyDescent="0.25">
      <c r="A624" s="13"/>
      <c r="B624" s="13"/>
    </row>
    <row r="625" spans="1:2" x14ac:dyDescent="0.25">
      <c r="A625" s="13"/>
      <c r="B625" s="13"/>
    </row>
    <row r="626" spans="1:2" x14ac:dyDescent="0.25">
      <c r="A626" s="13"/>
      <c r="B626" s="13"/>
    </row>
    <row r="627" spans="1:2" x14ac:dyDescent="0.25">
      <c r="A627" s="13"/>
      <c r="B627" s="13"/>
    </row>
    <row r="628" spans="1:2" x14ac:dyDescent="0.25">
      <c r="A628" s="13"/>
      <c r="B628" s="13"/>
    </row>
    <row r="629" spans="1:2" x14ac:dyDescent="0.25">
      <c r="A629" s="13"/>
      <c r="B629" s="13"/>
    </row>
    <row r="630" spans="1:2" x14ac:dyDescent="0.25">
      <c r="A630" s="13"/>
      <c r="B630" s="13"/>
    </row>
    <row r="631" spans="1:2" x14ac:dyDescent="0.25">
      <c r="A631" s="13"/>
      <c r="B631" s="13"/>
    </row>
    <row r="632" spans="1:2" x14ac:dyDescent="0.25">
      <c r="A632" s="13"/>
      <c r="B632" s="13"/>
    </row>
    <row r="633" spans="1:2" x14ac:dyDescent="0.25">
      <c r="A633" s="13"/>
      <c r="B633" s="13"/>
    </row>
    <row r="634" spans="1:2" x14ac:dyDescent="0.25">
      <c r="A634" s="13"/>
      <c r="B634" s="13"/>
    </row>
    <row r="635" spans="1:2" x14ac:dyDescent="0.25">
      <c r="A635" s="13"/>
      <c r="B635" s="13"/>
    </row>
    <row r="636" spans="1:2" x14ac:dyDescent="0.25">
      <c r="A636" s="13"/>
      <c r="B636" s="13"/>
    </row>
    <row r="637" spans="1:2" x14ac:dyDescent="0.25">
      <c r="A637" s="13"/>
      <c r="B637" s="13"/>
    </row>
    <row r="638" spans="1:2" x14ac:dyDescent="0.25">
      <c r="A638" s="13"/>
      <c r="B638" s="13"/>
    </row>
    <row r="639" spans="1:2" x14ac:dyDescent="0.25">
      <c r="A639" s="13"/>
      <c r="B639" s="13"/>
    </row>
    <row r="640" spans="1:2" x14ac:dyDescent="0.25">
      <c r="A640" s="13"/>
      <c r="B640" s="13"/>
    </row>
    <row r="641" spans="1:2" x14ac:dyDescent="0.25">
      <c r="A641" s="13"/>
      <c r="B641" s="13"/>
    </row>
    <row r="642" spans="1:2" x14ac:dyDescent="0.25">
      <c r="A642" s="13"/>
      <c r="B642" s="13"/>
    </row>
    <row r="643" spans="1:2" x14ac:dyDescent="0.25">
      <c r="A643" s="13"/>
      <c r="B643" s="13"/>
    </row>
    <row r="644" spans="1:2" x14ac:dyDescent="0.25">
      <c r="A644" s="13"/>
      <c r="B644" s="13"/>
    </row>
    <row r="645" spans="1:2" x14ac:dyDescent="0.25">
      <c r="A645" s="13"/>
      <c r="B645" s="13"/>
    </row>
    <row r="646" spans="1:2" x14ac:dyDescent="0.25">
      <c r="A646" s="13"/>
      <c r="B646" s="13"/>
    </row>
    <row r="647" spans="1:2" x14ac:dyDescent="0.25">
      <c r="A647" s="13"/>
      <c r="B647" s="13"/>
    </row>
    <row r="648" spans="1:2" x14ac:dyDescent="0.25">
      <c r="A648" s="13"/>
      <c r="B648" s="13"/>
    </row>
    <row r="649" spans="1:2" x14ac:dyDescent="0.25">
      <c r="A649" s="13"/>
      <c r="B649" s="13"/>
    </row>
    <row r="650" spans="1:2" x14ac:dyDescent="0.25">
      <c r="A650" s="13"/>
      <c r="B650" s="13"/>
    </row>
    <row r="651" spans="1:2" x14ac:dyDescent="0.25">
      <c r="A651" s="13"/>
      <c r="B651" s="13"/>
    </row>
    <row r="652" spans="1:2" x14ac:dyDescent="0.25">
      <c r="A652" s="13"/>
      <c r="B652" s="13"/>
    </row>
    <row r="653" spans="1:2" x14ac:dyDescent="0.25">
      <c r="A653" s="13"/>
      <c r="B653" s="13"/>
    </row>
    <row r="654" spans="1:2" x14ac:dyDescent="0.25">
      <c r="A654" s="13"/>
      <c r="B654" s="13"/>
    </row>
    <row r="655" spans="1:2" x14ac:dyDescent="0.25">
      <c r="A655" s="13"/>
      <c r="B655" s="13"/>
    </row>
    <row r="656" spans="1:2" x14ac:dyDescent="0.25">
      <c r="A656" s="13"/>
      <c r="B656" s="13"/>
    </row>
    <row r="657" spans="1:2" x14ac:dyDescent="0.25">
      <c r="A657" s="13"/>
      <c r="B657" s="13"/>
    </row>
    <row r="658" spans="1:2" x14ac:dyDescent="0.25">
      <c r="A658" s="13"/>
      <c r="B658" s="13"/>
    </row>
    <row r="659" spans="1:2" x14ac:dyDescent="0.25">
      <c r="A659" s="13"/>
      <c r="B659" s="13"/>
    </row>
    <row r="660" spans="1:2" x14ac:dyDescent="0.25">
      <c r="A660" s="13"/>
      <c r="B660" s="13"/>
    </row>
    <row r="661" spans="1:2" x14ac:dyDescent="0.25">
      <c r="A661" s="13"/>
      <c r="B661" s="13"/>
    </row>
    <row r="662" spans="1:2" x14ac:dyDescent="0.25">
      <c r="A662" s="13"/>
      <c r="B662" s="13"/>
    </row>
    <row r="663" spans="1:2" x14ac:dyDescent="0.25">
      <c r="A663" s="13"/>
      <c r="B663" s="13"/>
    </row>
    <row r="664" spans="1:2" x14ac:dyDescent="0.25">
      <c r="A664" s="13"/>
      <c r="B664" s="13"/>
    </row>
    <row r="665" spans="1:2" x14ac:dyDescent="0.25">
      <c r="A665" s="13"/>
      <c r="B665" s="13"/>
    </row>
    <row r="666" spans="1:2" x14ac:dyDescent="0.25">
      <c r="A666" s="13"/>
      <c r="B666" s="13"/>
    </row>
    <row r="667" spans="1:2" x14ac:dyDescent="0.25">
      <c r="A667" s="13"/>
      <c r="B667" s="13"/>
    </row>
    <row r="668" spans="1:2" x14ac:dyDescent="0.25">
      <c r="A668" s="13"/>
      <c r="B668" s="13"/>
    </row>
    <row r="669" spans="1:2" x14ac:dyDescent="0.25">
      <c r="A669" s="13"/>
      <c r="B669" s="13"/>
    </row>
    <row r="670" spans="1:2" x14ac:dyDescent="0.25">
      <c r="A670" s="13"/>
      <c r="B670" s="13"/>
    </row>
    <row r="671" spans="1:2" x14ac:dyDescent="0.25">
      <c r="A671" s="13"/>
      <c r="B671" s="13"/>
    </row>
    <row r="672" spans="1:2" x14ac:dyDescent="0.25">
      <c r="A672" s="13"/>
      <c r="B672" s="13"/>
    </row>
    <row r="673" spans="1:2" x14ac:dyDescent="0.25">
      <c r="A673" s="13"/>
      <c r="B673" s="13"/>
    </row>
    <row r="674" spans="1:2" x14ac:dyDescent="0.25">
      <c r="A674" s="13"/>
      <c r="B674" s="13"/>
    </row>
    <row r="675" spans="1:2" x14ac:dyDescent="0.25">
      <c r="A675" s="13"/>
      <c r="B675" s="13"/>
    </row>
    <row r="676" spans="1:2" x14ac:dyDescent="0.25">
      <c r="A676" s="13"/>
      <c r="B676" s="13"/>
    </row>
    <row r="677" spans="1:2" x14ac:dyDescent="0.25">
      <c r="A677" s="13"/>
      <c r="B677" s="13"/>
    </row>
    <row r="678" spans="1:2" x14ac:dyDescent="0.25">
      <c r="A678" s="13"/>
      <c r="B678" s="13"/>
    </row>
    <row r="679" spans="1:2" x14ac:dyDescent="0.25">
      <c r="A679" s="13"/>
      <c r="B679" s="13"/>
    </row>
    <row r="680" spans="1:2" x14ac:dyDescent="0.25">
      <c r="A680" s="13"/>
      <c r="B680" s="13"/>
    </row>
    <row r="681" spans="1:2" x14ac:dyDescent="0.25">
      <c r="A681" s="13"/>
      <c r="B681" s="13"/>
    </row>
    <row r="682" spans="1:2" x14ac:dyDescent="0.25">
      <c r="A682" s="13"/>
      <c r="B682" s="13"/>
    </row>
    <row r="683" spans="1:2" x14ac:dyDescent="0.25">
      <c r="A683" s="13"/>
      <c r="B683" s="13"/>
    </row>
    <row r="684" spans="1:2" x14ac:dyDescent="0.25">
      <c r="A684" s="13"/>
      <c r="B684" s="13"/>
    </row>
    <row r="685" spans="1:2" x14ac:dyDescent="0.25">
      <c r="A685" s="13"/>
      <c r="B685" s="13"/>
    </row>
    <row r="686" spans="1:2" x14ac:dyDescent="0.25">
      <c r="A686" s="13"/>
      <c r="B686" s="13"/>
    </row>
    <row r="687" spans="1:2" x14ac:dyDescent="0.25">
      <c r="A687" s="13"/>
      <c r="B687" s="13"/>
    </row>
    <row r="688" spans="1:2" x14ac:dyDescent="0.25">
      <c r="A688" s="13"/>
      <c r="B688" s="13"/>
    </row>
    <row r="689" spans="1:2" x14ac:dyDescent="0.25">
      <c r="A689" s="13"/>
      <c r="B689" s="13"/>
    </row>
    <row r="690" spans="1:2" x14ac:dyDescent="0.25">
      <c r="A690" s="13"/>
      <c r="B690" s="13"/>
    </row>
    <row r="691" spans="1:2" x14ac:dyDescent="0.25">
      <c r="A691" s="13"/>
      <c r="B691" s="13"/>
    </row>
    <row r="692" spans="1:2" x14ac:dyDescent="0.25">
      <c r="A692" s="13"/>
      <c r="B692" s="13"/>
    </row>
    <row r="693" spans="1:2" x14ac:dyDescent="0.25">
      <c r="A693" s="13"/>
      <c r="B693" s="13"/>
    </row>
    <row r="694" spans="1:2" x14ac:dyDescent="0.25">
      <c r="A694" s="13"/>
      <c r="B694" s="13"/>
    </row>
    <row r="695" spans="1:2" x14ac:dyDescent="0.25">
      <c r="A695" s="13"/>
      <c r="B695" s="13"/>
    </row>
    <row r="696" spans="1:2" x14ac:dyDescent="0.25">
      <c r="A696" s="13"/>
      <c r="B696" s="13"/>
    </row>
    <row r="697" spans="1:2" x14ac:dyDescent="0.25">
      <c r="A697" s="13"/>
      <c r="B697" s="13"/>
    </row>
    <row r="698" spans="1:2" x14ac:dyDescent="0.25">
      <c r="A698" s="13"/>
      <c r="B698" s="13"/>
    </row>
    <row r="699" spans="1:2" x14ac:dyDescent="0.25">
      <c r="A699" s="13"/>
      <c r="B699" s="13"/>
    </row>
    <row r="700" spans="1:2" x14ac:dyDescent="0.25">
      <c r="A700" s="13"/>
      <c r="B700" s="13"/>
    </row>
    <row r="701" spans="1:2" x14ac:dyDescent="0.25">
      <c r="A701" s="13"/>
      <c r="B701" s="13"/>
    </row>
    <row r="702" spans="1:2" x14ac:dyDescent="0.25">
      <c r="A702" s="13"/>
      <c r="B702" s="13"/>
    </row>
    <row r="703" spans="1:2" x14ac:dyDescent="0.25">
      <c r="A703" s="13"/>
      <c r="B703" s="13"/>
    </row>
    <row r="704" spans="1:2" x14ac:dyDescent="0.25">
      <c r="A704" s="13"/>
      <c r="B704" s="13"/>
    </row>
    <row r="705" spans="1:2" x14ac:dyDescent="0.25">
      <c r="A705" s="13"/>
      <c r="B705" s="13"/>
    </row>
    <row r="706" spans="1:2" x14ac:dyDescent="0.25">
      <c r="A706" s="13"/>
      <c r="B706" s="13"/>
    </row>
    <row r="707" spans="1:2" x14ac:dyDescent="0.25">
      <c r="A707" s="13"/>
      <c r="B707" s="13"/>
    </row>
    <row r="708" spans="1:2" x14ac:dyDescent="0.25">
      <c r="A708" s="13"/>
      <c r="B708" s="13"/>
    </row>
    <row r="709" spans="1:2" x14ac:dyDescent="0.25">
      <c r="A709" s="13"/>
      <c r="B709" s="13"/>
    </row>
    <row r="710" spans="1:2" x14ac:dyDescent="0.25">
      <c r="A710" s="13"/>
      <c r="B710" s="13"/>
    </row>
    <row r="711" spans="1:2" x14ac:dyDescent="0.25">
      <c r="A711" s="13"/>
      <c r="B711" s="13"/>
    </row>
    <row r="712" spans="1:2" x14ac:dyDescent="0.25">
      <c r="A712" s="13"/>
      <c r="B712" s="13"/>
    </row>
    <row r="713" spans="1:2" x14ac:dyDescent="0.25">
      <c r="A713" s="13"/>
      <c r="B713" s="13"/>
    </row>
    <row r="714" spans="1:2" x14ac:dyDescent="0.25">
      <c r="A714" s="13"/>
      <c r="B714" s="13"/>
    </row>
    <row r="715" spans="1:2" x14ac:dyDescent="0.25">
      <c r="A715" s="13"/>
      <c r="B715" s="13"/>
    </row>
    <row r="716" spans="1:2" x14ac:dyDescent="0.25">
      <c r="A716" s="13"/>
      <c r="B716" s="13"/>
    </row>
    <row r="717" spans="1:2" x14ac:dyDescent="0.25">
      <c r="A717" s="13"/>
      <c r="B717" s="13"/>
    </row>
    <row r="718" spans="1:2" x14ac:dyDescent="0.25">
      <c r="A718" s="13"/>
      <c r="B718" s="13"/>
    </row>
    <row r="719" spans="1:2" x14ac:dyDescent="0.25">
      <c r="A719" s="13"/>
      <c r="B719" s="13"/>
    </row>
    <row r="720" spans="1:2" x14ac:dyDescent="0.25">
      <c r="A720" s="13"/>
      <c r="B720" s="13"/>
    </row>
    <row r="721" spans="1:2" x14ac:dyDescent="0.25">
      <c r="A721" s="13"/>
      <c r="B721" s="13"/>
    </row>
    <row r="722" spans="1:2" x14ac:dyDescent="0.25">
      <c r="A722" s="13"/>
      <c r="B722" s="13"/>
    </row>
    <row r="723" spans="1:2" x14ac:dyDescent="0.25">
      <c r="A723" s="13"/>
      <c r="B723" s="13"/>
    </row>
    <row r="724" spans="1:2" x14ac:dyDescent="0.25">
      <c r="A724" s="13"/>
      <c r="B724" s="13"/>
    </row>
    <row r="725" spans="1:2" x14ac:dyDescent="0.25">
      <c r="A725" s="13"/>
      <c r="B725" s="13"/>
    </row>
    <row r="726" spans="1:2" x14ac:dyDescent="0.25">
      <c r="A726" s="13"/>
      <c r="B726" s="13"/>
    </row>
    <row r="727" spans="1:2" x14ac:dyDescent="0.25">
      <c r="A727" s="13"/>
      <c r="B727" s="13"/>
    </row>
    <row r="728" spans="1:2" x14ac:dyDescent="0.25">
      <c r="A728" s="13"/>
      <c r="B728" s="13"/>
    </row>
    <row r="729" spans="1:2" x14ac:dyDescent="0.25">
      <c r="A729" s="13"/>
      <c r="B729" s="13"/>
    </row>
    <row r="730" spans="1:2" x14ac:dyDescent="0.25">
      <c r="A730" s="13"/>
      <c r="B730" s="13"/>
    </row>
    <row r="731" spans="1:2" x14ac:dyDescent="0.25">
      <c r="A731" s="13"/>
      <c r="B731" s="13"/>
    </row>
    <row r="732" spans="1:2" x14ac:dyDescent="0.25">
      <c r="A732" s="13"/>
      <c r="B732" s="13"/>
    </row>
    <row r="733" spans="1:2" x14ac:dyDescent="0.25">
      <c r="A733" s="13"/>
      <c r="B733" s="13"/>
    </row>
    <row r="734" spans="1:2" x14ac:dyDescent="0.25">
      <c r="A734" s="13"/>
      <c r="B734" s="13"/>
    </row>
    <row r="735" spans="1:2" x14ac:dyDescent="0.25">
      <c r="A735" s="13"/>
      <c r="B735" s="13"/>
    </row>
    <row r="736" spans="1:2" x14ac:dyDescent="0.25">
      <c r="A736" s="13"/>
      <c r="B736" s="13"/>
    </row>
    <row r="737" spans="1:2" x14ac:dyDescent="0.25">
      <c r="A737" s="13"/>
      <c r="B737" s="13"/>
    </row>
    <row r="738" spans="1:2" x14ac:dyDescent="0.25">
      <c r="A738" s="13"/>
      <c r="B738" s="13"/>
    </row>
    <row r="739" spans="1:2" x14ac:dyDescent="0.25">
      <c r="A739" s="13"/>
      <c r="B739" s="13"/>
    </row>
    <row r="740" spans="1:2" x14ac:dyDescent="0.25">
      <c r="A740" s="13"/>
      <c r="B740" s="13"/>
    </row>
    <row r="741" spans="1:2" x14ac:dyDescent="0.25">
      <c r="A741" s="13"/>
      <c r="B741" s="13"/>
    </row>
    <row r="742" spans="1:2" x14ac:dyDescent="0.25">
      <c r="A742" s="13"/>
      <c r="B742" s="13"/>
    </row>
    <row r="743" spans="1:2" x14ac:dyDescent="0.25">
      <c r="A743" s="13"/>
      <c r="B743" s="13"/>
    </row>
    <row r="744" spans="1:2" x14ac:dyDescent="0.25">
      <c r="A744" s="13"/>
      <c r="B744" s="13"/>
    </row>
    <row r="745" spans="1:2" x14ac:dyDescent="0.25">
      <c r="A745" s="13"/>
      <c r="B745" s="13"/>
    </row>
    <row r="746" spans="1:2" x14ac:dyDescent="0.25">
      <c r="A746" s="13"/>
      <c r="B746" s="13"/>
    </row>
    <row r="747" spans="1:2" x14ac:dyDescent="0.25">
      <c r="A747" s="13"/>
      <c r="B747" s="13"/>
    </row>
    <row r="748" spans="1:2" x14ac:dyDescent="0.25">
      <c r="A748" s="13"/>
      <c r="B748" s="13"/>
    </row>
    <row r="749" spans="1:2" x14ac:dyDescent="0.25">
      <c r="A749" s="13"/>
      <c r="B749" s="13"/>
    </row>
    <row r="750" spans="1:2" x14ac:dyDescent="0.25">
      <c r="A750" s="13"/>
      <c r="B750" s="13"/>
    </row>
    <row r="751" spans="1:2" x14ac:dyDescent="0.25">
      <c r="A751" s="13"/>
      <c r="B751" s="13"/>
    </row>
    <row r="752" spans="1:2" x14ac:dyDescent="0.25">
      <c r="A752" s="13"/>
      <c r="B752" s="13"/>
    </row>
    <row r="753" spans="1:2" x14ac:dyDescent="0.25">
      <c r="A753" s="13"/>
      <c r="B753" s="13"/>
    </row>
    <row r="754" spans="1:2" x14ac:dyDescent="0.25">
      <c r="A754" s="13"/>
      <c r="B754" s="13"/>
    </row>
    <row r="755" spans="1:2" x14ac:dyDescent="0.25">
      <c r="A755" s="13"/>
      <c r="B755" s="13"/>
    </row>
    <row r="756" spans="1:2" x14ac:dyDescent="0.25">
      <c r="A756" s="13"/>
      <c r="B756" s="13"/>
    </row>
    <row r="757" spans="1:2" x14ac:dyDescent="0.25">
      <c r="A757" s="13"/>
      <c r="B757" s="13"/>
    </row>
    <row r="758" spans="1:2" x14ac:dyDescent="0.25">
      <c r="A758" s="13"/>
      <c r="B758" s="13"/>
    </row>
    <row r="759" spans="1:2" x14ac:dyDescent="0.25">
      <c r="A759" s="13"/>
      <c r="B759" s="13"/>
    </row>
    <row r="760" spans="1:2" x14ac:dyDescent="0.25">
      <c r="A760" s="13"/>
      <c r="B760" s="13"/>
    </row>
    <row r="761" spans="1:2" x14ac:dyDescent="0.25">
      <c r="A761" s="13"/>
      <c r="B761" s="13"/>
    </row>
    <row r="762" spans="1:2" x14ac:dyDescent="0.25">
      <c r="A762" s="13"/>
      <c r="B762" s="13"/>
    </row>
    <row r="763" spans="1:2" x14ac:dyDescent="0.25">
      <c r="A763" s="13"/>
      <c r="B763" s="13"/>
    </row>
    <row r="764" spans="1:2" x14ac:dyDescent="0.25">
      <c r="A764" s="13"/>
      <c r="B764" s="13"/>
    </row>
    <row r="765" spans="1:2" x14ac:dyDescent="0.25">
      <c r="A765" s="13"/>
      <c r="B765" s="13"/>
    </row>
    <row r="766" spans="1:2" x14ac:dyDescent="0.25">
      <c r="A766" s="13"/>
      <c r="B766" s="13"/>
    </row>
    <row r="767" spans="1:2" x14ac:dyDescent="0.25">
      <c r="A767" s="13"/>
      <c r="B767" s="13"/>
    </row>
    <row r="768" spans="1:2" x14ac:dyDescent="0.25">
      <c r="A768" s="13"/>
      <c r="B768" s="13"/>
    </row>
    <row r="769" spans="1:2" x14ac:dyDescent="0.25">
      <c r="A769" s="13"/>
      <c r="B769" s="13"/>
    </row>
    <row r="770" spans="1:2" x14ac:dyDescent="0.25">
      <c r="A770" s="13"/>
      <c r="B770" s="13"/>
    </row>
    <row r="771" spans="1:2" x14ac:dyDescent="0.25">
      <c r="A771" s="13"/>
      <c r="B771" s="13"/>
    </row>
    <row r="772" spans="1:2" x14ac:dyDescent="0.25">
      <c r="A772" s="13"/>
      <c r="B772" s="13"/>
    </row>
    <row r="773" spans="1:2" x14ac:dyDescent="0.25">
      <c r="A773" s="13"/>
      <c r="B773" s="13"/>
    </row>
    <row r="774" spans="1:2" x14ac:dyDescent="0.25">
      <c r="A774" s="13"/>
      <c r="B774" s="13"/>
    </row>
    <row r="775" spans="1:2" x14ac:dyDescent="0.25">
      <c r="A775" s="13"/>
      <c r="B775" s="13"/>
    </row>
    <row r="776" spans="1:2" x14ac:dyDescent="0.25">
      <c r="A776" s="13"/>
      <c r="B776" s="13"/>
    </row>
    <row r="777" spans="1:2" x14ac:dyDescent="0.25">
      <c r="A777" s="13"/>
      <c r="B777" s="13"/>
    </row>
    <row r="778" spans="1:2" x14ac:dyDescent="0.25">
      <c r="A778" s="13"/>
      <c r="B778" s="13"/>
    </row>
    <row r="779" spans="1:2" x14ac:dyDescent="0.25">
      <c r="A779" s="13"/>
      <c r="B779" s="13"/>
    </row>
    <row r="780" spans="1:2" x14ac:dyDescent="0.25">
      <c r="A780" s="13"/>
      <c r="B780" s="13"/>
    </row>
    <row r="781" spans="1:2" x14ac:dyDescent="0.25">
      <c r="A781" s="13"/>
      <c r="B781" s="13"/>
    </row>
    <row r="782" spans="1:2" x14ac:dyDescent="0.25">
      <c r="A782" s="13"/>
      <c r="B782" s="13"/>
    </row>
    <row r="783" spans="1:2" x14ac:dyDescent="0.25">
      <c r="A783" s="13"/>
      <c r="B783" s="13"/>
    </row>
    <row r="784" spans="1:2" x14ac:dyDescent="0.25">
      <c r="A784" s="13"/>
      <c r="B784" s="13"/>
    </row>
    <row r="785" spans="1:2" x14ac:dyDescent="0.25">
      <c r="A785" s="13"/>
      <c r="B785" s="13"/>
    </row>
    <row r="786" spans="1:2" x14ac:dyDescent="0.25">
      <c r="A786" s="13"/>
      <c r="B786" s="13"/>
    </row>
    <row r="787" spans="1:2" x14ac:dyDescent="0.25">
      <c r="A787" s="13"/>
      <c r="B787" s="13"/>
    </row>
    <row r="788" spans="1:2" x14ac:dyDescent="0.25">
      <c r="A788" s="13"/>
      <c r="B788" s="13"/>
    </row>
    <row r="789" spans="1:2" x14ac:dyDescent="0.25">
      <c r="A789" s="13"/>
      <c r="B789" s="13"/>
    </row>
    <row r="790" spans="1:2" x14ac:dyDescent="0.25">
      <c r="A790" s="13"/>
      <c r="B790" s="13"/>
    </row>
    <row r="791" spans="1:2" x14ac:dyDescent="0.25">
      <c r="A791" s="13"/>
      <c r="B791" s="13"/>
    </row>
    <row r="792" spans="1:2" x14ac:dyDescent="0.25">
      <c r="A792" s="13"/>
      <c r="B792" s="13"/>
    </row>
    <row r="793" spans="1:2" x14ac:dyDescent="0.25">
      <c r="A793" s="13"/>
      <c r="B793" s="13"/>
    </row>
    <row r="794" spans="1:2" x14ac:dyDescent="0.25">
      <c r="A794" s="13"/>
      <c r="B794" s="13"/>
    </row>
    <row r="795" spans="1:2" x14ac:dyDescent="0.25">
      <c r="A795" s="13"/>
      <c r="B795" s="13"/>
    </row>
    <row r="796" spans="1:2" x14ac:dyDescent="0.25">
      <c r="A796" s="13"/>
      <c r="B796" s="13"/>
    </row>
    <row r="797" spans="1:2" x14ac:dyDescent="0.25">
      <c r="A797" s="13"/>
      <c r="B797" s="13"/>
    </row>
    <row r="798" spans="1:2" x14ac:dyDescent="0.25">
      <c r="A798" s="13"/>
      <c r="B798" s="13"/>
    </row>
    <row r="799" spans="1:2" x14ac:dyDescent="0.25">
      <c r="A799" s="13"/>
      <c r="B799" s="13"/>
    </row>
    <row r="800" spans="1:2" x14ac:dyDescent="0.25">
      <c r="A800" s="13"/>
      <c r="B800" s="13"/>
    </row>
    <row r="801" spans="1:2" x14ac:dyDescent="0.25">
      <c r="A801" s="13"/>
      <c r="B801" s="13"/>
    </row>
    <row r="802" spans="1:2" x14ac:dyDescent="0.25">
      <c r="A802" s="13"/>
      <c r="B802" s="13"/>
    </row>
    <row r="803" spans="1:2" x14ac:dyDescent="0.25">
      <c r="A803" s="13"/>
      <c r="B803" s="13"/>
    </row>
    <row r="804" spans="1:2" x14ac:dyDescent="0.25">
      <c r="A804" s="13"/>
      <c r="B804" s="13"/>
    </row>
    <row r="805" spans="1:2" x14ac:dyDescent="0.25">
      <c r="A805" s="13"/>
      <c r="B805" s="13"/>
    </row>
    <row r="806" spans="1:2" x14ac:dyDescent="0.25">
      <c r="A806" s="13"/>
      <c r="B806" s="13"/>
    </row>
    <row r="807" spans="1:2" x14ac:dyDescent="0.25">
      <c r="A807" s="13"/>
      <c r="B807" s="13"/>
    </row>
    <row r="808" spans="1:2" x14ac:dyDescent="0.25">
      <c r="A808" s="13"/>
      <c r="B808" s="13"/>
    </row>
    <row r="809" spans="1:2" x14ac:dyDescent="0.25">
      <c r="A809" s="13"/>
      <c r="B809" s="13"/>
    </row>
    <row r="810" spans="1:2" x14ac:dyDescent="0.25">
      <c r="A810" s="13"/>
      <c r="B810" s="13"/>
    </row>
    <row r="811" spans="1:2" x14ac:dyDescent="0.25">
      <c r="A811" s="13"/>
      <c r="B811" s="13"/>
    </row>
    <row r="812" spans="1:2" x14ac:dyDescent="0.25">
      <c r="A812" s="13"/>
      <c r="B812" s="13"/>
    </row>
    <row r="813" spans="1:2" x14ac:dyDescent="0.25">
      <c r="A813" s="13"/>
      <c r="B813" s="13"/>
    </row>
    <row r="814" spans="1:2" x14ac:dyDescent="0.25">
      <c r="A814" s="13"/>
      <c r="B814" s="13"/>
    </row>
    <row r="815" spans="1:2" x14ac:dyDescent="0.25">
      <c r="A815" s="13"/>
      <c r="B815" s="13"/>
    </row>
    <row r="816" spans="1:2" x14ac:dyDescent="0.25">
      <c r="A816" s="13"/>
      <c r="B816" s="13"/>
    </row>
    <row r="817" spans="1:2" x14ac:dyDescent="0.25">
      <c r="A817" s="13"/>
      <c r="B817" s="13"/>
    </row>
    <row r="818" spans="1:2" x14ac:dyDescent="0.25">
      <c r="A818" s="13"/>
      <c r="B818" s="13"/>
    </row>
    <row r="819" spans="1:2" x14ac:dyDescent="0.25">
      <c r="A819" s="13"/>
      <c r="B819" s="13"/>
    </row>
    <row r="820" spans="1:2" x14ac:dyDescent="0.25">
      <c r="A820" s="13"/>
      <c r="B820" s="13"/>
    </row>
    <row r="821" spans="1:2" x14ac:dyDescent="0.25">
      <c r="A821" s="13"/>
      <c r="B821" s="13"/>
    </row>
    <row r="822" spans="1:2" x14ac:dyDescent="0.25">
      <c r="A822" s="13"/>
      <c r="B822" s="13"/>
    </row>
    <row r="823" spans="1:2" x14ac:dyDescent="0.25">
      <c r="A823" s="13"/>
      <c r="B823" s="13"/>
    </row>
    <row r="824" spans="1:2" x14ac:dyDescent="0.25">
      <c r="A824" s="13"/>
      <c r="B824" s="13"/>
    </row>
    <row r="825" spans="1:2" x14ac:dyDescent="0.25">
      <c r="A825" s="13"/>
      <c r="B825" s="13"/>
    </row>
    <row r="826" spans="1:2" x14ac:dyDescent="0.25">
      <c r="A826" s="13"/>
      <c r="B826" s="13"/>
    </row>
    <row r="827" spans="1:2" x14ac:dyDescent="0.25">
      <c r="A827" s="13"/>
      <c r="B827" s="13"/>
    </row>
    <row r="828" spans="1:2" x14ac:dyDescent="0.25">
      <c r="A828" s="13"/>
      <c r="B828" s="13"/>
    </row>
    <row r="829" spans="1:2" x14ac:dyDescent="0.25">
      <c r="A829" s="13"/>
      <c r="B829" s="13"/>
    </row>
    <row r="830" spans="1:2" x14ac:dyDescent="0.25">
      <c r="A830" s="13"/>
      <c r="B830" s="13"/>
    </row>
    <row r="831" spans="1:2" x14ac:dyDescent="0.25">
      <c r="A831" s="13"/>
      <c r="B831" s="13"/>
    </row>
    <row r="832" spans="1:2" x14ac:dyDescent="0.25">
      <c r="A832" s="13"/>
      <c r="B832" s="13"/>
    </row>
    <row r="833" spans="1:2" x14ac:dyDescent="0.25">
      <c r="A833" s="13"/>
      <c r="B833" s="13"/>
    </row>
    <row r="834" spans="1:2" x14ac:dyDescent="0.25">
      <c r="A834" s="13"/>
      <c r="B834" s="13"/>
    </row>
    <row r="835" spans="1:2" x14ac:dyDescent="0.25">
      <c r="A835" s="13"/>
      <c r="B835" s="13"/>
    </row>
    <row r="836" spans="1:2" x14ac:dyDescent="0.25">
      <c r="A836" s="13"/>
      <c r="B836" s="13"/>
    </row>
    <row r="837" spans="1:2" x14ac:dyDescent="0.25">
      <c r="A837" s="13"/>
      <c r="B837" s="13"/>
    </row>
    <row r="838" spans="1:2" x14ac:dyDescent="0.25">
      <c r="A838" s="13"/>
      <c r="B838" s="13"/>
    </row>
    <row r="839" spans="1:2" x14ac:dyDescent="0.25">
      <c r="A839" s="13"/>
      <c r="B839" s="13"/>
    </row>
    <row r="840" spans="1:2" x14ac:dyDescent="0.25">
      <c r="A840" s="13"/>
      <c r="B840" s="13"/>
    </row>
    <row r="841" spans="1:2" x14ac:dyDescent="0.25">
      <c r="A841" s="13"/>
      <c r="B841" s="13"/>
    </row>
    <row r="842" spans="1:2" x14ac:dyDescent="0.25">
      <c r="A842" s="13"/>
      <c r="B842" s="13"/>
    </row>
    <row r="843" spans="1:2" x14ac:dyDescent="0.25">
      <c r="A843" s="13"/>
      <c r="B843" s="13"/>
    </row>
    <row r="844" spans="1:2" x14ac:dyDescent="0.25">
      <c r="A844" s="13"/>
      <c r="B844" s="13"/>
    </row>
    <row r="845" spans="1:2" x14ac:dyDescent="0.25">
      <c r="A845" s="13"/>
      <c r="B845" s="13"/>
    </row>
    <row r="846" spans="1:2" x14ac:dyDescent="0.25">
      <c r="A846" s="13"/>
      <c r="B846" s="13"/>
    </row>
    <row r="847" spans="1:2" x14ac:dyDescent="0.25">
      <c r="A847" s="13"/>
      <c r="B847" s="13"/>
    </row>
    <row r="848" spans="1:2" x14ac:dyDescent="0.25">
      <c r="A848" s="13"/>
      <c r="B848" s="13"/>
    </row>
    <row r="849" spans="1:2" x14ac:dyDescent="0.25">
      <c r="A849" s="13"/>
      <c r="B849" s="13"/>
    </row>
    <row r="850" spans="1:2" x14ac:dyDescent="0.25">
      <c r="A850" s="13"/>
      <c r="B850" s="13"/>
    </row>
    <row r="851" spans="1:2" x14ac:dyDescent="0.25">
      <c r="A851" s="13"/>
      <c r="B851" s="13"/>
    </row>
    <row r="852" spans="1:2" x14ac:dyDescent="0.25">
      <c r="A852" s="13"/>
      <c r="B852" s="13"/>
    </row>
    <row r="853" spans="1:2" x14ac:dyDescent="0.25">
      <c r="A853" s="13"/>
      <c r="B853" s="13"/>
    </row>
    <row r="854" spans="1:2" x14ac:dyDescent="0.25">
      <c r="A854" s="13"/>
      <c r="B854" s="13"/>
    </row>
    <row r="855" spans="1:2" x14ac:dyDescent="0.25">
      <c r="A855" s="13"/>
      <c r="B855" s="13"/>
    </row>
    <row r="856" spans="1:2" x14ac:dyDescent="0.25">
      <c r="A856" s="13"/>
      <c r="B856" s="13"/>
    </row>
    <row r="857" spans="1:2" x14ac:dyDescent="0.25">
      <c r="A857" s="13"/>
      <c r="B857" s="13"/>
    </row>
    <row r="858" spans="1:2" x14ac:dyDescent="0.25">
      <c r="A858" s="13"/>
      <c r="B858" s="13"/>
    </row>
    <row r="859" spans="1:2" x14ac:dyDescent="0.25">
      <c r="A859" s="13"/>
      <c r="B859" s="13"/>
    </row>
    <row r="860" spans="1:2" x14ac:dyDescent="0.25">
      <c r="A860" s="13"/>
      <c r="B860" s="13"/>
    </row>
    <row r="861" spans="1:2" x14ac:dyDescent="0.25">
      <c r="A861" s="13"/>
      <c r="B861" s="13"/>
    </row>
    <row r="862" spans="1:2" x14ac:dyDescent="0.25">
      <c r="A862" s="13"/>
      <c r="B862" s="13"/>
    </row>
    <row r="863" spans="1:2" x14ac:dyDescent="0.25">
      <c r="A863" s="13"/>
      <c r="B863" s="13"/>
    </row>
    <row r="864" spans="1:2" x14ac:dyDescent="0.25">
      <c r="A864" s="13"/>
      <c r="B864" s="13"/>
    </row>
    <row r="865" spans="1:2" x14ac:dyDescent="0.25">
      <c r="A865" s="13"/>
      <c r="B865" s="13"/>
    </row>
    <row r="866" spans="1:2" x14ac:dyDescent="0.25">
      <c r="A866" s="13"/>
      <c r="B866" s="13"/>
    </row>
    <row r="867" spans="1:2" x14ac:dyDescent="0.25">
      <c r="A867" s="13"/>
      <c r="B867" s="13"/>
    </row>
    <row r="868" spans="1:2" x14ac:dyDescent="0.25">
      <c r="A868" s="13"/>
      <c r="B868" s="13"/>
    </row>
    <row r="869" spans="1:2" x14ac:dyDescent="0.25">
      <c r="A869" s="13"/>
      <c r="B869" s="13"/>
    </row>
    <row r="870" spans="1:2" x14ac:dyDescent="0.25">
      <c r="A870" s="13"/>
      <c r="B870" s="13"/>
    </row>
    <row r="871" spans="1:2" x14ac:dyDescent="0.25">
      <c r="A871" s="13"/>
      <c r="B871" s="13"/>
    </row>
    <row r="872" spans="1:2" x14ac:dyDescent="0.25">
      <c r="A872" s="13"/>
      <c r="B872" s="13"/>
    </row>
    <row r="873" spans="1:2" x14ac:dyDescent="0.25">
      <c r="A873" s="13"/>
      <c r="B873" s="13"/>
    </row>
    <row r="874" spans="1:2" x14ac:dyDescent="0.25">
      <c r="A874" s="13"/>
      <c r="B874" s="13"/>
    </row>
    <row r="875" spans="1:2" x14ac:dyDescent="0.25">
      <c r="A875" s="13"/>
      <c r="B875" s="13"/>
    </row>
    <row r="876" spans="1:2" x14ac:dyDescent="0.25">
      <c r="A876" s="13"/>
      <c r="B876" s="13"/>
    </row>
    <row r="877" spans="1:2" x14ac:dyDescent="0.25">
      <c r="A877" s="13"/>
      <c r="B877" s="13"/>
    </row>
    <row r="878" spans="1:2" x14ac:dyDescent="0.25">
      <c r="A878" s="13"/>
      <c r="B878" s="13"/>
    </row>
    <row r="879" spans="1:2" x14ac:dyDescent="0.25">
      <c r="A879" s="13"/>
      <c r="B879" s="13"/>
    </row>
    <row r="880" spans="1:2" x14ac:dyDescent="0.25">
      <c r="A880" s="13"/>
      <c r="B880" s="13"/>
    </row>
    <row r="881" spans="1:2" x14ac:dyDescent="0.25">
      <c r="A881" s="13"/>
      <c r="B881" s="13"/>
    </row>
    <row r="882" spans="1:2" x14ac:dyDescent="0.25">
      <c r="A882" s="13"/>
      <c r="B882" s="13"/>
    </row>
    <row r="883" spans="1:2" x14ac:dyDescent="0.25">
      <c r="A883" s="13"/>
      <c r="B883" s="13"/>
    </row>
    <row r="884" spans="1:2" x14ac:dyDescent="0.25">
      <c r="A884" s="13"/>
      <c r="B884" s="13"/>
    </row>
    <row r="885" spans="1:2" x14ac:dyDescent="0.25">
      <c r="A885" s="13"/>
      <c r="B885" s="13"/>
    </row>
    <row r="886" spans="1:2" x14ac:dyDescent="0.25">
      <c r="A886" s="13"/>
      <c r="B886" s="13"/>
    </row>
    <row r="887" spans="1:2" x14ac:dyDescent="0.25">
      <c r="A887" s="13"/>
      <c r="B887" s="13"/>
    </row>
    <row r="888" spans="1:2" x14ac:dyDescent="0.25">
      <c r="A888" s="13"/>
      <c r="B888" s="13"/>
    </row>
    <row r="889" spans="1:2" x14ac:dyDescent="0.25">
      <c r="A889" s="13"/>
      <c r="B889" s="13"/>
    </row>
    <row r="890" spans="1:2" x14ac:dyDescent="0.25">
      <c r="A890" s="13"/>
      <c r="B890" s="13"/>
    </row>
    <row r="891" spans="1:2" x14ac:dyDescent="0.25">
      <c r="A891" s="13"/>
      <c r="B891" s="13"/>
    </row>
    <row r="892" spans="1:2" x14ac:dyDescent="0.25">
      <c r="A892" s="13"/>
      <c r="B892" s="13"/>
    </row>
    <row r="893" spans="1:2" x14ac:dyDescent="0.25">
      <c r="A893" s="13"/>
      <c r="B893" s="13"/>
    </row>
    <row r="894" spans="1:2" x14ac:dyDescent="0.25">
      <c r="A894" s="13"/>
      <c r="B894" s="13"/>
    </row>
    <row r="895" spans="1:2" x14ac:dyDescent="0.25">
      <c r="A895" s="13"/>
      <c r="B895" s="13"/>
    </row>
    <row r="896" spans="1:2" x14ac:dyDescent="0.25">
      <c r="A896" s="13"/>
      <c r="B896" s="13"/>
    </row>
    <row r="897" spans="1:2" x14ac:dyDescent="0.25">
      <c r="A897" s="13"/>
      <c r="B897" s="13"/>
    </row>
    <row r="898" spans="1:2" x14ac:dyDescent="0.25">
      <c r="A898" s="13"/>
      <c r="B898" s="13"/>
    </row>
    <row r="899" spans="1:2" x14ac:dyDescent="0.25">
      <c r="A899" s="13"/>
      <c r="B899" s="13"/>
    </row>
    <row r="900" spans="1:2" x14ac:dyDescent="0.25">
      <c r="A900" s="13"/>
      <c r="B900" s="13"/>
    </row>
    <row r="901" spans="1:2" x14ac:dyDescent="0.25">
      <c r="A901" s="13"/>
      <c r="B901" s="13"/>
    </row>
    <row r="902" spans="1:2" x14ac:dyDescent="0.25">
      <c r="A902" s="13"/>
      <c r="B902" s="13"/>
    </row>
    <row r="903" spans="1:2" x14ac:dyDescent="0.25">
      <c r="A903" s="13"/>
      <c r="B903" s="13"/>
    </row>
    <row r="904" spans="1:2" x14ac:dyDescent="0.25">
      <c r="A904" s="13"/>
      <c r="B904" s="13"/>
    </row>
    <row r="905" spans="1:2" x14ac:dyDescent="0.25">
      <c r="A905" s="13"/>
      <c r="B905" s="13"/>
    </row>
    <row r="906" spans="1:2" x14ac:dyDescent="0.25">
      <c r="A906" s="13"/>
      <c r="B906" s="13"/>
    </row>
    <row r="907" spans="1:2" x14ac:dyDescent="0.25">
      <c r="A907" s="13"/>
      <c r="B907" s="13"/>
    </row>
    <row r="908" spans="1:2" x14ac:dyDescent="0.25">
      <c r="A908" s="13"/>
      <c r="B908" s="13"/>
    </row>
    <row r="909" spans="1:2" x14ac:dyDescent="0.25">
      <c r="A909" s="13"/>
      <c r="B909" s="13"/>
    </row>
    <row r="910" spans="1:2" x14ac:dyDescent="0.25">
      <c r="A910" s="13"/>
      <c r="B910" s="13"/>
    </row>
    <row r="911" spans="1:2" x14ac:dyDescent="0.25">
      <c r="A911" s="13"/>
      <c r="B911" s="13"/>
    </row>
    <row r="912" spans="1:2" x14ac:dyDescent="0.25">
      <c r="A912" s="13"/>
      <c r="B912" s="13"/>
    </row>
    <row r="913" spans="1:2" x14ac:dyDescent="0.25">
      <c r="A913" s="13"/>
      <c r="B913" s="13"/>
    </row>
    <row r="914" spans="1:2" x14ac:dyDescent="0.25">
      <c r="A914" s="13"/>
      <c r="B914" s="13"/>
    </row>
    <row r="915" spans="1:2" x14ac:dyDescent="0.25">
      <c r="A915" s="13"/>
      <c r="B915" s="13"/>
    </row>
    <row r="916" spans="1:2" x14ac:dyDescent="0.25">
      <c r="A916" s="13"/>
      <c r="B916" s="13"/>
    </row>
    <row r="917" spans="1:2" x14ac:dyDescent="0.25">
      <c r="A917" s="13"/>
      <c r="B917" s="13"/>
    </row>
    <row r="918" spans="1:2" x14ac:dyDescent="0.25">
      <c r="A918" s="13"/>
      <c r="B918" s="13"/>
    </row>
    <row r="919" spans="1:2" x14ac:dyDescent="0.25">
      <c r="A919" s="13"/>
      <c r="B919" s="13"/>
    </row>
    <row r="920" spans="1:2" x14ac:dyDescent="0.25">
      <c r="A920" s="13"/>
      <c r="B920" s="13"/>
    </row>
    <row r="921" spans="1:2" x14ac:dyDescent="0.25">
      <c r="A921" s="13"/>
      <c r="B921" s="13"/>
    </row>
    <row r="922" spans="1:2" x14ac:dyDescent="0.25">
      <c r="A922" s="13"/>
      <c r="B922" s="13"/>
    </row>
    <row r="923" spans="1:2" x14ac:dyDescent="0.25">
      <c r="A923" s="13"/>
      <c r="B923" s="13"/>
    </row>
    <row r="924" spans="1:2" x14ac:dyDescent="0.25">
      <c r="A924" s="13"/>
      <c r="B924" s="13"/>
    </row>
    <row r="925" spans="1:2" x14ac:dyDescent="0.25">
      <c r="A925" s="13"/>
      <c r="B925" s="13"/>
    </row>
    <row r="926" spans="1:2" x14ac:dyDescent="0.25">
      <c r="A926" s="13"/>
      <c r="B926" s="13"/>
    </row>
    <row r="927" spans="1:2" x14ac:dyDescent="0.25">
      <c r="A927" s="13"/>
      <c r="B927" s="13"/>
    </row>
    <row r="928" spans="1:2" x14ac:dyDescent="0.25">
      <c r="A928" s="13"/>
      <c r="B928" s="13"/>
    </row>
    <row r="929" spans="1:2" x14ac:dyDescent="0.25">
      <c r="A929" s="13"/>
      <c r="B929" s="13"/>
    </row>
    <row r="930" spans="1:2" x14ac:dyDescent="0.25">
      <c r="A930" s="13"/>
      <c r="B930" s="13"/>
    </row>
    <row r="931" spans="1:2" x14ac:dyDescent="0.25">
      <c r="A931" s="13"/>
      <c r="B931" s="13"/>
    </row>
    <row r="932" spans="1:2" x14ac:dyDescent="0.25">
      <c r="A932" s="13"/>
      <c r="B932" s="13"/>
    </row>
    <row r="933" spans="1:2" x14ac:dyDescent="0.25">
      <c r="A933" s="13"/>
      <c r="B933" s="13"/>
    </row>
    <row r="934" spans="1:2" x14ac:dyDescent="0.25">
      <c r="A934" s="13"/>
      <c r="B934" s="13"/>
    </row>
    <row r="935" spans="1:2" x14ac:dyDescent="0.25">
      <c r="A935" s="13"/>
      <c r="B935" s="13"/>
    </row>
    <row r="936" spans="1:2" x14ac:dyDescent="0.25">
      <c r="A936" s="13"/>
      <c r="B936" s="13"/>
    </row>
    <row r="937" spans="1:2" x14ac:dyDescent="0.25">
      <c r="A937" s="13"/>
      <c r="B937" s="13"/>
    </row>
    <row r="938" spans="1:2" x14ac:dyDescent="0.25">
      <c r="A938" s="13"/>
      <c r="B938" s="13"/>
    </row>
    <row r="939" spans="1:2" x14ac:dyDescent="0.25">
      <c r="A939" s="13"/>
      <c r="B939" s="13"/>
    </row>
    <row r="940" spans="1:2" x14ac:dyDescent="0.25">
      <c r="A940" s="13"/>
      <c r="B940" s="13"/>
    </row>
    <row r="941" spans="1:2" x14ac:dyDescent="0.25">
      <c r="A941" s="13"/>
      <c r="B941" s="13"/>
    </row>
    <row r="942" spans="1:2" x14ac:dyDescent="0.25">
      <c r="A942" s="13"/>
      <c r="B942" s="13"/>
    </row>
    <row r="943" spans="1:2" x14ac:dyDescent="0.25">
      <c r="A943" s="13"/>
      <c r="B943" s="13"/>
    </row>
    <row r="944" spans="1:2" x14ac:dyDescent="0.25">
      <c r="A944" s="13"/>
      <c r="B944" s="13"/>
    </row>
    <row r="945" spans="1:2" x14ac:dyDescent="0.25">
      <c r="A945" s="13"/>
      <c r="B945" s="13"/>
    </row>
    <row r="946" spans="1:2" x14ac:dyDescent="0.25">
      <c r="A946" s="13"/>
      <c r="B946" s="13"/>
    </row>
    <row r="947" spans="1:2" x14ac:dyDescent="0.25">
      <c r="A947" s="13"/>
      <c r="B947" s="13"/>
    </row>
    <row r="948" spans="1:2" x14ac:dyDescent="0.25">
      <c r="A948" s="13"/>
      <c r="B948" s="13"/>
    </row>
    <row r="949" spans="1:2" x14ac:dyDescent="0.25">
      <c r="A949" s="13"/>
      <c r="B949" s="13"/>
    </row>
    <row r="950" spans="1:2" x14ac:dyDescent="0.25">
      <c r="A950" s="13"/>
      <c r="B950" s="13"/>
    </row>
    <row r="951" spans="1:2" x14ac:dyDescent="0.25">
      <c r="A951" s="13"/>
      <c r="B951" s="13"/>
    </row>
    <row r="952" spans="1:2" x14ac:dyDescent="0.25">
      <c r="A952" s="13"/>
      <c r="B952" s="13"/>
    </row>
    <row r="953" spans="1:2" x14ac:dyDescent="0.25">
      <c r="A953" s="13"/>
      <c r="B953" s="13"/>
    </row>
    <row r="954" spans="1:2" x14ac:dyDescent="0.25">
      <c r="A954" s="13"/>
      <c r="B954" s="13"/>
    </row>
    <row r="955" spans="1:2" x14ac:dyDescent="0.25">
      <c r="A955" s="13"/>
      <c r="B955" s="13"/>
    </row>
    <row r="956" spans="1:2" x14ac:dyDescent="0.25">
      <c r="A956" s="13"/>
      <c r="B956" s="13"/>
    </row>
    <row r="957" spans="1:2" x14ac:dyDescent="0.25">
      <c r="A957" s="13"/>
      <c r="B957" s="13"/>
    </row>
    <row r="958" spans="1:2" x14ac:dyDescent="0.25">
      <c r="A958" s="13"/>
      <c r="B958" s="13"/>
    </row>
    <row r="959" spans="1:2" x14ac:dyDescent="0.25">
      <c r="A959" s="13"/>
      <c r="B959" s="13"/>
    </row>
    <row r="960" spans="1:2" x14ac:dyDescent="0.25">
      <c r="A960" s="13"/>
      <c r="B960" s="13"/>
    </row>
    <row r="961" spans="1:2" x14ac:dyDescent="0.25">
      <c r="A961" s="13"/>
      <c r="B961" s="13"/>
    </row>
    <row r="962" spans="1:2" x14ac:dyDescent="0.25">
      <c r="A962" s="13"/>
      <c r="B962" s="13"/>
    </row>
    <row r="963" spans="1:2" x14ac:dyDescent="0.25">
      <c r="A963" s="13"/>
      <c r="B963" s="13"/>
    </row>
    <row r="964" spans="1:2" x14ac:dyDescent="0.25">
      <c r="A964" s="13"/>
      <c r="B964" s="13"/>
    </row>
    <row r="965" spans="1:2" x14ac:dyDescent="0.25">
      <c r="A965" s="13"/>
      <c r="B965" s="13"/>
    </row>
    <row r="966" spans="1:2" x14ac:dyDescent="0.25">
      <c r="A966" s="13"/>
      <c r="B966" s="13"/>
    </row>
    <row r="967" spans="1:2" x14ac:dyDescent="0.25">
      <c r="A967" s="13"/>
      <c r="B967" s="13"/>
    </row>
    <row r="968" spans="1:2" x14ac:dyDescent="0.25">
      <c r="A968" s="13"/>
      <c r="B968" s="13"/>
    </row>
    <row r="969" spans="1:2" x14ac:dyDescent="0.25">
      <c r="A969" s="13"/>
      <c r="B969" s="13"/>
    </row>
    <row r="970" spans="1:2" x14ac:dyDescent="0.25">
      <c r="A970" s="13"/>
      <c r="B970" s="13"/>
    </row>
    <row r="971" spans="1:2" x14ac:dyDescent="0.25">
      <c r="A971" s="13"/>
      <c r="B971" s="13"/>
    </row>
    <row r="972" spans="1:2" x14ac:dyDescent="0.25">
      <c r="A972" s="13"/>
      <c r="B972" s="13"/>
    </row>
    <row r="973" spans="1:2" x14ac:dyDescent="0.25">
      <c r="A973" s="13"/>
      <c r="B973" s="13"/>
    </row>
    <row r="974" spans="1:2" x14ac:dyDescent="0.25">
      <c r="A974" s="13"/>
      <c r="B974" s="13"/>
    </row>
    <row r="975" spans="1:2" x14ac:dyDescent="0.25">
      <c r="A975" s="13"/>
      <c r="B975" s="13"/>
    </row>
    <row r="976" spans="1:2" x14ac:dyDescent="0.25">
      <c r="A976" s="13"/>
      <c r="B976" s="13"/>
    </row>
    <row r="977" spans="1:2" x14ac:dyDescent="0.25">
      <c r="A977" s="13"/>
      <c r="B977" s="13"/>
    </row>
    <row r="978" spans="1:2" x14ac:dyDescent="0.25">
      <c r="A978" s="13"/>
      <c r="B978" s="13"/>
    </row>
    <row r="979" spans="1:2" x14ac:dyDescent="0.25">
      <c r="A979" s="13"/>
      <c r="B979" s="13"/>
    </row>
    <row r="980" spans="1:2" x14ac:dyDescent="0.25">
      <c r="A980" s="13"/>
      <c r="B980" s="13"/>
    </row>
    <row r="981" spans="1:2" x14ac:dyDescent="0.25">
      <c r="A981" s="13"/>
      <c r="B981" s="13"/>
    </row>
    <row r="982" spans="1:2" x14ac:dyDescent="0.25">
      <c r="A982" s="13"/>
      <c r="B982" s="13"/>
    </row>
    <row r="983" spans="1:2" x14ac:dyDescent="0.25">
      <c r="A983" s="13"/>
      <c r="B983" s="13"/>
    </row>
    <row r="984" spans="1:2" x14ac:dyDescent="0.25">
      <c r="A984" s="13"/>
      <c r="B984" s="13"/>
    </row>
    <row r="985" spans="1:2" x14ac:dyDescent="0.25">
      <c r="A985" s="13"/>
      <c r="B985" s="13"/>
    </row>
    <row r="986" spans="1:2" x14ac:dyDescent="0.25">
      <c r="A986" s="13"/>
      <c r="B986" s="13"/>
    </row>
    <row r="987" spans="1:2" x14ac:dyDescent="0.25">
      <c r="A987" s="13"/>
      <c r="B987" s="13"/>
    </row>
    <row r="988" spans="1:2" x14ac:dyDescent="0.25">
      <c r="A988" s="13"/>
      <c r="B988" s="13"/>
    </row>
    <row r="989" spans="1:2" x14ac:dyDescent="0.25">
      <c r="A989" s="13"/>
      <c r="B989" s="13"/>
    </row>
    <row r="990" spans="1:2" x14ac:dyDescent="0.25">
      <c r="A990" s="13"/>
      <c r="B990" s="13"/>
    </row>
    <row r="991" spans="1:2" x14ac:dyDescent="0.25">
      <c r="A991" s="13"/>
      <c r="B991" s="13"/>
    </row>
    <row r="992" spans="1:2" x14ac:dyDescent="0.25">
      <c r="A992" s="13"/>
      <c r="B992" s="13"/>
    </row>
    <row r="993" spans="1:2" x14ac:dyDescent="0.25">
      <c r="A993" s="13"/>
      <c r="B993" s="13"/>
    </row>
    <row r="994" spans="1:2" x14ac:dyDescent="0.25">
      <c r="A994" s="13"/>
      <c r="B994" s="13"/>
    </row>
    <row r="995" spans="1:2" x14ac:dyDescent="0.25">
      <c r="A995" s="13"/>
      <c r="B995" s="13"/>
    </row>
    <row r="996" spans="1:2" x14ac:dyDescent="0.25">
      <c r="A996" s="13"/>
      <c r="B996" s="13"/>
    </row>
    <row r="997" spans="1:2" x14ac:dyDescent="0.25">
      <c r="A997" s="13"/>
      <c r="B997" s="13"/>
    </row>
    <row r="998" spans="1:2" x14ac:dyDescent="0.25">
      <c r="A998" s="13"/>
      <c r="B998" s="13"/>
    </row>
    <row r="999" spans="1:2" x14ac:dyDescent="0.25">
      <c r="A999" s="13"/>
      <c r="B999" s="13"/>
    </row>
    <row r="1000" spans="1:2" x14ac:dyDescent="0.25">
      <c r="A1000" s="13"/>
      <c r="B1000" s="13"/>
    </row>
  </sheetData>
  <mergeCells count="8">
    <mergeCell ref="A19:B19"/>
    <mergeCell ref="A15:B15"/>
    <mergeCell ref="A17:B17"/>
    <mergeCell ref="A5:B5"/>
    <mergeCell ref="A7:B7"/>
    <mergeCell ref="A9:B9"/>
    <mergeCell ref="A11:B11"/>
    <mergeCell ref="A13:B13"/>
  </mergeCells>
  <conditionalFormatting sqref="D6:T100000">
    <cfRule type="expression" dxfId="6" priority="3">
      <formula>ROW($D6)&lt;= COUNTA($D$6:$D$100002)+5</formula>
    </cfRule>
  </conditionalFormatting>
  <conditionalFormatting sqref="D6:D100000">
    <cfRule type="expression" dxfId="5" priority="2">
      <formula>ROW($D6)&lt;= COUNTA($D$6:$D$100002)+5</formula>
    </cfRule>
  </conditionalFormatting>
  <conditionalFormatting sqref="T6:T100000">
    <cfRule type="expression" dxfId="4" priority="1">
      <formula>ROW($D6)&lt;= COUNTA($D$6:$D$100002)+5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DE8A5-F8C1-43BF-975D-6F1C605F8BE5}">
  <sheetPr codeName="rename">
    <tabColor rgb="FFC00000"/>
  </sheetPr>
  <dimension ref="A1:AF1999"/>
  <sheetViews>
    <sheetView showGridLines="0" showRowColHeaders="0" workbookViewId="0">
      <selection activeCell="J24" sqref="J24"/>
    </sheetView>
  </sheetViews>
  <sheetFormatPr defaultRowHeight="15" outlineLevelCol="2" x14ac:dyDescent="0.25"/>
  <cols>
    <col min="1" max="1" width="5" customWidth="1"/>
    <col min="2" max="2" width="13.28515625" customWidth="1"/>
    <col min="3" max="3" width="3.7109375" customWidth="1"/>
    <col min="4" max="4" width="31.5703125" bestFit="1" customWidth="1"/>
    <col min="5" max="5" width="9.5703125" bestFit="1" customWidth="1"/>
    <col min="6" max="6" width="13.28515625" bestFit="1" customWidth="1"/>
    <col min="7" max="7" width="10.140625" bestFit="1" customWidth="1"/>
    <col min="8" max="8" width="9.42578125" bestFit="1" customWidth="1"/>
    <col min="9" max="9" width="10" bestFit="1" customWidth="1"/>
    <col min="10" max="10" width="13.140625" bestFit="1" customWidth="1"/>
    <col min="11" max="11" width="27.42578125" bestFit="1" customWidth="1"/>
    <col min="12" max="12" width="41.7109375" bestFit="1" customWidth="1"/>
    <col min="13" max="13" width="20.28515625" bestFit="1" customWidth="1"/>
    <col min="14" max="20" width="8.28515625" customWidth="1" outlineLevel="2"/>
    <col min="21" max="27" width="14.42578125" bestFit="1" customWidth="1" outlineLevel="1"/>
    <col min="28" max="28" width="17.42578125" bestFit="1" customWidth="1" outlineLevel="1"/>
    <col min="29" max="29" width="11" bestFit="1" customWidth="1"/>
    <col min="30" max="30" width="50.5703125" bestFit="1" customWidth="1"/>
    <col min="31" max="31" width="70.42578125" bestFit="1" customWidth="1"/>
    <col min="32" max="32" width="72.28515625" bestFit="1" customWidth="1"/>
  </cols>
  <sheetData>
    <row r="1" spans="1:32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4" t="s">
        <v>0</v>
      </c>
    </row>
    <row r="2" spans="1:32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4" t="s">
        <v>1</v>
      </c>
    </row>
    <row r="3" spans="1:32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</row>
    <row r="4" spans="1:32" x14ac:dyDescent="0.25">
      <c r="A4" s="13"/>
      <c r="B4" s="14"/>
      <c r="U4" t="str" cm="1">
        <f t="array" ref="U4">IFERROR(_xlfn.TEXTJOIN(" &amp; ", TRUE, _xlfn.UNIQUE(_xlfn._xlws.FILTER(Renaming_Data[Size 1], Renaming_Data[Size 1] &lt;&gt; ""))), "")</f>
        <v/>
      </c>
      <c r="V4" t="str" cm="1">
        <f t="array" ref="V4">IFERROR(_xlfn.TEXTJOIN(" &amp; ", TRUE, _xlfn.UNIQUE(_xlfn._xlws.FILTER(Renaming_Data[Size 2], Renaming_Data[Size 2] &lt;&gt; ""))), "")</f>
        <v/>
      </c>
      <c r="W4" t="str" cm="1">
        <f t="array" ref="W4">IFERROR(_xlfn.TEXTJOIN(" &amp; ", TRUE, _xlfn.UNIQUE(_xlfn._xlws.FILTER(Renaming_Data[Size 3], Renaming_Data[Size 3] &lt;&gt; ""))), "")</f>
        <v/>
      </c>
      <c r="X4" t="str" cm="1">
        <f t="array" ref="X4">IFERROR(_xlfn.TEXTJOIN(" &amp; ", TRUE, _xlfn.UNIQUE(_xlfn._xlws.FILTER(Renaming_Data[Size 4], Renaming_Data[Size 4] &lt;&gt; ""))), "")</f>
        <v/>
      </c>
      <c r="Y4" t="str" cm="1">
        <f t="array" ref="Y4">IFERROR(_xlfn.TEXTJOIN(" &amp; ", TRUE, _xlfn.UNIQUE(_xlfn._xlws.FILTER(Renaming_Data[Size 5], Renaming_Data[Size 5] &lt;&gt; ""))), "")</f>
        <v/>
      </c>
      <c r="Z4" t="str" cm="1">
        <f t="array" ref="Z4">IFERROR(_xlfn.TEXTJOIN(" &amp; ", TRUE, _xlfn.UNIQUE(_xlfn._xlws.FILTER(Renaming_Data[Size 6], Renaming_Data[Size 6] &lt;&gt; ""))), "")</f>
        <v/>
      </c>
      <c r="AA4" t="str" cm="1">
        <f t="array" ref="AA4">IFERROR(_xlfn.TEXTJOIN(" &amp; ", TRUE, _xlfn.UNIQUE(_xlfn._xlws.FILTER(Renaming_Data[Size 7], Renaming_Data[Size 7] &lt;&gt; ""))), "")</f>
        <v/>
      </c>
      <c r="AB4" s="2" t="s">
        <v>2</v>
      </c>
    </row>
    <row r="5" spans="1:32" x14ac:dyDescent="0.25">
      <c r="A5" s="71" t="str">
        <f>HYPERLINK("#'Controls'!d4", "Controls")</f>
        <v>Controls</v>
      </c>
      <c r="B5" s="71"/>
      <c r="D5" t="s">
        <v>36</v>
      </c>
      <c r="E5" t="s">
        <v>3</v>
      </c>
      <c r="F5" t="s">
        <v>4</v>
      </c>
      <c r="G5" t="s">
        <v>5</v>
      </c>
      <c r="H5" t="s">
        <v>8</v>
      </c>
      <c r="I5" t="s">
        <v>6</v>
      </c>
      <c r="J5" t="s">
        <v>7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33</v>
      </c>
      <c r="R5" t="s">
        <v>15</v>
      </c>
      <c r="S5" t="s">
        <v>16</v>
      </c>
      <c r="T5" t="s">
        <v>37</v>
      </c>
      <c r="U5" t="s">
        <v>17</v>
      </c>
      <c r="V5" t="s">
        <v>18</v>
      </c>
      <c r="W5" t="s">
        <v>19</v>
      </c>
      <c r="X5" t="s">
        <v>20</v>
      </c>
      <c r="Y5" t="s">
        <v>21</v>
      </c>
      <c r="Z5" t="s">
        <v>22</v>
      </c>
      <c r="AA5" t="s">
        <v>49</v>
      </c>
      <c r="AB5" t="s">
        <v>23</v>
      </c>
      <c r="AC5" t="s">
        <v>40</v>
      </c>
      <c r="AD5" t="s">
        <v>42</v>
      </c>
      <c r="AE5" t="s">
        <v>41</v>
      </c>
      <c r="AF5" t="s">
        <v>24</v>
      </c>
    </row>
    <row r="6" spans="1:32" x14ac:dyDescent="0.25">
      <c r="A6" s="33"/>
      <c r="B6" s="34"/>
      <c r="N6" s="55"/>
      <c r="T6" s="56"/>
      <c r="U6" s="55" cm="1">
        <f t="array" ref="U6">_xlfn.XLOOKUP(Renaming_Data[[#This Row],[Style Code]:[Style Code]] &amp; Renaming_Data[[#This Row],[Colour]:[Colour]] &amp; Renaming_Data[[#This Row],[Size 1]], Item_Data[[Vendor Reference]:[Vendor Reference]] &amp; Item_Data[[Colours]:[Colours]] &amp; Item_Data[[Size 1]:[Size 1]], Item_Data[[Item No]:[Item No]], "")</f>
        <v>0</v>
      </c>
      <c r="V6" s="55" cm="1">
        <f t="array" ref="V6">_xlfn.XLOOKUP(Renaming_Data[[#This Row],[Style Code]:[Style Code]] &amp; Renaming_Data[[#This Row],[Colour]:[Colour]] &amp; Renaming_Data[[#This Row],[Size 2]], Item_Data[[Vendor Reference]:[Vendor Reference]] &amp; Item_Data[[Colours]:[Colours]] &amp; Item_Data[[Size 1]:[Size 1]], Item_Data[[Item No]:[Item No]], "")</f>
        <v>0</v>
      </c>
      <c r="W6" s="55" cm="1">
        <f t="array" ref="W6">_xlfn.XLOOKUP(Renaming_Data[[#This Row],[Style Code]:[Style Code]] &amp; Renaming_Data[[#This Row],[Colour]:[Colour]] &amp; Renaming_Data[[#This Row],[Size 3]], Item_Data[[Vendor Reference]:[Vendor Reference]] &amp; Item_Data[[Colours]:[Colours]] &amp; Item_Data[[Size 1]:[Size 1]], Item_Data[[Item No]:[Item No]], "")</f>
        <v>0</v>
      </c>
      <c r="X6" s="55" cm="1">
        <f t="array" ref="X6">_xlfn.XLOOKUP(Renaming_Data[[#This Row],[Style Code]:[Style Code]] &amp; Renaming_Data[[#This Row],[Colour]:[Colour]] &amp; Renaming_Data[[#This Row],[Size 4]], Item_Data[[Vendor Reference]:[Vendor Reference]] &amp; Item_Data[[Colours]:[Colours]] &amp; Item_Data[[Size 1]:[Size 1]], Item_Data[[Item No]:[Item No]], "")</f>
        <v>0</v>
      </c>
      <c r="Y6" s="55" cm="1">
        <f t="array" ref="Y6">_xlfn.XLOOKUP(Renaming_Data[[#This Row],[Style Code]:[Style Code]] &amp; Renaming_Data[[#This Row],[Colour]:[Colour]] &amp; Renaming_Data[[#This Row],[Size 5]], Item_Data[[Vendor Reference]:[Vendor Reference]] &amp; Item_Data[[Colours]:[Colours]] &amp; Item_Data[[Size 1]:[Size 1]], Item_Data[[Item No]:[Item No]], "")</f>
        <v>0</v>
      </c>
      <c r="Z6" s="55" cm="1">
        <f t="array" ref="Z6">_xlfn.XLOOKUP(Renaming_Data[[#This Row],[Style Code]:[Style Code]] &amp; Renaming_Data[[#This Row],[Colour]:[Colour]] &amp; Renaming_Data[[#This Row],[Size 6]], Item_Data[[Vendor Reference]:[Vendor Reference]] &amp; Item_Data[[Colours]:[Colours]] &amp; Item_Data[[Size 1]:[Size 1]], Item_Data[[Item No]:[Item No]], "")</f>
        <v>0</v>
      </c>
      <c r="AA6" s="55" cm="1">
        <f t="array" ref="AA6">_xlfn.XLOOKUP(Renaming_Data[[#This Row],[Style Code]:[Style Code]] &amp; Renaming_Data[[#This Row],[Colour]:[Colour]] &amp; Renaming_Data[[#This Row],[Size 7]], Item_Data[[Vendor Reference]:[Vendor Reference]] &amp; Item_Data[[Colours]:[Colours]] &amp; Item_Data[[Size 1]:[Size 1]], Item_Data[[Item No]:[Item No]], "")</f>
        <v>0</v>
      </c>
      <c r="AB6" s="56" t="str" cm="1">
        <f t="array" ref="AB6">_xlfn.LET(_xlpm.D2CList, _xlfn.UNIQUE(_xlfn._xlws.FILTER(Item_Data[D2C Master SKU], (Item_Data[D2C Master SKU] &lt;&gt; "") * (Item_Data[Vendor Reference] = Renaming_Data[[#This Row],[Style Code]]) * (Item_Data[Colours] = Renaming_Data[[#This Row],[Colour]]))),
IFERROR(IF(COUNTA(_xlpm.D2CList) &gt; 1, "D2C Codes &gt; 1", _xlpm.D2CList), "No D2C Code"))</f>
        <v>No D2C Code</v>
      </c>
      <c r="AC6" s="1">
        <v>411.6943359375</v>
      </c>
      <c r="AD6" t="s">
        <v>29</v>
      </c>
      <c r="AE6" t="s">
        <v>138</v>
      </c>
      <c r="AF6" t="str" cm="1">
        <f t="array" ref="AF6" xml:space="preserve"> _xlfn.LET(
    _xlpm.Customer, _xlfn.TEXTJOIN("_", TRUE, Renaming_Data[[#This Row],[Brand]], Renaming_Data[[#This Row],[Gender]], Renaming_Data[[#This Row],[Description 2]], Renaming_Data[[#This Row],[Colour]]),
    _xlpm.SizeRef, IFERROR(_xlfn.XMATCH($AF$2, $U$4:$AB$4, 0), 9),
    _xlpm.Code, CHOOSE(_xlpm.SizeRef,
        Renaming_Data[[#This Row],[Size 1 Code]], Renaming_Data[[#This Row],[Size 2 Code]], Renaming_Data[[#This Row],[Size 3 Code]], Renaming_Data[[#This Row],[Size 4 Code]],
        Renaming_Data[[#This Row],[Size 5 Code]], Renaming_Data[[#This Row],[Size 6 Code]], Renaming_Data[[#This Row],[Size 7 Code]], Renaming_Data[[#This Row],[D2C Code]]
    ),
    _xlpm.Shot, _xlfn.IFS(
        OR(Renaming_Data[[#This Row],[Shot]] = "", Renaming_Data[[#This Row],[Shot]] = "A"), "",
        ISNUMBER(VALUE(Renaming_Data[[#This Row],[Shot]])), Renaming_Data[[#This Row],[Shot]],
        TRUE, CODE(UPPER(Renaming_Data[[#This Row],[Shot]])) - 65
    ),
    IFERROR(
        _xlfn.IFS(
            AND(_xlpm.SizeRef = 1, Renaming_Data[[#This Row],[Size 1]] = ""), "",
            AND(_xlpm.SizeRef = 2, Renaming_Data[[#This Row],[Size 2]] = ""), "",
            AND(_xlpm.SizeRef = 3, Renaming_Data[[#This Row],[Size 3]] = ""), "",
            AND(_xlpm.SizeRef = 4, Renaming_Data[[#This Row],[Size 4]] = ""), "",
            AND(_xlpm.SizeRef = 5, Renaming_Data[[#This Row],[Size 5]] = ""), "",
            AND(_xlpm.SizeRef = 6, Renaming_Data[[#This Row],[Size 6]] = ""), "",
            AND(_xlpm.SizeRef = 7, Renaming_Data[[#This Row],[Size 7]] = ""), "",
            AND(_xlpm.SizeRef = 8, OR(
                Renaming_Data[[#This Row],[D2C Code]] = "",
                Renaming_Data[[#This Row],[D2C Code]] = "D2C Codes &gt; 1",
                Renaming_Data[[#This Row],[D2C Code]] = "No D2C Code"
            )), "",
            TRUE, SUBSTITUTE(
                SUBSTITUTE(
                    SUBSTITUTE(
                        SUBSTITUTE(
                            SUBSTITUTE(
                                SUBSTITUTE(
                                    SUBSTITUTE(
                                        SUBSTITUTE(
                                            IF(
                                                $AF$2 = "Customers", _xlpm.Customer, _xlpm.Code
                                            ) &amp;
                                            IF(_xlpm.Shot &lt;&gt; "", "_" &amp; _xlpm.Shot, "") &amp;
                                            "." &amp; _xlfn.TEXTAFTER(Renaming_Data[[#This Row],[Name]], "."),
                                            "\", ""
                                        ), "/", ""
                                    ), ":", ""
                                ), "*", ""
                            ), "?", ""
                        ), _xlfn.UNICHAR(34), ""
                    ), "&lt;", ""
                ), "&gt;", ""
            )
        ), ""
    )
)</f>
        <v>_1.jpg</v>
      </c>
    </row>
    <row r="7" spans="1:32" x14ac:dyDescent="0.25">
      <c r="A7" s="71" t="str">
        <f>HYPERLINK("#'Line List'!d4", "Line List")</f>
        <v>Line List</v>
      </c>
      <c r="B7" s="71"/>
    </row>
    <row r="8" spans="1:32" x14ac:dyDescent="0.25">
      <c r="A8" s="33"/>
      <c r="B8" s="34"/>
    </row>
    <row r="9" spans="1:32" x14ac:dyDescent="0.25">
      <c r="A9" s="71" t="str">
        <f>HYPERLINK("#'Image Data'!D4", "Img Data")</f>
        <v>Img Data</v>
      </c>
      <c r="B9" s="71"/>
    </row>
    <row r="10" spans="1:32" x14ac:dyDescent="0.25">
      <c r="A10" s="33"/>
      <c r="B10" s="34"/>
    </row>
    <row r="11" spans="1:32" x14ac:dyDescent="0.25">
      <c r="A11" s="71" t="str">
        <f>HYPERLINK("#'Image Syle Not in Line List'!D4", "Img Style!=")</f>
        <v>Img Style!=</v>
      </c>
      <c r="B11" s="71"/>
    </row>
    <row r="12" spans="1:32" x14ac:dyDescent="0.25">
      <c r="A12" s="33"/>
      <c r="B12" s="34"/>
    </row>
    <row r="13" spans="1:32" x14ac:dyDescent="0.25">
      <c r="A13" s="71" t="str">
        <f>HYPERLINK("#'Images Not in Line List'!D4", "Img != List")</f>
        <v>Img != List</v>
      </c>
      <c r="B13" s="71"/>
    </row>
    <row r="14" spans="1:32" x14ac:dyDescent="0.25">
      <c r="A14" s="33"/>
      <c r="B14" s="34"/>
    </row>
    <row r="15" spans="1:32" x14ac:dyDescent="0.25">
      <c r="A15" s="71" t="str">
        <f>HYPERLINK("#'Line List Not in Images'!D4", "List != Img")</f>
        <v>List != Img</v>
      </c>
      <c r="B15" s="71"/>
    </row>
    <row r="16" spans="1:32" x14ac:dyDescent="0.25">
      <c r="A16" s="33"/>
      <c r="B16" s="34"/>
    </row>
    <row r="17" spans="1:2" x14ac:dyDescent="0.25">
      <c r="A17" s="71" t="str">
        <f>HYPERLINK("#'Renaming Data'!D4", "Renaming")</f>
        <v>Renaming</v>
      </c>
      <c r="B17" s="71"/>
    </row>
    <row r="18" spans="1:2" x14ac:dyDescent="0.25">
      <c r="A18" s="13"/>
      <c r="B18" s="13"/>
    </row>
    <row r="19" spans="1:2" x14ac:dyDescent="0.25">
      <c r="A19" s="71" t="str">
        <f>HYPERLINK("#'Execution Log'!D4", "Exec Log")</f>
        <v>Exec Log</v>
      </c>
      <c r="B19" s="71"/>
    </row>
    <row r="20" spans="1:2" x14ac:dyDescent="0.25">
      <c r="A20" s="13"/>
      <c r="B20" s="13"/>
    </row>
    <row r="21" spans="1:2" x14ac:dyDescent="0.25">
      <c r="A21" s="13"/>
      <c r="B21" s="13"/>
    </row>
    <row r="22" spans="1:2" x14ac:dyDescent="0.25">
      <c r="A22" s="13"/>
      <c r="B22" s="13"/>
    </row>
    <row r="23" spans="1:2" x14ac:dyDescent="0.25">
      <c r="A23" s="13"/>
      <c r="B23" s="13"/>
    </row>
    <row r="24" spans="1:2" x14ac:dyDescent="0.25">
      <c r="A24" s="13"/>
      <c r="B24" s="13"/>
    </row>
    <row r="25" spans="1:2" x14ac:dyDescent="0.25">
      <c r="A25" s="13"/>
      <c r="B25" s="13"/>
    </row>
    <row r="26" spans="1:2" x14ac:dyDescent="0.25">
      <c r="A26" s="13"/>
      <c r="B26" s="13"/>
    </row>
    <row r="27" spans="1:2" x14ac:dyDescent="0.25">
      <c r="A27" s="13"/>
      <c r="B27" s="13"/>
    </row>
    <row r="28" spans="1:2" x14ac:dyDescent="0.25">
      <c r="A28" s="13"/>
      <c r="B28" s="13"/>
    </row>
    <row r="29" spans="1:2" x14ac:dyDescent="0.25">
      <c r="A29" s="13"/>
      <c r="B29" s="13"/>
    </row>
    <row r="30" spans="1:2" x14ac:dyDescent="0.25">
      <c r="A30" s="13"/>
      <c r="B30" s="13"/>
    </row>
    <row r="31" spans="1:2" x14ac:dyDescent="0.25">
      <c r="A31" s="13"/>
      <c r="B31" s="13"/>
    </row>
    <row r="32" spans="1:2" x14ac:dyDescent="0.25">
      <c r="A32" s="13"/>
      <c r="B32" s="13"/>
    </row>
    <row r="33" spans="1:2" x14ac:dyDescent="0.25">
      <c r="A33" s="13"/>
      <c r="B33" s="13"/>
    </row>
    <row r="34" spans="1:2" x14ac:dyDescent="0.25">
      <c r="A34" s="13"/>
      <c r="B34" s="13"/>
    </row>
    <row r="35" spans="1:2" x14ac:dyDescent="0.25">
      <c r="A35" s="13"/>
      <c r="B35" s="13"/>
    </row>
    <row r="36" spans="1:2" x14ac:dyDescent="0.25">
      <c r="A36" s="13"/>
      <c r="B36" s="13"/>
    </row>
    <row r="37" spans="1:2" x14ac:dyDescent="0.25">
      <c r="A37" s="13"/>
      <c r="B37" s="13"/>
    </row>
    <row r="38" spans="1:2" x14ac:dyDescent="0.25">
      <c r="A38" s="13"/>
      <c r="B38" s="13"/>
    </row>
    <row r="39" spans="1:2" x14ac:dyDescent="0.25">
      <c r="A39" s="13"/>
      <c r="B39" s="13"/>
    </row>
    <row r="40" spans="1:2" x14ac:dyDescent="0.25">
      <c r="A40" s="13"/>
      <c r="B40" s="13"/>
    </row>
    <row r="41" spans="1:2" x14ac:dyDescent="0.25">
      <c r="A41" s="13"/>
      <c r="B41" s="13"/>
    </row>
    <row r="42" spans="1:2" x14ac:dyDescent="0.25">
      <c r="A42" s="13"/>
      <c r="B42" s="13"/>
    </row>
    <row r="43" spans="1:2" x14ac:dyDescent="0.25">
      <c r="A43" s="13"/>
      <c r="B43" s="13"/>
    </row>
    <row r="44" spans="1:2" x14ac:dyDescent="0.25">
      <c r="A44" s="13"/>
      <c r="B44" s="13"/>
    </row>
    <row r="45" spans="1:2" x14ac:dyDescent="0.25">
      <c r="A45" s="13"/>
      <c r="B45" s="13"/>
    </row>
    <row r="46" spans="1:2" x14ac:dyDescent="0.25">
      <c r="A46" s="13"/>
      <c r="B46" s="13"/>
    </row>
    <row r="47" spans="1:2" x14ac:dyDescent="0.25">
      <c r="A47" s="13"/>
      <c r="B47" s="13"/>
    </row>
    <row r="48" spans="1:2" x14ac:dyDescent="0.25">
      <c r="A48" s="13"/>
      <c r="B48" s="13"/>
    </row>
    <row r="49" spans="1:2" x14ac:dyDescent="0.25">
      <c r="A49" s="13"/>
      <c r="B49" s="13"/>
    </row>
    <row r="50" spans="1:2" x14ac:dyDescent="0.25">
      <c r="A50" s="13"/>
      <c r="B50" s="13"/>
    </row>
    <row r="51" spans="1:2" x14ac:dyDescent="0.25">
      <c r="A51" s="13"/>
      <c r="B51" s="13"/>
    </row>
    <row r="52" spans="1:2" x14ac:dyDescent="0.25">
      <c r="A52" s="13"/>
      <c r="B52" s="13"/>
    </row>
    <row r="53" spans="1:2" x14ac:dyDescent="0.25">
      <c r="A53" s="13"/>
      <c r="B53" s="13"/>
    </row>
    <row r="54" spans="1:2" x14ac:dyDescent="0.25">
      <c r="A54" s="13"/>
      <c r="B54" s="13"/>
    </row>
    <row r="55" spans="1:2" x14ac:dyDescent="0.25">
      <c r="A55" s="13"/>
      <c r="B55" s="13"/>
    </row>
    <row r="56" spans="1:2" x14ac:dyDescent="0.25">
      <c r="A56" s="13"/>
      <c r="B56" s="13"/>
    </row>
    <row r="57" spans="1:2" x14ac:dyDescent="0.25">
      <c r="A57" s="13"/>
      <c r="B57" s="13"/>
    </row>
    <row r="58" spans="1:2" x14ac:dyDescent="0.25">
      <c r="A58" s="13"/>
      <c r="B58" s="13"/>
    </row>
    <row r="59" spans="1:2" x14ac:dyDescent="0.25">
      <c r="A59" s="13"/>
      <c r="B59" s="13"/>
    </row>
    <row r="60" spans="1:2" x14ac:dyDescent="0.25">
      <c r="A60" s="13"/>
      <c r="B60" s="13"/>
    </row>
    <row r="61" spans="1:2" x14ac:dyDescent="0.25">
      <c r="A61" s="13"/>
      <c r="B61" s="13"/>
    </row>
    <row r="62" spans="1:2" x14ac:dyDescent="0.25">
      <c r="A62" s="13"/>
      <c r="B62" s="13"/>
    </row>
    <row r="63" spans="1:2" x14ac:dyDescent="0.25">
      <c r="A63" s="13"/>
      <c r="B63" s="13"/>
    </row>
    <row r="64" spans="1:2" x14ac:dyDescent="0.25">
      <c r="A64" s="13"/>
      <c r="B64" s="13"/>
    </row>
    <row r="65" spans="1:2" x14ac:dyDescent="0.25">
      <c r="A65" s="13"/>
      <c r="B65" s="13"/>
    </row>
    <row r="66" spans="1:2" x14ac:dyDescent="0.25">
      <c r="A66" s="13"/>
      <c r="B66" s="13"/>
    </row>
    <row r="67" spans="1:2" x14ac:dyDescent="0.25">
      <c r="A67" s="13"/>
      <c r="B67" s="13"/>
    </row>
    <row r="68" spans="1:2" x14ac:dyDescent="0.25">
      <c r="A68" s="13"/>
      <c r="B68" s="13"/>
    </row>
    <row r="69" spans="1:2" x14ac:dyDescent="0.25">
      <c r="A69" s="13"/>
      <c r="B69" s="13"/>
    </row>
    <row r="70" spans="1:2" x14ac:dyDescent="0.25">
      <c r="A70" s="13"/>
      <c r="B70" s="13"/>
    </row>
    <row r="71" spans="1:2" x14ac:dyDescent="0.25">
      <c r="A71" s="13"/>
      <c r="B71" s="13"/>
    </row>
    <row r="72" spans="1:2" x14ac:dyDescent="0.25">
      <c r="A72" s="13"/>
      <c r="B72" s="13"/>
    </row>
    <row r="73" spans="1:2" x14ac:dyDescent="0.25">
      <c r="A73" s="13"/>
      <c r="B73" s="13"/>
    </row>
    <row r="74" spans="1:2" x14ac:dyDescent="0.25">
      <c r="A74" s="13"/>
      <c r="B74" s="13"/>
    </row>
    <row r="75" spans="1:2" x14ac:dyDescent="0.25">
      <c r="A75" s="13"/>
      <c r="B75" s="13"/>
    </row>
    <row r="76" spans="1:2" x14ac:dyDescent="0.25">
      <c r="A76" s="13"/>
      <c r="B76" s="13"/>
    </row>
    <row r="77" spans="1:2" x14ac:dyDescent="0.25">
      <c r="A77" s="13"/>
      <c r="B77" s="13"/>
    </row>
    <row r="78" spans="1:2" x14ac:dyDescent="0.25">
      <c r="A78" s="13"/>
      <c r="B78" s="13"/>
    </row>
    <row r="79" spans="1:2" x14ac:dyDescent="0.25">
      <c r="A79" s="13"/>
      <c r="B79" s="13"/>
    </row>
    <row r="80" spans="1:2" x14ac:dyDescent="0.25">
      <c r="A80" s="13"/>
      <c r="B80" s="13"/>
    </row>
    <row r="81" spans="1:2" x14ac:dyDescent="0.25">
      <c r="A81" s="13"/>
      <c r="B81" s="13"/>
    </row>
    <row r="82" spans="1:2" x14ac:dyDescent="0.25">
      <c r="A82" s="13"/>
      <c r="B82" s="13"/>
    </row>
    <row r="83" spans="1:2" x14ac:dyDescent="0.25">
      <c r="A83" s="13"/>
      <c r="B83" s="13"/>
    </row>
    <row r="84" spans="1:2" x14ac:dyDescent="0.25">
      <c r="A84" s="13"/>
      <c r="B84" s="13"/>
    </row>
    <row r="85" spans="1:2" x14ac:dyDescent="0.25">
      <c r="A85" s="13"/>
      <c r="B85" s="13"/>
    </row>
    <row r="86" spans="1:2" x14ac:dyDescent="0.25">
      <c r="A86" s="13"/>
      <c r="B86" s="13"/>
    </row>
    <row r="87" spans="1:2" x14ac:dyDescent="0.25">
      <c r="A87" s="13"/>
      <c r="B87" s="13"/>
    </row>
    <row r="88" spans="1:2" x14ac:dyDescent="0.25">
      <c r="A88" s="13"/>
      <c r="B88" s="13"/>
    </row>
    <row r="89" spans="1:2" x14ac:dyDescent="0.25">
      <c r="A89" s="13"/>
      <c r="B89" s="13"/>
    </row>
    <row r="90" spans="1:2" x14ac:dyDescent="0.25">
      <c r="A90" s="13"/>
      <c r="B90" s="13"/>
    </row>
    <row r="91" spans="1:2" x14ac:dyDescent="0.25">
      <c r="A91" s="13"/>
      <c r="B91" s="13"/>
    </row>
    <row r="92" spans="1:2" x14ac:dyDescent="0.25">
      <c r="A92" s="13"/>
      <c r="B92" s="13"/>
    </row>
    <row r="93" spans="1:2" x14ac:dyDescent="0.25">
      <c r="A93" s="13"/>
      <c r="B93" s="13"/>
    </row>
    <row r="94" spans="1:2" x14ac:dyDescent="0.25">
      <c r="A94" s="13"/>
      <c r="B94" s="13"/>
    </row>
    <row r="95" spans="1:2" x14ac:dyDescent="0.25">
      <c r="A95" s="13"/>
      <c r="B95" s="13"/>
    </row>
    <row r="96" spans="1:2" x14ac:dyDescent="0.25">
      <c r="A96" s="13"/>
      <c r="B96" s="13"/>
    </row>
    <row r="97" spans="1:2" x14ac:dyDescent="0.25">
      <c r="A97" s="13"/>
      <c r="B97" s="13"/>
    </row>
    <row r="98" spans="1:2" x14ac:dyDescent="0.25">
      <c r="A98" s="13"/>
      <c r="B98" s="13"/>
    </row>
    <row r="99" spans="1:2" x14ac:dyDescent="0.25">
      <c r="A99" s="13"/>
      <c r="B99" s="13"/>
    </row>
    <row r="100" spans="1:2" x14ac:dyDescent="0.25">
      <c r="A100" s="13"/>
      <c r="B100" s="13"/>
    </row>
    <row r="101" spans="1:2" x14ac:dyDescent="0.25">
      <c r="A101" s="13"/>
      <c r="B101" s="13"/>
    </row>
    <row r="102" spans="1:2" x14ac:dyDescent="0.25">
      <c r="A102" s="13"/>
      <c r="B102" s="13"/>
    </row>
    <row r="103" spans="1:2" x14ac:dyDescent="0.25">
      <c r="A103" s="13"/>
      <c r="B103" s="13"/>
    </row>
    <row r="104" spans="1:2" x14ac:dyDescent="0.25">
      <c r="A104" s="13"/>
      <c r="B104" s="13"/>
    </row>
    <row r="105" spans="1:2" x14ac:dyDescent="0.25">
      <c r="A105" s="13"/>
      <c r="B105" s="13"/>
    </row>
    <row r="106" spans="1:2" x14ac:dyDescent="0.25">
      <c r="A106" s="13"/>
      <c r="B106" s="13"/>
    </row>
    <row r="107" spans="1:2" x14ac:dyDescent="0.25">
      <c r="A107" s="13"/>
      <c r="B107" s="13"/>
    </row>
    <row r="108" spans="1:2" x14ac:dyDescent="0.25">
      <c r="A108" s="13"/>
      <c r="B108" s="13"/>
    </row>
    <row r="109" spans="1:2" x14ac:dyDescent="0.25">
      <c r="A109" s="13"/>
      <c r="B109" s="13"/>
    </row>
    <row r="110" spans="1:2" x14ac:dyDescent="0.25">
      <c r="A110" s="13"/>
      <c r="B110" s="13"/>
    </row>
    <row r="111" spans="1:2" x14ac:dyDescent="0.25">
      <c r="A111" s="13"/>
      <c r="B111" s="13"/>
    </row>
    <row r="112" spans="1:2" x14ac:dyDescent="0.25">
      <c r="A112" s="13"/>
      <c r="B112" s="13"/>
    </row>
    <row r="113" spans="1:2" x14ac:dyDescent="0.25">
      <c r="A113" s="13"/>
      <c r="B113" s="13"/>
    </row>
    <row r="114" spans="1:2" x14ac:dyDescent="0.25">
      <c r="A114" s="13"/>
      <c r="B114" s="13"/>
    </row>
    <row r="115" spans="1:2" x14ac:dyDescent="0.25">
      <c r="A115" s="13"/>
      <c r="B115" s="13"/>
    </row>
    <row r="116" spans="1:2" x14ac:dyDescent="0.25">
      <c r="A116" s="13"/>
      <c r="B116" s="13"/>
    </row>
    <row r="117" spans="1:2" x14ac:dyDescent="0.25">
      <c r="A117" s="13"/>
      <c r="B117" s="13"/>
    </row>
    <row r="118" spans="1:2" x14ac:dyDescent="0.25">
      <c r="A118" s="13"/>
      <c r="B118" s="13"/>
    </row>
    <row r="119" spans="1:2" x14ac:dyDescent="0.25">
      <c r="A119" s="13"/>
      <c r="B119" s="13"/>
    </row>
    <row r="120" spans="1:2" x14ac:dyDescent="0.25">
      <c r="A120" s="13"/>
      <c r="B120" s="13"/>
    </row>
    <row r="121" spans="1:2" x14ac:dyDescent="0.25">
      <c r="A121" s="13"/>
      <c r="B121" s="13"/>
    </row>
    <row r="122" spans="1:2" x14ac:dyDescent="0.25">
      <c r="A122" s="13"/>
      <c r="B122" s="13"/>
    </row>
    <row r="123" spans="1:2" x14ac:dyDescent="0.25">
      <c r="A123" s="13"/>
      <c r="B123" s="13"/>
    </row>
    <row r="124" spans="1:2" x14ac:dyDescent="0.25">
      <c r="A124" s="13"/>
      <c r="B124" s="13"/>
    </row>
    <row r="125" spans="1:2" x14ac:dyDescent="0.25">
      <c r="A125" s="13"/>
      <c r="B125" s="13"/>
    </row>
    <row r="126" spans="1:2" x14ac:dyDescent="0.25">
      <c r="A126" s="13"/>
      <c r="B126" s="13"/>
    </row>
    <row r="127" spans="1:2" x14ac:dyDescent="0.25">
      <c r="A127" s="13"/>
      <c r="B127" s="13"/>
    </row>
    <row r="128" spans="1:2" x14ac:dyDescent="0.25">
      <c r="A128" s="13"/>
      <c r="B128" s="13"/>
    </row>
    <row r="129" spans="1:2" x14ac:dyDescent="0.25">
      <c r="A129" s="13"/>
      <c r="B129" s="13"/>
    </row>
    <row r="130" spans="1:2" x14ac:dyDescent="0.25">
      <c r="A130" s="13"/>
      <c r="B130" s="13"/>
    </row>
    <row r="131" spans="1:2" x14ac:dyDescent="0.25">
      <c r="A131" s="13"/>
      <c r="B131" s="13"/>
    </row>
    <row r="132" spans="1:2" x14ac:dyDescent="0.25">
      <c r="A132" s="13"/>
      <c r="B132" s="13"/>
    </row>
    <row r="133" spans="1:2" x14ac:dyDescent="0.25">
      <c r="A133" s="13"/>
      <c r="B133" s="13"/>
    </row>
    <row r="134" spans="1:2" x14ac:dyDescent="0.25">
      <c r="A134" s="13"/>
      <c r="B134" s="13"/>
    </row>
    <row r="135" spans="1:2" x14ac:dyDescent="0.25">
      <c r="A135" s="13"/>
      <c r="B135" s="13"/>
    </row>
    <row r="136" spans="1:2" x14ac:dyDescent="0.25">
      <c r="A136" s="13"/>
      <c r="B136" s="13"/>
    </row>
    <row r="137" spans="1:2" x14ac:dyDescent="0.25">
      <c r="A137" s="13"/>
      <c r="B137" s="13"/>
    </row>
    <row r="138" spans="1:2" x14ac:dyDescent="0.25">
      <c r="A138" s="13"/>
      <c r="B138" s="13"/>
    </row>
    <row r="139" spans="1:2" x14ac:dyDescent="0.25">
      <c r="A139" s="13"/>
      <c r="B139" s="13"/>
    </row>
    <row r="140" spans="1:2" x14ac:dyDescent="0.25">
      <c r="A140" s="13"/>
      <c r="B140" s="13"/>
    </row>
    <row r="141" spans="1:2" x14ac:dyDescent="0.25">
      <c r="A141" s="13"/>
      <c r="B141" s="13"/>
    </row>
    <row r="142" spans="1:2" x14ac:dyDescent="0.25">
      <c r="A142" s="13"/>
      <c r="B142" s="13"/>
    </row>
    <row r="143" spans="1:2" x14ac:dyDescent="0.25">
      <c r="A143" s="13"/>
      <c r="B143" s="13"/>
    </row>
    <row r="144" spans="1:2" x14ac:dyDescent="0.25">
      <c r="A144" s="13"/>
      <c r="B144" s="13"/>
    </row>
    <row r="145" spans="1:2" x14ac:dyDescent="0.25">
      <c r="A145" s="13"/>
      <c r="B145" s="13"/>
    </row>
    <row r="146" spans="1:2" x14ac:dyDescent="0.25">
      <c r="A146" s="13"/>
      <c r="B146" s="13"/>
    </row>
    <row r="147" spans="1:2" x14ac:dyDescent="0.25">
      <c r="A147" s="13"/>
      <c r="B147" s="13"/>
    </row>
    <row r="148" spans="1:2" x14ac:dyDescent="0.25">
      <c r="A148" s="13"/>
      <c r="B148" s="13"/>
    </row>
    <row r="149" spans="1:2" x14ac:dyDescent="0.25">
      <c r="A149" s="13"/>
      <c r="B149" s="13"/>
    </row>
    <row r="150" spans="1:2" x14ac:dyDescent="0.25">
      <c r="A150" s="13"/>
      <c r="B150" s="13"/>
    </row>
    <row r="151" spans="1:2" x14ac:dyDescent="0.25">
      <c r="A151" s="13"/>
      <c r="B151" s="13"/>
    </row>
    <row r="152" spans="1:2" x14ac:dyDescent="0.25">
      <c r="A152" s="13"/>
      <c r="B152" s="13"/>
    </row>
    <row r="153" spans="1:2" x14ac:dyDescent="0.25">
      <c r="A153" s="13"/>
      <c r="B153" s="13"/>
    </row>
    <row r="154" spans="1:2" x14ac:dyDescent="0.25">
      <c r="A154" s="13"/>
      <c r="B154" s="13"/>
    </row>
    <row r="155" spans="1:2" x14ac:dyDescent="0.25">
      <c r="A155" s="13"/>
      <c r="B155" s="13"/>
    </row>
    <row r="156" spans="1:2" x14ac:dyDescent="0.25">
      <c r="A156" s="13"/>
      <c r="B156" s="13"/>
    </row>
    <row r="157" spans="1:2" x14ac:dyDescent="0.25">
      <c r="A157" s="13"/>
      <c r="B157" s="13"/>
    </row>
    <row r="158" spans="1:2" x14ac:dyDescent="0.25">
      <c r="A158" s="13"/>
      <c r="B158" s="13"/>
    </row>
    <row r="159" spans="1:2" x14ac:dyDescent="0.25">
      <c r="A159" s="13"/>
      <c r="B159" s="13"/>
    </row>
    <row r="160" spans="1:2" x14ac:dyDescent="0.25">
      <c r="A160" s="13"/>
      <c r="B160" s="13"/>
    </row>
    <row r="161" spans="1:2" x14ac:dyDescent="0.25">
      <c r="A161" s="13"/>
      <c r="B161" s="13"/>
    </row>
    <row r="162" spans="1:2" x14ac:dyDescent="0.25">
      <c r="A162" s="13"/>
      <c r="B162" s="13"/>
    </row>
    <row r="163" spans="1:2" x14ac:dyDescent="0.25">
      <c r="A163" s="13"/>
      <c r="B163" s="13"/>
    </row>
    <row r="164" spans="1:2" x14ac:dyDescent="0.25">
      <c r="A164" s="13"/>
      <c r="B164" s="13"/>
    </row>
    <row r="165" spans="1:2" x14ac:dyDescent="0.25">
      <c r="A165" s="13"/>
      <c r="B165" s="13"/>
    </row>
    <row r="166" spans="1:2" x14ac:dyDescent="0.25">
      <c r="A166" s="13"/>
      <c r="B166" s="13"/>
    </row>
    <row r="167" spans="1:2" x14ac:dyDescent="0.25">
      <c r="A167" s="13"/>
      <c r="B167" s="13"/>
    </row>
    <row r="168" spans="1:2" x14ac:dyDescent="0.25">
      <c r="A168" s="13"/>
      <c r="B168" s="13"/>
    </row>
    <row r="169" spans="1:2" x14ac:dyDescent="0.25">
      <c r="A169" s="13"/>
      <c r="B169" s="13"/>
    </row>
    <row r="170" spans="1:2" x14ac:dyDescent="0.25">
      <c r="A170" s="13"/>
      <c r="B170" s="13"/>
    </row>
    <row r="171" spans="1:2" x14ac:dyDescent="0.25">
      <c r="A171" s="13"/>
      <c r="B171" s="13"/>
    </row>
    <row r="172" spans="1:2" x14ac:dyDescent="0.25">
      <c r="A172" s="13"/>
      <c r="B172" s="13"/>
    </row>
    <row r="173" spans="1:2" x14ac:dyDescent="0.25">
      <c r="A173" s="13"/>
      <c r="B173" s="13"/>
    </row>
    <row r="174" spans="1:2" x14ac:dyDescent="0.25">
      <c r="A174" s="13"/>
      <c r="B174" s="13"/>
    </row>
    <row r="175" spans="1:2" x14ac:dyDescent="0.25">
      <c r="A175" s="13"/>
      <c r="B175" s="13"/>
    </row>
    <row r="176" spans="1:2" x14ac:dyDescent="0.25">
      <c r="A176" s="13"/>
      <c r="B176" s="13"/>
    </row>
    <row r="177" spans="1:2" x14ac:dyDescent="0.25">
      <c r="A177" s="13"/>
      <c r="B177" s="13"/>
    </row>
    <row r="178" spans="1:2" x14ac:dyDescent="0.25">
      <c r="A178" s="13"/>
      <c r="B178" s="13"/>
    </row>
    <row r="179" spans="1:2" x14ac:dyDescent="0.25">
      <c r="A179" s="13"/>
      <c r="B179" s="13"/>
    </row>
    <row r="180" spans="1:2" x14ac:dyDescent="0.25">
      <c r="A180" s="13"/>
      <c r="B180" s="13"/>
    </row>
    <row r="181" spans="1:2" x14ac:dyDescent="0.25">
      <c r="A181" s="13"/>
      <c r="B181" s="13"/>
    </row>
    <row r="182" spans="1:2" x14ac:dyDescent="0.25">
      <c r="A182" s="13"/>
      <c r="B182" s="13"/>
    </row>
    <row r="183" spans="1:2" x14ac:dyDescent="0.25">
      <c r="A183" s="13"/>
      <c r="B183" s="13"/>
    </row>
    <row r="184" spans="1:2" x14ac:dyDescent="0.25">
      <c r="A184" s="13"/>
      <c r="B184" s="13"/>
    </row>
    <row r="185" spans="1:2" x14ac:dyDescent="0.25">
      <c r="A185" s="13"/>
      <c r="B185" s="13"/>
    </row>
    <row r="186" spans="1:2" x14ac:dyDescent="0.25">
      <c r="A186" s="13"/>
      <c r="B186" s="13"/>
    </row>
    <row r="187" spans="1:2" x14ac:dyDescent="0.25">
      <c r="A187" s="13"/>
      <c r="B187" s="13"/>
    </row>
    <row r="188" spans="1:2" x14ac:dyDescent="0.25">
      <c r="A188" s="13"/>
      <c r="B188" s="13"/>
    </row>
    <row r="189" spans="1:2" x14ac:dyDescent="0.25">
      <c r="A189" s="13"/>
      <c r="B189" s="13"/>
    </row>
    <row r="190" spans="1:2" x14ac:dyDescent="0.25">
      <c r="A190" s="13"/>
      <c r="B190" s="13"/>
    </row>
    <row r="191" spans="1:2" x14ac:dyDescent="0.25">
      <c r="A191" s="13"/>
      <c r="B191" s="13"/>
    </row>
    <row r="192" spans="1:2" x14ac:dyDescent="0.25">
      <c r="A192" s="13"/>
      <c r="B192" s="13"/>
    </row>
    <row r="193" spans="1:2" x14ac:dyDescent="0.25">
      <c r="A193" s="13"/>
      <c r="B193" s="13"/>
    </row>
    <row r="194" spans="1:2" x14ac:dyDescent="0.25">
      <c r="A194" s="13"/>
      <c r="B194" s="13"/>
    </row>
    <row r="195" spans="1:2" x14ac:dyDescent="0.25">
      <c r="A195" s="13"/>
      <c r="B195" s="13"/>
    </row>
    <row r="196" spans="1:2" x14ac:dyDescent="0.25">
      <c r="A196" s="13"/>
      <c r="B196" s="13"/>
    </row>
    <row r="197" spans="1:2" x14ac:dyDescent="0.25">
      <c r="A197" s="13"/>
      <c r="B197" s="13"/>
    </row>
    <row r="198" spans="1:2" x14ac:dyDescent="0.25">
      <c r="A198" s="13"/>
      <c r="B198" s="13"/>
    </row>
    <row r="199" spans="1:2" x14ac:dyDescent="0.25">
      <c r="A199" s="13"/>
      <c r="B199" s="13"/>
    </row>
    <row r="200" spans="1:2" x14ac:dyDescent="0.25">
      <c r="A200" s="13"/>
      <c r="B200" s="13"/>
    </row>
    <row r="201" spans="1:2" x14ac:dyDescent="0.25">
      <c r="A201" s="13"/>
      <c r="B201" s="13"/>
    </row>
    <row r="202" spans="1:2" x14ac:dyDescent="0.25">
      <c r="A202" s="13"/>
      <c r="B202" s="13"/>
    </row>
    <row r="203" spans="1:2" x14ac:dyDescent="0.25">
      <c r="A203" s="13"/>
      <c r="B203" s="13"/>
    </row>
    <row r="204" spans="1:2" x14ac:dyDescent="0.25">
      <c r="A204" s="13"/>
      <c r="B204" s="13"/>
    </row>
    <row r="205" spans="1:2" x14ac:dyDescent="0.25">
      <c r="A205" s="13"/>
      <c r="B205" s="13"/>
    </row>
    <row r="206" spans="1:2" x14ac:dyDescent="0.25">
      <c r="A206" s="13"/>
      <c r="B206" s="13"/>
    </row>
    <row r="207" spans="1:2" x14ac:dyDescent="0.25">
      <c r="A207" s="13"/>
      <c r="B207" s="13"/>
    </row>
    <row r="208" spans="1:2" x14ac:dyDescent="0.25">
      <c r="A208" s="13"/>
      <c r="B208" s="13"/>
    </row>
    <row r="209" spans="1:2" x14ac:dyDescent="0.25">
      <c r="A209" s="13"/>
      <c r="B209" s="13"/>
    </row>
    <row r="210" spans="1:2" x14ac:dyDescent="0.25">
      <c r="A210" s="13"/>
      <c r="B210" s="13"/>
    </row>
    <row r="211" spans="1:2" x14ac:dyDescent="0.25">
      <c r="A211" s="13"/>
      <c r="B211" s="13"/>
    </row>
    <row r="212" spans="1:2" x14ac:dyDescent="0.25">
      <c r="A212" s="13"/>
      <c r="B212" s="13"/>
    </row>
    <row r="213" spans="1:2" x14ac:dyDescent="0.25">
      <c r="A213" s="13"/>
      <c r="B213" s="13"/>
    </row>
    <row r="214" spans="1:2" x14ac:dyDescent="0.25">
      <c r="A214" s="13"/>
      <c r="B214" s="13"/>
    </row>
    <row r="215" spans="1:2" x14ac:dyDescent="0.25">
      <c r="A215" s="13"/>
      <c r="B215" s="13"/>
    </row>
    <row r="216" spans="1:2" x14ac:dyDescent="0.25">
      <c r="A216" s="13"/>
      <c r="B216" s="13"/>
    </row>
    <row r="217" spans="1:2" x14ac:dyDescent="0.25">
      <c r="A217" s="13"/>
      <c r="B217" s="13"/>
    </row>
    <row r="218" spans="1:2" x14ac:dyDescent="0.25">
      <c r="A218" s="13"/>
      <c r="B218" s="13"/>
    </row>
    <row r="219" spans="1:2" x14ac:dyDescent="0.25">
      <c r="A219" s="13"/>
      <c r="B219" s="13"/>
    </row>
    <row r="220" spans="1:2" x14ac:dyDescent="0.25">
      <c r="A220" s="13"/>
      <c r="B220" s="13"/>
    </row>
    <row r="221" spans="1:2" x14ac:dyDescent="0.25">
      <c r="A221" s="13"/>
      <c r="B221" s="13"/>
    </row>
    <row r="222" spans="1:2" x14ac:dyDescent="0.25">
      <c r="A222" s="13"/>
      <c r="B222" s="13"/>
    </row>
    <row r="223" spans="1:2" x14ac:dyDescent="0.25">
      <c r="A223" s="13"/>
      <c r="B223" s="13"/>
    </row>
    <row r="224" spans="1:2" x14ac:dyDescent="0.25">
      <c r="A224" s="13"/>
      <c r="B224" s="13"/>
    </row>
    <row r="225" spans="1:2" x14ac:dyDescent="0.25">
      <c r="A225" s="13"/>
      <c r="B225" s="13"/>
    </row>
    <row r="226" spans="1:2" x14ac:dyDescent="0.25">
      <c r="A226" s="13"/>
      <c r="B226" s="13"/>
    </row>
    <row r="227" spans="1:2" x14ac:dyDescent="0.25">
      <c r="A227" s="13"/>
      <c r="B227" s="13"/>
    </row>
    <row r="228" spans="1:2" x14ac:dyDescent="0.25">
      <c r="A228" s="13"/>
      <c r="B228" s="13"/>
    </row>
    <row r="229" spans="1:2" x14ac:dyDescent="0.25">
      <c r="A229" s="13"/>
      <c r="B229" s="13"/>
    </row>
    <row r="230" spans="1:2" x14ac:dyDescent="0.25">
      <c r="A230" s="13"/>
      <c r="B230" s="13"/>
    </row>
    <row r="231" spans="1:2" x14ac:dyDescent="0.25">
      <c r="A231" s="13"/>
      <c r="B231" s="13"/>
    </row>
    <row r="232" spans="1:2" x14ac:dyDescent="0.25">
      <c r="A232" s="13"/>
      <c r="B232" s="13"/>
    </row>
    <row r="233" spans="1:2" x14ac:dyDescent="0.25">
      <c r="A233" s="13"/>
      <c r="B233" s="13"/>
    </row>
    <row r="234" spans="1:2" x14ac:dyDescent="0.25">
      <c r="A234" s="13"/>
      <c r="B234" s="13"/>
    </row>
    <row r="235" spans="1:2" x14ac:dyDescent="0.25">
      <c r="A235" s="13"/>
      <c r="B235" s="13"/>
    </row>
    <row r="236" spans="1:2" x14ac:dyDescent="0.25">
      <c r="A236" s="13"/>
      <c r="B236" s="13"/>
    </row>
    <row r="237" spans="1:2" x14ac:dyDescent="0.25">
      <c r="A237" s="13"/>
      <c r="B237" s="13"/>
    </row>
    <row r="238" spans="1:2" x14ac:dyDescent="0.25">
      <c r="A238" s="13"/>
      <c r="B238" s="13"/>
    </row>
    <row r="239" spans="1:2" x14ac:dyDescent="0.25">
      <c r="A239" s="13"/>
      <c r="B239" s="13"/>
    </row>
    <row r="240" spans="1:2" x14ac:dyDescent="0.25">
      <c r="A240" s="13"/>
      <c r="B240" s="13"/>
    </row>
    <row r="241" spans="1:2" x14ac:dyDescent="0.25">
      <c r="A241" s="13"/>
      <c r="B241" s="13"/>
    </row>
    <row r="242" spans="1:2" x14ac:dyDescent="0.25">
      <c r="A242" s="13"/>
      <c r="B242" s="13"/>
    </row>
    <row r="243" spans="1:2" x14ac:dyDescent="0.25">
      <c r="A243" s="13"/>
      <c r="B243" s="13"/>
    </row>
    <row r="244" spans="1:2" x14ac:dyDescent="0.25">
      <c r="A244" s="13"/>
      <c r="B244" s="13"/>
    </row>
    <row r="245" spans="1:2" x14ac:dyDescent="0.25">
      <c r="A245" s="13"/>
      <c r="B245" s="13"/>
    </row>
    <row r="246" spans="1:2" x14ac:dyDescent="0.25">
      <c r="A246" s="13"/>
      <c r="B246" s="13"/>
    </row>
    <row r="247" spans="1:2" x14ac:dyDescent="0.25">
      <c r="A247" s="13"/>
      <c r="B247" s="13"/>
    </row>
    <row r="248" spans="1:2" x14ac:dyDescent="0.25">
      <c r="A248" s="13"/>
      <c r="B248" s="13"/>
    </row>
    <row r="249" spans="1:2" x14ac:dyDescent="0.25">
      <c r="A249" s="13"/>
      <c r="B249" s="13"/>
    </row>
    <row r="250" spans="1:2" x14ac:dyDescent="0.25">
      <c r="A250" s="13"/>
      <c r="B250" s="13"/>
    </row>
    <row r="251" spans="1:2" x14ac:dyDescent="0.25">
      <c r="A251" s="13"/>
      <c r="B251" s="13"/>
    </row>
    <row r="252" spans="1:2" x14ac:dyDescent="0.25">
      <c r="A252" s="13"/>
      <c r="B252" s="13"/>
    </row>
    <row r="253" spans="1:2" x14ac:dyDescent="0.25">
      <c r="A253" s="13"/>
      <c r="B253" s="13"/>
    </row>
    <row r="254" spans="1:2" x14ac:dyDescent="0.25">
      <c r="A254" s="13"/>
      <c r="B254" s="13"/>
    </row>
    <row r="255" spans="1:2" x14ac:dyDescent="0.25">
      <c r="A255" s="13"/>
      <c r="B255" s="13"/>
    </row>
    <row r="256" spans="1:2" x14ac:dyDescent="0.25">
      <c r="A256" s="13"/>
      <c r="B256" s="13"/>
    </row>
    <row r="257" spans="1:2" x14ac:dyDescent="0.25">
      <c r="A257" s="13"/>
      <c r="B257" s="13"/>
    </row>
    <row r="258" spans="1:2" x14ac:dyDescent="0.25">
      <c r="A258" s="13"/>
      <c r="B258" s="13"/>
    </row>
    <row r="259" spans="1:2" x14ac:dyDescent="0.25">
      <c r="A259" s="13"/>
      <c r="B259" s="13"/>
    </row>
    <row r="260" spans="1:2" x14ac:dyDescent="0.25">
      <c r="A260" s="13"/>
      <c r="B260" s="13"/>
    </row>
    <row r="261" spans="1:2" x14ac:dyDescent="0.25">
      <c r="A261" s="13"/>
      <c r="B261" s="13"/>
    </row>
    <row r="262" spans="1:2" x14ac:dyDescent="0.25">
      <c r="A262" s="13"/>
      <c r="B262" s="13"/>
    </row>
    <row r="263" spans="1:2" x14ac:dyDescent="0.25">
      <c r="A263" s="13"/>
      <c r="B263" s="13"/>
    </row>
    <row r="264" spans="1:2" x14ac:dyDescent="0.25">
      <c r="A264" s="13"/>
      <c r="B264" s="13"/>
    </row>
    <row r="265" spans="1:2" x14ac:dyDescent="0.25">
      <c r="A265" s="13"/>
      <c r="B265" s="13"/>
    </row>
    <row r="266" spans="1:2" x14ac:dyDescent="0.25">
      <c r="A266" s="13"/>
      <c r="B266" s="13"/>
    </row>
    <row r="267" spans="1:2" x14ac:dyDescent="0.25">
      <c r="A267" s="13"/>
      <c r="B267" s="13"/>
    </row>
    <row r="268" spans="1:2" x14ac:dyDescent="0.25">
      <c r="A268" s="13"/>
      <c r="B268" s="13"/>
    </row>
    <row r="269" spans="1:2" x14ac:dyDescent="0.25">
      <c r="A269" s="13"/>
      <c r="B269" s="13"/>
    </row>
    <row r="270" spans="1:2" x14ac:dyDescent="0.25">
      <c r="A270" s="13"/>
      <c r="B270" s="13"/>
    </row>
    <row r="271" spans="1:2" x14ac:dyDescent="0.25">
      <c r="A271" s="13"/>
      <c r="B271" s="13"/>
    </row>
    <row r="272" spans="1:2" x14ac:dyDescent="0.25">
      <c r="A272" s="13"/>
      <c r="B272" s="13"/>
    </row>
    <row r="273" spans="1:2" x14ac:dyDescent="0.25">
      <c r="A273" s="13"/>
      <c r="B273" s="13"/>
    </row>
    <row r="274" spans="1:2" x14ac:dyDescent="0.25">
      <c r="A274" s="13"/>
      <c r="B274" s="13"/>
    </row>
    <row r="275" spans="1:2" x14ac:dyDescent="0.25">
      <c r="A275" s="13"/>
      <c r="B275" s="13"/>
    </row>
    <row r="276" spans="1:2" x14ac:dyDescent="0.25">
      <c r="A276" s="13"/>
      <c r="B276" s="13"/>
    </row>
    <row r="277" spans="1:2" x14ac:dyDescent="0.25">
      <c r="A277" s="13"/>
      <c r="B277" s="13"/>
    </row>
    <row r="278" spans="1:2" x14ac:dyDescent="0.25">
      <c r="A278" s="13"/>
      <c r="B278" s="13"/>
    </row>
    <row r="279" spans="1:2" x14ac:dyDescent="0.25">
      <c r="A279" s="13"/>
      <c r="B279" s="13"/>
    </row>
    <row r="280" spans="1:2" x14ac:dyDescent="0.25">
      <c r="A280" s="13"/>
      <c r="B280" s="13"/>
    </row>
    <row r="281" spans="1:2" x14ac:dyDescent="0.25">
      <c r="A281" s="13"/>
      <c r="B281" s="13"/>
    </row>
    <row r="282" spans="1:2" x14ac:dyDescent="0.25">
      <c r="A282" s="13"/>
      <c r="B282" s="13"/>
    </row>
    <row r="283" spans="1:2" x14ac:dyDescent="0.25">
      <c r="A283" s="13"/>
      <c r="B283" s="13"/>
    </row>
    <row r="284" spans="1:2" x14ac:dyDescent="0.25">
      <c r="A284" s="13"/>
      <c r="B284" s="13"/>
    </row>
    <row r="285" spans="1:2" x14ac:dyDescent="0.25">
      <c r="A285" s="13"/>
      <c r="B285" s="13"/>
    </row>
    <row r="286" spans="1:2" x14ac:dyDescent="0.25">
      <c r="A286" s="13"/>
      <c r="B286" s="13"/>
    </row>
    <row r="287" spans="1:2" x14ac:dyDescent="0.25">
      <c r="A287" s="13"/>
      <c r="B287" s="13"/>
    </row>
    <row r="288" spans="1:2" x14ac:dyDescent="0.25">
      <c r="A288" s="13"/>
      <c r="B288" s="13"/>
    </row>
    <row r="289" spans="1:2" x14ac:dyDescent="0.25">
      <c r="A289" s="13"/>
      <c r="B289" s="13"/>
    </row>
    <row r="290" spans="1:2" x14ac:dyDescent="0.25">
      <c r="A290" s="13"/>
      <c r="B290" s="13"/>
    </row>
    <row r="291" spans="1:2" x14ac:dyDescent="0.25">
      <c r="A291" s="13"/>
      <c r="B291" s="13"/>
    </row>
    <row r="292" spans="1:2" x14ac:dyDescent="0.25">
      <c r="A292" s="13"/>
      <c r="B292" s="13"/>
    </row>
    <row r="293" spans="1:2" x14ac:dyDescent="0.25">
      <c r="A293" s="13"/>
      <c r="B293" s="13"/>
    </row>
    <row r="294" spans="1:2" x14ac:dyDescent="0.25">
      <c r="A294" s="13"/>
      <c r="B294" s="13"/>
    </row>
    <row r="295" spans="1:2" x14ac:dyDescent="0.25">
      <c r="A295" s="13"/>
      <c r="B295" s="13"/>
    </row>
    <row r="296" spans="1:2" x14ac:dyDescent="0.25">
      <c r="A296" s="13"/>
      <c r="B296" s="13"/>
    </row>
    <row r="297" spans="1:2" x14ac:dyDescent="0.25">
      <c r="A297" s="13"/>
      <c r="B297" s="13"/>
    </row>
    <row r="298" spans="1:2" x14ac:dyDescent="0.25">
      <c r="A298" s="13"/>
      <c r="B298" s="13"/>
    </row>
    <row r="299" spans="1:2" x14ac:dyDescent="0.25">
      <c r="A299" s="13"/>
      <c r="B299" s="13"/>
    </row>
    <row r="300" spans="1:2" x14ac:dyDescent="0.25">
      <c r="A300" s="13"/>
      <c r="B300" s="13"/>
    </row>
    <row r="301" spans="1:2" x14ac:dyDescent="0.25">
      <c r="A301" s="13"/>
      <c r="B301" s="13"/>
    </row>
    <row r="302" spans="1:2" x14ac:dyDescent="0.25">
      <c r="A302" s="13"/>
      <c r="B302" s="13"/>
    </row>
    <row r="303" spans="1:2" x14ac:dyDescent="0.25">
      <c r="A303" s="13"/>
      <c r="B303" s="13"/>
    </row>
    <row r="304" spans="1:2" x14ac:dyDescent="0.25">
      <c r="A304" s="13"/>
      <c r="B304" s="13"/>
    </row>
    <row r="305" spans="1:2" x14ac:dyDescent="0.25">
      <c r="A305" s="13"/>
      <c r="B305" s="13"/>
    </row>
    <row r="306" spans="1:2" x14ac:dyDescent="0.25">
      <c r="A306" s="13"/>
      <c r="B306" s="13"/>
    </row>
    <row r="307" spans="1:2" x14ac:dyDescent="0.25">
      <c r="A307" s="13"/>
      <c r="B307" s="13"/>
    </row>
    <row r="308" spans="1:2" x14ac:dyDescent="0.25">
      <c r="A308" s="13"/>
      <c r="B308" s="13"/>
    </row>
    <row r="309" spans="1:2" x14ac:dyDescent="0.25">
      <c r="A309" s="13"/>
      <c r="B309" s="13"/>
    </row>
    <row r="310" spans="1:2" x14ac:dyDescent="0.25">
      <c r="A310" s="13"/>
      <c r="B310" s="13"/>
    </row>
    <row r="311" spans="1:2" x14ac:dyDescent="0.25">
      <c r="A311" s="13"/>
      <c r="B311" s="13"/>
    </row>
    <row r="312" spans="1:2" x14ac:dyDescent="0.25">
      <c r="A312" s="13"/>
      <c r="B312" s="13"/>
    </row>
    <row r="313" spans="1:2" x14ac:dyDescent="0.25">
      <c r="A313" s="13"/>
      <c r="B313" s="13"/>
    </row>
    <row r="314" spans="1:2" x14ac:dyDescent="0.25">
      <c r="A314" s="13"/>
      <c r="B314" s="13"/>
    </row>
    <row r="315" spans="1:2" x14ac:dyDescent="0.25">
      <c r="A315" s="13"/>
      <c r="B315" s="13"/>
    </row>
    <row r="316" spans="1:2" x14ac:dyDescent="0.25">
      <c r="A316" s="13"/>
      <c r="B316" s="13"/>
    </row>
    <row r="317" spans="1:2" x14ac:dyDescent="0.25">
      <c r="A317" s="13"/>
      <c r="B317" s="13"/>
    </row>
    <row r="318" spans="1:2" x14ac:dyDescent="0.25">
      <c r="A318" s="13"/>
      <c r="B318" s="13"/>
    </row>
    <row r="319" spans="1:2" x14ac:dyDescent="0.25">
      <c r="A319" s="13"/>
      <c r="B319" s="13"/>
    </row>
    <row r="320" spans="1:2" x14ac:dyDescent="0.25">
      <c r="A320" s="13"/>
      <c r="B320" s="13"/>
    </row>
    <row r="321" spans="1:2" x14ac:dyDescent="0.25">
      <c r="A321" s="13"/>
      <c r="B321" s="13"/>
    </row>
    <row r="322" spans="1:2" x14ac:dyDescent="0.25">
      <c r="A322" s="13"/>
      <c r="B322" s="13"/>
    </row>
    <row r="323" spans="1:2" x14ac:dyDescent="0.25">
      <c r="A323" s="13"/>
      <c r="B323" s="13"/>
    </row>
    <row r="324" spans="1:2" x14ac:dyDescent="0.25">
      <c r="A324" s="13"/>
      <c r="B324" s="13"/>
    </row>
    <row r="325" spans="1:2" x14ac:dyDescent="0.25">
      <c r="A325" s="13"/>
      <c r="B325" s="13"/>
    </row>
    <row r="326" spans="1:2" x14ac:dyDescent="0.25">
      <c r="A326" s="13"/>
      <c r="B326" s="13"/>
    </row>
    <row r="327" spans="1:2" x14ac:dyDescent="0.25">
      <c r="A327" s="13"/>
      <c r="B327" s="13"/>
    </row>
    <row r="328" spans="1:2" x14ac:dyDescent="0.25">
      <c r="A328" s="13"/>
      <c r="B328" s="13"/>
    </row>
    <row r="329" spans="1:2" x14ac:dyDescent="0.25">
      <c r="A329" s="13"/>
      <c r="B329" s="13"/>
    </row>
    <row r="330" spans="1:2" x14ac:dyDescent="0.25">
      <c r="A330" s="13"/>
      <c r="B330" s="13"/>
    </row>
    <row r="331" spans="1:2" x14ac:dyDescent="0.25">
      <c r="A331" s="13"/>
      <c r="B331" s="13"/>
    </row>
    <row r="332" spans="1:2" x14ac:dyDescent="0.25">
      <c r="A332" s="13"/>
      <c r="B332" s="13"/>
    </row>
    <row r="333" spans="1:2" x14ac:dyDescent="0.25">
      <c r="A333" s="13"/>
      <c r="B333" s="13"/>
    </row>
    <row r="334" spans="1:2" x14ac:dyDescent="0.25">
      <c r="A334" s="13"/>
      <c r="B334" s="13"/>
    </row>
    <row r="335" spans="1:2" x14ac:dyDescent="0.25">
      <c r="A335" s="13"/>
      <c r="B335" s="13"/>
    </row>
    <row r="336" spans="1:2" x14ac:dyDescent="0.25">
      <c r="A336" s="13"/>
      <c r="B336" s="13"/>
    </row>
    <row r="337" spans="1:2" x14ac:dyDescent="0.25">
      <c r="A337" s="13"/>
      <c r="B337" s="13"/>
    </row>
    <row r="338" spans="1:2" x14ac:dyDescent="0.25">
      <c r="A338" s="13"/>
      <c r="B338" s="13"/>
    </row>
    <row r="339" spans="1:2" x14ac:dyDescent="0.25">
      <c r="A339" s="13"/>
      <c r="B339" s="13"/>
    </row>
    <row r="340" spans="1:2" x14ac:dyDescent="0.25">
      <c r="A340" s="13"/>
      <c r="B340" s="13"/>
    </row>
    <row r="341" spans="1:2" x14ac:dyDescent="0.25">
      <c r="A341" s="13"/>
      <c r="B341" s="13"/>
    </row>
    <row r="342" spans="1:2" x14ac:dyDescent="0.25">
      <c r="A342" s="13"/>
      <c r="B342" s="13"/>
    </row>
    <row r="343" spans="1:2" x14ac:dyDescent="0.25">
      <c r="A343" s="13"/>
      <c r="B343" s="13"/>
    </row>
    <row r="344" spans="1:2" x14ac:dyDescent="0.25">
      <c r="A344" s="13"/>
      <c r="B344" s="13"/>
    </row>
    <row r="345" spans="1:2" x14ac:dyDescent="0.25">
      <c r="A345" s="13"/>
      <c r="B345" s="13"/>
    </row>
    <row r="346" spans="1:2" x14ac:dyDescent="0.25">
      <c r="A346" s="13"/>
      <c r="B346" s="13"/>
    </row>
    <row r="347" spans="1:2" x14ac:dyDescent="0.25">
      <c r="A347" s="13"/>
      <c r="B347" s="13"/>
    </row>
    <row r="348" spans="1:2" x14ac:dyDescent="0.25">
      <c r="A348" s="13"/>
      <c r="B348" s="13"/>
    </row>
    <row r="349" spans="1:2" x14ac:dyDescent="0.25">
      <c r="A349" s="13"/>
      <c r="B349" s="13"/>
    </row>
    <row r="350" spans="1:2" x14ac:dyDescent="0.25">
      <c r="A350" s="13"/>
      <c r="B350" s="13"/>
    </row>
    <row r="351" spans="1:2" x14ac:dyDescent="0.25">
      <c r="A351" s="13"/>
      <c r="B351" s="13"/>
    </row>
    <row r="352" spans="1:2" x14ac:dyDescent="0.25">
      <c r="A352" s="13"/>
      <c r="B352" s="13"/>
    </row>
    <row r="353" spans="1:2" x14ac:dyDescent="0.25">
      <c r="A353" s="13"/>
      <c r="B353" s="13"/>
    </row>
    <row r="354" spans="1:2" x14ac:dyDescent="0.25">
      <c r="A354" s="13"/>
      <c r="B354" s="13"/>
    </row>
    <row r="355" spans="1:2" x14ac:dyDescent="0.25">
      <c r="A355" s="13"/>
      <c r="B355" s="13"/>
    </row>
    <row r="356" spans="1:2" x14ac:dyDescent="0.25">
      <c r="A356" s="13"/>
      <c r="B356" s="13"/>
    </row>
    <row r="357" spans="1:2" x14ac:dyDescent="0.25">
      <c r="A357" s="13"/>
      <c r="B357" s="13"/>
    </row>
    <row r="358" spans="1:2" x14ac:dyDescent="0.25">
      <c r="A358" s="13"/>
      <c r="B358" s="13"/>
    </row>
    <row r="359" spans="1:2" x14ac:dyDescent="0.25">
      <c r="A359" s="13"/>
      <c r="B359" s="13"/>
    </row>
    <row r="360" spans="1:2" x14ac:dyDescent="0.25">
      <c r="A360" s="13"/>
      <c r="B360" s="13"/>
    </row>
    <row r="361" spans="1:2" x14ac:dyDescent="0.25">
      <c r="A361" s="13"/>
      <c r="B361" s="13"/>
    </row>
    <row r="362" spans="1:2" x14ac:dyDescent="0.25">
      <c r="A362" s="13"/>
      <c r="B362" s="13"/>
    </row>
    <row r="363" spans="1:2" x14ac:dyDescent="0.25">
      <c r="A363" s="13"/>
      <c r="B363" s="13"/>
    </row>
    <row r="364" spans="1:2" x14ac:dyDescent="0.25">
      <c r="A364" s="13"/>
      <c r="B364" s="13"/>
    </row>
    <row r="365" spans="1:2" x14ac:dyDescent="0.25">
      <c r="A365" s="13"/>
      <c r="B365" s="13"/>
    </row>
    <row r="366" spans="1:2" x14ac:dyDescent="0.25">
      <c r="A366" s="13"/>
      <c r="B366" s="13"/>
    </row>
    <row r="367" spans="1:2" x14ac:dyDescent="0.25">
      <c r="A367" s="13"/>
      <c r="B367" s="13"/>
    </row>
    <row r="368" spans="1:2" x14ac:dyDescent="0.25">
      <c r="A368" s="13"/>
      <c r="B368" s="13"/>
    </row>
    <row r="369" spans="1:2" x14ac:dyDescent="0.25">
      <c r="A369" s="13"/>
      <c r="B369" s="13"/>
    </row>
    <row r="370" spans="1:2" x14ac:dyDescent="0.25">
      <c r="A370" s="13"/>
      <c r="B370" s="13"/>
    </row>
    <row r="371" spans="1:2" x14ac:dyDescent="0.25">
      <c r="A371" s="13"/>
      <c r="B371" s="13"/>
    </row>
    <row r="372" spans="1:2" x14ac:dyDescent="0.25">
      <c r="A372" s="13"/>
      <c r="B372" s="13"/>
    </row>
    <row r="373" spans="1:2" x14ac:dyDescent="0.25">
      <c r="A373" s="13"/>
      <c r="B373" s="13"/>
    </row>
    <row r="374" spans="1:2" x14ac:dyDescent="0.25">
      <c r="A374" s="13"/>
      <c r="B374" s="13"/>
    </row>
    <row r="375" spans="1:2" x14ac:dyDescent="0.25">
      <c r="A375" s="13"/>
      <c r="B375" s="13"/>
    </row>
    <row r="376" spans="1:2" x14ac:dyDescent="0.25">
      <c r="A376" s="13"/>
      <c r="B376" s="13"/>
    </row>
    <row r="377" spans="1:2" x14ac:dyDescent="0.25">
      <c r="A377" s="13"/>
      <c r="B377" s="13"/>
    </row>
    <row r="378" spans="1:2" x14ac:dyDescent="0.25">
      <c r="A378" s="13"/>
      <c r="B378" s="13"/>
    </row>
    <row r="379" spans="1:2" x14ac:dyDescent="0.25">
      <c r="A379" s="13"/>
      <c r="B379" s="13"/>
    </row>
    <row r="380" spans="1:2" x14ac:dyDescent="0.25">
      <c r="A380" s="13"/>
      <c r="B380" s="13"/>
    </row>
    <row r="381" spans="1:2" x14ac:dyDescent="0.25">
      <c r="A381" s="13"/>
      <c r="B381" s="13"/>
    </row>
    <row r="382" spans="1:2" x14ac:dyDescent="0.25">
      <c r="A382" s="13"/>
      <c r="B382" s="13"/>
    </row>
    <row r="383" spans="1:2" x14ac:dyDescent="0.25">
      <c r="A383" s="13"/>
      <c r="B383" s="13"/>
    </row>
    <row r="384" spans="1:2" x14ac:dyDescent="0.25">
      <c r="A384" s="13"/>
      <c r="B384" s="13"/>
    </row>
    <row r="385" spans="1:2" x14ac:dyDescent="0.25">
      <c r="A385" s="13"/>
      <c r="B385" s="13"/>
    </row>
    <row r="386" spans="1:2" x14ac:dyDescent="0.25">
      <c r="A386" s="13"/>
      <c r="B386" s="13"/>
    </row>
    <row r="387" spans="1:2" x14ac:dyDescent="0.25">
      <c r="A387" s="13"/>
      <c r="B387" s="13"/>
    </row>
    <row r="388" spans="1:2" x14ac:dyDescent="0.25">
      <c r="A388" s="13"/>
      <c r="B388" s="13"/>
    </row>
    <row r="389" spans="1:2" x14ac:dyDescent="0.25">
      <c r="A389" s="13"/>
      <c r="B389" s="13"/>
    </row>
    <row r="390" spans="1:2" x14ac:dyDescent="0.25">
      <c r="A390" s="13"/>
      <c r="B390" s="13"/>
    </row>
    <row r="391" spans="1:2" x14ac:dyDescent="0.25">
      <c r="A391" s="13"/>
      <c r="B391" s="13"/>
    </row>
    <row r="392" spans="1:2" x14ac:dyDescent="0.25">
      <c r="A392" s="13"/>
      <c r="B392" s="13"/>
    </row>
    <row r="393" spans="1:2" x14ac:dyDescent="0.25">
      <c r="A393" s="13"/>
      <c r="B393" s="13"/>
    </row>
    <row r="394" spans="1:2" x14ac:dyDescent="0.25">
      <c r="A394" s="13"/>
      <c r="B394" s="13"/>
    </row>
    <row r="395" spans="1:2" x14ac:dyDescent="0.25">
      <c r="A395" s="13"/>
      <c r="B395" s="13"/>
    </row>
    <row r="396" spans="1:2" x14ac:dyDescent="0.25">
      <c r="A396" s="13"/>
      <c r="B396" s="13"/>
    </row>
    <row r="397" spans="1:2" x14ac:dyDescent="0.25">
      <c r="A397" s="13"/>
      <c r="B397" s="13"/>
    </row>
    <row r="398" spans="1:2" x14ac:dyDescent="0.25">
      <c r="A398" s="13"/>
      <c r="B398" s="13"/>
    </row>
    <row r="399" spans="1:2" x14ac:dyDescent="0.25">
      <c r="A399" s="13"/>
      <c r="B399" s="13"/>
    </row>
    <row r="400" spans="1:2" x14ac:dyDescent="0.25">
      <c r="A400" s="13"/>
      <c r="B400" s="13"/>
    </row>
    <row r="401" spans="1:2" x14ac:dyDescent="0.25">
      <c r="A401" s="13"/>
      <c r="B401" s="13"/>
    </row>
    <row r="402" spans="1:2" x14ac:dyDescent="0.25">
      <c r="A402" s="13"/>
      <c r="B402" s="13"/>
    </row>
    <row r="403" spans="1:2" x14ac:dyDescent="0.25">
      <c r="A403" s="13"/>
      <c r="B403" s="13"/>
    </row>
    <row r="404" spans="1:2" x14ac:dyDescent="0.25">
      <c r="A404" s="13"/>
      <c r="B404" s="13"/>
    </row>
    <row r="405" spans="1:2" x14ac:dyDescent="0.25">
      <c r="A405" s="13"/>
      <c r="B405" s="13"/>
    </row>
    <row r="406" spans="1:2" x14ac:dyDescent="0.25">
      <c r="A406" s="13"/>
      <c r="B406" s="13"/>
    </row>
    <row r="407" spans="1:2" x14ac:dyDescent="0.25">
      <c r="A407" s="13"/>
      <c r="B407" s="13"/>
    </row>
    <row r="408" spans="1:2" x14ac:dyDescent="0.25">
      <c r="A408" s="13"/>
      <c r="B408" s="13"/>
    </row>
    <row r="409" spans="1:2" x14ac:dyDescent="0.25">
      <c r="A409" s="13"/>
      <c r="B409" s="13"/>
    </row>
    <row r="410" spans="1:2" x14ac:dyDescent="0.25">
      <c r="A410" s="13"/>
      <c r="B410" s="13"/>
    </row>
    <row r="411" spans="1:2" x14ac:dyDescent="0.25">
      <c r="A411" s="13"/>
      <c r="B411" s="13"/>
    </row>
    <row r="412" spans="1:2" x14ac:dyDescent="0.25">
      <c r="A412" s="13"/>
      <c r="B412" s="13"/>
    </row>
    <row r="413" spans="1:2" x14ac:dyDescent="0.25">
      <c r="A413" s="13"/>
      <c r="B413" s="13"/>
    </row>
    <row r="414" spans="1:2" x14ac:dyDescent="0.25">
      <c r="A414" s="13"/>
      <c r="B414" s="13"/>
    </row>
    <row r="415" spans="1:2" x14ac:dyDescent="0.25">
      <c r="A415" s="13"/>
      <c r="B415" s="13"/>
    </row>
    <row r="416" spans="1:2" x14ac:dyDescent="0.25">
      <c r="A416" s="13"/>
      <c r="B416" s="13"/>
    </row>
    <row r="417" spans="1:2" x14ac:dyDescent="0.25">
      <c r="A417" s="13"/>
      <c r="B417" s="13"/>
    </row>
    <row r="418" spans="1:2" x14ac:dyDescent="0.25">
      <c r="A418" s="13"/>
      <c r="B418" s="13"/>
    </row>
    <row r="419" spans="1:2" x14ac:dyDescent="0.25">
      <c r="A419" s="13"/>
      <c r="B419" s="13"/>
    </row>
    <row r="420" spans="1:2" x14ac:dyDescent="0.25">
      <c r="A420" s="13"/>
      <c r="B420" s="13"/>
    </row>
    <row r="421" spans="1:2" x14ac:dyDescent="0.25">
      <c r="A421" s="13"/>
      <c r="B421" s="13"/>
    </row>
    <row r="422" spans="1:2" x14ac:dyDescent="0.25">
      <c r="A422" s="13"/>
      <c r="B422" s="13"/>
    </row>
    <row r="423" spans="1:2" x14ac:dyDescent="0.25">
      <c r="A423" s="13"/>
      <c r="B423" s="13"/>
    </row>
    <row r="424" spans="1:2" x14ac:dyDescent="0.25">
      <c r="A424" s="13"/>
      <c r="B424" s="13"/>
    </row>
    <row r="425" spans="1:2" x14ac:dyDescent="0.25">
      <c r="A425" s="13"/>
      <c r="B425" s="13"/>
    </row>
    <row r="426" spans="1:2" x14ac:dyDescent="0.25">
      <c r="A426" s="13"/>
      <c r="B426" s="13"/>
    </row>
    <row r="427" spans="1:2" x14ac:dyDescent="0.25">
      <c r="A427" s="13"/>
      <c r="B427" s="13"/>
    </row>
    <row r="428" spans="1:2" x14ac:dyDescent="0.25">
      <c r="A428" s="13"/>
      <c r="B428" s="13"/>
    </row>
    <row r="429" spans="1:2" x14ac:dyDescent="0.25">
      <c r="A429" s="13"/>
      <c r="B429" s="13"/>
    </row>
    <row r="430" spans="1:2" x14ac:dyDescent="0.25">
      <c r="A430" s="13"/>
      <c r="B430" s="13"/>
    </row>
    <row r="431" spans="1:2" x14ac:dyDescent="0.25">
      <c r="A431" s="13"/>
      <c r="B431" s="13"/>
    </row>
    <row r="432" spans="1:2" x14ac:dyDescent="0.25">
      <c r="A432" s="13"/>
      <c r="B432" s="13"/>
    </row>
    <row r="433" spans="1:2" x14ac:dyDescent="0.25">
      <c r="A433" s="13"/>
      <c r="B433" s="13"/>
    </row>
    <row r="434" spans="1:2" x14ac:dyDescent="0.25">
      <c r="A434" s="13"/>
      <c r="B434" s="13"/>
    </row>
    <row r="435" spans="1:2" x14ac:dyDescent="0.25">
      <c r="A435" s="13"/>
      <c r="B435" s="13"/>
    </row>
    <row r="436" spans="1:2" x14ac:dyDescent="0.25">
      <c r="A436" s="13"/>
      <c r="B436" s="13"/>
    </row>
    <row r="437" spans="1:2" x14ac:dyDescent="0.25">
      <c r="A437" s="13"/>
      <c r="B437" s="13"/>
    </row>
    <row r="438" spans="1:2" x14ac:dyDescent="0.25">
      <c r="A438" s="13"/>
      <c r="B438" s="13"/>
    </row>
    <row r="439" spans="1:2" x14ac:dyDescent="0.25">
      <c r="A439" s="13"/>
      <c r="B439" s="13"/>
    </row>
    <row r="440" spans="1:2" x14ac:dyDescent="0.25">
      <c r="A440" s="13"/>
      <c r="B440" s="13"/>
    </row>
    <row r="441" spans="1:2" x14ac:dyDescent="0.25">
      <c r="A441" s="13"/>
      <c r="B441" s="13"/>
    </row>
    <row r="442" spans="1:2" x14ac:dyDescent="0.25">
      <c r="A442" s="13"/>
      <c r="B442" s="13"/>
    </row>
    <row r="443" spans="1:2" x14ac:dyDescent="0.25">
      <c r="A443" s="13"/>
      <c r="B443" s="13"/>
    </row>
    <row r="444" spans="1:2" x14ac:dyDescent="0.25">
      <c r="A444" s="13"/>
      <c r="B444" s="13"/>
    </row>
    <row r="445" spans="1:2" x14ac:dyDescent="0.25">
      <c r="A445" s="13"/>
      <c r="B445" s="13"/>
    </row>
    <row r="446" spans="1:2" x14ac:dyDescent="0.25">
      <c r="A446" s="13"/>
      <c r="B446" s="13"/>
    </row>
    <row r="447" spans="1:2" x14ac:dyDescent="0.25">
      <c r="A447" s="13"/>
      <c r="B447" s="13"/>
    </row>
    <row r="448" spans="1:2" x14ac:dyDescent="0.25">
      <c r="A448" s="13"/>
      <c r="B448" s="13"/>
    </row>
    <row r="449" spans="1:2" x14ac:dyDescent="0.25">
      <c r="A449" s="13"/>
      <c r="B449" s="13"/>
    </row>
    <row r="450" spans="1:2" x14ac:dyDescent="0.25">
      <c r="A450" s="13"/>
      <c r="B450" s="13"/>
    </row>
    <row r="451" spans="1:2" x14ac:dyDescent="0.25">
      <c r="A451" s="13"/>
      <c r="B451" s="13"/>
    </row>
    <row r="452" spans="1:2" x14ac:dyDescent="0.25">
      <c r="A452" s="13"/>
      <c r="B452" s="13"/>
    </row>
    <row r="453" spans="1:2" x14ac:dyDescent="0.25">
      <c r="A453" s="13"/>
      <c r="B453" s="13"/>
    </row>
    <row r="454" spans="1:2" x14ac:dyDescent="0.25">
      <c r="A454" s="13"/>
      <c r="B454" s="13"/>
    </row>
    <row r="455" spans="1:2" x14ac:dyDescent="0.25">
      <c r="A455" s="13"/>
      <c r="B455" s="13"/>
    </row>
    <row r="456" spans="1:2" x14ac:dyDescent="0.25">
      <c r="A456" s="13"/>
      <c r="B456" s="13"/>
    </row>
    <row r="457" spans="1:2" x14ac:dyDescent="0.25">
      <c r="A457" s="13"/>
      <c r="B457" s="13"/>
    </row>
    <row r="458" spans="1:2" x14ac:dyDescent="0.25">
      <c r="A458" s="13"/>
      <c r="B458" s="13"/>
    </row>
    <row r="459" spans="1:2" x14ac:dyDescent="0.25">
      <c r="A459" s="13"/>
      <c r="B459" s="13"/>
    </row>
    <row r="460" spans="1:2" x14ac:dyDescent="0.25">
      <c r="A460" s="13"/>
      <c r="B460" s="13"/>
    </row>
    <row r="461" spans="1:2" x14ac:dyDescent="0.25">
      <c r="A461" s="13"/>
      <c r="B461" s="13"/>
    </row>
    <row r="462" spans="1:2" x14ac:dyDescent="0.25">
      <c r="A462" s="13"/>
      <c r="B462" s="13"/>
    </row>
    <row r="463" spans="1:2" x14ac:dyDescent="0.25">
      <c r="A463" s="13"/>
      <c r="B463" s="13"/>
    </row>
    <row r="464" spans="1:2" x14ac:dyDescent="0.25">
      <c r="A464" s="13"/>
      <c r="B464" s="13"/>
    </row>
    <row r="465" spans="1:2" x14ac:dyDescent="0.25">
      <c r="A465" s="13"/>
      <c r="B465" s="13"/>
    </row>
    <row r="466" spans="1:2" x14ac:dyDescent="0.25">
      <c r="A466" s="13"/>
      <c r="B466" s="13"/>
    </row>
    <row r="467" spans="1:2" x14ac:dyDescent="0.25">
      <c r="A467" s="13"/>
      <c r="B467" s="13"/>
    </row>
    <row r="468" spans="1:2" x14ac:dyDescent="0.25">
      <c r="A468" s="13"/>
      <c r="B468" s="13"/>
    </row>
    <row r="469" spans="1:2" x14ac:dyDescent="0.25">
      <c r="A469" s="13"/>
      <c r="B469" s="13"/>
    </row>
    <row r="470" spans="1:2" x14ac:dyDescent="0.25">
      <c r="A470" s="13"/>
      <c r="B470" s="13"/>
    </row>
    <row r="471" spans="1:2" x14ac:dyDescent="0.25">
      <c r="A471" s="13"/>
      <c r="B471" s="13"/>
    </row>
    <row r="472" spans="1:2" x14ac:dyDescent="0.25">
      <c r="A472" s="13"/>
      <c r="B472" s="13"/>
    </row>
    <row r="473" spans="1:2" x14ac:dyDescent="0.25">
      <c r="A473" s="13"/>
      <c r="B473" s="13"/>
    </row>
    <row r="474" spans="1:2" x14ac:dyDescent="0.25">
      <c r="A474" s="13"/>
      <c r="B474" s="13"/>
    </row>
    <row r="475" spans="1:2" x14ac:dyDescent="0.25">
      <c r="A475" s="13"/>
      <c r="B475" s="13"/>
    </row>
    <row r="476" spans="1:2" x14ac:dyDescent="0.25">
      <c r="A476" s="13"/>
      <c r="B476" s="13"/>
    </row>
    <row r="477" spans="1:2" x14ac:dyDescent="0.25">
      <c r="A477" s="13"/>
      <c r="B477" s="13"/>
    </row>
    <row r="478" spans="1:2" x14ac:dyDescent="0.25">
      <c r="A478" s="13"/>
      <c r="B478" s="13"/>
    </row>
    <row r="479" spans="1:2" x14ac:dyDescent="0.25">
      <c r="A479" s="13"/>
      <c r="B479" s="13"/>
    </row>
    <row r="480" spans="1:2" x14ac:dyDescent="0.25">
      <c r="A480" s="13"/>
      <c r="B480" s="13"/>
    </row>
    <row r="481" spans="1:2" x14ac:dyDescent="0.25">
      <c r="A481" s="13"/>
      <c r="B481" s="13"/>
    </row>
    <row r="482" spans="1:2" x14ac:dyDescent="0.25">
      <c r="A482" s="13"/>
      <c r="B482" s="13"/>
    </row>
    <row r="483" spans="1:2" x14ac:dyDescent="0.25">
      <c r="A483" s="13"/>
      <c r="B483" s="13"/>
    </row>
    <row r="484" spans="1:2" x14ac:dyDescent="0.25">
      <c r="A484" s="13"/>
      <c r="B484" s="13"/>
    </row>
    <row r="485" spans="1:2" x14ac:dyDescent="0.25">
      <c r="A485" s="13"/>
      <c r="B485" s="13"/>
    </row>
    <row r="486" spans="1:2" x14ac:dyDescent="0.25">
      <c r="A486" s="13"/>
      <c r="B486" s="13"/>
    </row>
    <row r="487" spans="1:2" x14ac:dyDescent="0.25">
      <c r="A487" s="13"/>
      <c r="B487" s="13"/>
    </row>
    <row r="488" spans="1:2" x14ac:dyDescent="0.25">
      <c r="A488" s="13"/>
      <c r="B488" s="13"/>
    </row>
    <row r="489" spans="1:2" x14ac:dyDescent="0.25">
      <c r="A489" s="13"/>
      <c r="B489" s="13"/>
    </row>
    <row r="490" spans="1:2" x14ac:dyDescent="0.25">
      <c r="A490" s="13"/>
      <c r="B490" s="13"/>
    </row>
    <row r="491" spans="1:2" x14ac:dyDescent="0.25">
      <c r="A491" s="13"/>
      <c r="B491" s="13"/>
    </row>
    <row r="492" spans="1:2" x14ac:dyDescent="0.25">
      <c r="A492" s="13"/>
      <c r="B492" s="13"/>
    </row>
    <row r="493" spans="1:2" x14ac:dyDescent="0.25">
      <c r="A493" s="13"/>
      <c r="B493" s="13"/>
    </row>
    <row r="494" spans="1:2" x14ac:dyDescent="0.25">
      <c r="A494" s="13"/>
      <c r="B494" s="13"/>
    </row>
    <row r="495" spans="1:2" x14ac:dyDescent="0.25">
      <c r="A495" s="13"/>
      <c r="B495" s="13"/>
    </row>
    <row r="496" spans="1:2" x14ac:dyDescent="0.25">
      <c r="A496" s="13"/>
      <c r="B496" s="13"/>
    </row>
    <row r="497" spans="1:2" x14ac:dyDescent="0.25">
      <c r="A497" s="13"/>
      <c r="B497" s="13"/>
    </row>
    <row r="498" spans="1:2" x14ac:dyDescent="0.25">
      <c r="A498" s="13"/>
      <c r="B498" s="13"/>
    </row>
    <row r="499" spans="1:2" x14ac:dyDescent="0.25">
      <c r="A499" s="13"/>
      <c r="B499" s="13"/>
    </row>
    <row r="500" spans="1:2" x14ac:dyDescent="0.25">
      <c r="A500" s="13"/>
      <c r="B500" s="13"/>
    </row>
    <row r="501" spans="1:2" x14ac:dyDescent="0.25">
      <c r="A501" s="13"/>
      <c r="B501" s="13"/>
    </row>
    <row r="502" spans="1:2" x14ac:dyDescent="0.25">
      <c r="A502" s="13"/>
      <c r="B502" s="13"/>
    </row>
    <row r="503" spans="1:2" x14ac:dyDescent="0.25">
      <c r="A503" s="13"/>
      <c r="B503" s="13"/>
    </row>
    <row r="504" spans="1:2" x14ac:dyDescent="0.25">
      <c r="A504" s="13"/>
      <c r="B504" s="13"/>
    </row>
    <row r="505" spans="1:2" x14ac:dyDescent="0.25">
      <c r="A505" s="13"/>
      <c r="B505" s="13"/>
    </row>
    <row r="506" spans="1:2" x14ac:dyDescent="0.25">
      <c r="A506" s="13"/>
      <c r="B506" s="13"/>
    </row>
    <row r="507" spans="1:2" x14ac:dyDescent="0.25">
      <c r="A507" s="13"/>
      <c r="B507" s="13"/>
    </row>
    <row r="508" spans="1:2" x14ac:dyDescent="0.25">
      <c r="A508" s="13"/>
      <c r="B508" s="13"/>
    </row>
    <row r="509" spans="1:2" x14ac:dyDescent="0.25">
      <c r="A509" s="13"/>
      <c r="B509" s="13"/>
    </row>
    <row r="510" spans="1:2" x14ac:dyDescent="0.25">
      <c r="A510" s="13"/>
      <c r="B510" s="13"/>
    </row>
    <row r="511" spans="1:2" x14ac:dyDescent="0.25">
      <c r="A511" s="13"/>
      <c r="B511" s="13"/>
    </row>
    <row r="512" spans="1:2" x14ac:dyDescent="0.25">
      <c r="A512" s="13"/>
      <c r="B512" s="13"/>
    </row>
    <row r="513" spans="1:2" x14ac:dyDescent="0.25">
      <c r="A513" s="13"/>
      <c r="B513" s="13"/>
    </row>
    <row r="514" spans="1:2" x14ac:dyDescent="0.25">
      <c r="A514" s="13"/>
      <c r="B514" s="13"/>
    </row>
    <row r="515" spans="1:2" x14ac:dyDescent="0.25">
      <c r="A515" s="13"/>
      <c r="B515" s="13"/>
    </row>
    <row r="516" spans="1:2" x14ac:dyDescent="0.25">
      <c r="A516" s="13"/>
      <c r="B516" s="13"/>
    </row>
    <row r="517" spans="1:2" x14ac:dyDescent="0.25">
      <c r="A517" s="13"/>
      <c r="B517" s="13"/>
    </row>
    <row r="518" spans="1:2" x14ac:dyDescent="0.25">
      <c r="A518" s="13"/>
      <c r="B518" s="13"/>
    </row>
    <row r="519" spans="1:2" x14ac:dyDescent="0.25">
      <c r="A519" s="13"/>
      <c r="B519" s="13"/>
    </row>
    <row r="520" spans="1:2" x14ac:dyDescent="0.25">
      <c r="A520" s="13"/>
      <c r="B520" s="13"/>
    </row>
    <row r="521" spans="1:2" x14ac:dyDescent="0.25">
      <c r="A521" s="13"/>
      <c r="B521" s="13"/>
    </row>
    <row r="522" spans="1:2" x14ac:dyDescent="0.25">
      <c r="A522" s="13"/>
      <c r="B522" s="13"/>
    </row>
    <row r="523" spans="1:2" x14ac:dyDescent="0.25">
      <c r="A523" s="13"/>
      <c r="B523" s="13"/>
    </row>
    <row r="524" spans="1:2" x14ac:dyDescent="0.25">
      <c r="A524" s="13"/>
      <c r="B524" s="13"/>
    </row>
    <row r="525" spans="1:2" x14ac:dyDescent="0.25">
      <c r="A525" s="13"/>
      <c r="B525" s="13"/>
    </row>
    <row r="526" spans="1:2" x14ac:dyDescent="0.25">
      <c r="A526" s="13"/>
      <c r="B526" s="13"/>
    </row>
    <row r="527" spans="1:2" x14ac:dyDescent="0.25">
      <c r="A527" s="13"/>
      <c r="B527" s="13"/>
    </row>
    <row r="528" spans="1:2" x14ac:dyDescent="0.25">
      <c r="A528" s="13"/>
      <c r="B528" s="13"/>
    </row>
    <row r="529" spans="1:2" x14ac:dyDescent="0.25">
      <c r="A529" s="13"/>
      <c r="B529" s="13"/>
    </row>
    <row r="530" spans="1:2" x14ac:dyDescent="0.25">
      <c r="A530" s="13"/>
      <c r="B530" s="13"/>
    </row>
    <row r="531" spans="1:2" x14ac:dyDescent="0.25">
      <c r="A531" s="13"/>
      <c r="B531" s="13"/>
    </row>
    <row r="532" spans="1:2" x14ac:dyDescent="0.25">
      <c r="A532" s="13"/>
      <c r="B532" s="13"/>
    </row>
    <row r="533" spans="1:2" x14ac:dyDescent="0.25">
      <c r="A533" s="13"/>
      <c r="B533" s="13"/>
    </row>
    <row r="534" spans="1:2" x14ac:dyDescent="0.25">
      <c r="A534" s="13"/>
      <c r="B534" s="13"/>
    </row>
    <row r="535" spans="1:2" x14ac:dyDescent="0.25">
      <c r="A535" s="13"/>
      <c r="B535" s="13"/>
    </row>
    <row r="536" spans="1:2" x14ac:dyDescent="0.25">
      <c r="A536" s="13"/>
      <c r="B536" s="13"/>
    </row>
    <row r="537" spans="1:2" x14ac:dyDescent="0.25">
      <c r="A537" s="13"/>
      <c r="B537" s="13"/>
    </row>
    <row r="538" spans="1:2" x14ac:dyDescent="0.25">
      <c r="A538" s="13"/>
      <c r="B538" s="13"/>
    </row>
    <row r="539" spans="1:2" x14ac:dyDescent="0.25">
      <c r="A539" s="13"/>
      <c r="B539" s="13"/>
    </row>
    <row r="540" spans="1:2" x14ac:dyDescent="0.25">
      <c r="A540" s="13"/>
      <c r="B540" s="13"/>
    </row>
    <row r="541" spans="1:2" x14ac:dyDescent="0.25">
      <c r="A541" s="13"/>
      <c r="B541" s="13"/>
    </row>
    <row r="542" spans="1:2" x14ac:dyDescent="0.25">
      <c r="A542" s="13"/>
      <c r="B542" s="13"/>
    </row>
    <row r="543" spans="1:2" x14ac:dyDescent="0.25">
      <c r="A543" s="13"/>
      <c r="B543" s="13"/>
    </row>
    <row r="544" spans="1:2" x14ac:dyDescent="0.25">
      <c r="A544" s="13"/>
      <c r="B544" s="13"/>
    </row>
    <row r="545" spans="1:2" x14ac:dyDescent="0.25">
      <c r="A545" s="13"/>
      <c r="B545" s="13"/>
    </row>
    <row r="546" spans="1:2" x14ac:dyDescent="0.25">
      <c r="A546" s="13"/>
      <c r="B546" s="13"/>
    </row>
    <row r="547" spans="1:2" x14ac:dyDescent="0.25">
      <c r="A547" s="13"/>
      <c r="B547" s="13"/>
    </row>
    <row r="548" spans="1:2" x14ac:dyDescent="0.25">
      <c r="A548" s="13"/>
      <c r="B548" s="13"/>
    </row>
    <row r="549" spans="1:2" x14ac:dyDescent="0.25">
      <c r="A549" s="13"/>
      <c r="B549" s="13"/>
    </row>
    <row r="550" spans="1:2" x14ac:dyDescent="0.25">
      <c r="A550" s="13"/>
      <c r="B550" s="13"/>
    </row>
    <row r="551" spans="1:2" x14ac:dyDescent="0.25">
      <c r="A551" s="13"/>
      <c r="B551" s="13"/>
    </row>
    <row r="552" spans="1:2" x14ac:dyDescent="0.25">
      <c r="A552" s="13"/>
      <c r="B552" s="13"/>
    </row>
    <row r="553" spans="1:2" x14ac:dyDescent="0.25">
      <c r="A553" s="13"/>
      <c r="B553" s="13"/>
    </row>
    <row r="554" spans="1:2" x14ac:dyDescent="0.25">
      <c r="A554" s="13"/>
      <c r="B554" s="13"/>
    </row>
    <row r="555" spans="1:2" x14ac:dyDescent="0.25">
      <c r="A555" s="13"/>
      <c r="B555" s="13"/>
    </row>
    <row r="556" spans="1:2" x14ac:dyDescent="0.25">
      <c r="A556" s="13"/>
      <c r="B556" s="13"/>
    </row>
    <row r="557" spans="1:2" x14ac:dyDescent="0.25">
      <c r="A557" s="13"/>
      <c r="B557" s="13"/>
    </row>
    <row r="558" spans="1:2" x14ac:dyDescent="0.25">
      <c r="A558" s="13"/>
      <c r="B558" s="13"/>
    </row>
    <row r="559" spans="1:2" x14ac:dyDescent="0.25">
      <c r="A559" s="13"/>
      <c r="B559" s="13"/>
    </row>
    <row r="560" spans="1:2" x14ac:dyDescent="0.25">
      <c r="A560" s="13"/>
      <c r="B560" s="13"/>
    </row>
    <row r="561" spans="1:2" x14ac:dyDescent="0.25">
      <c r="A561" s="13"/>
      <c r="B561" s="13"/>
    </row>
    <row r="562" spans="1:2" x14ac:dyDescent="0.25">
      <c r="A562" s="13"/>
      <c r="B562" s="13"/>
    </row>
    <row r="563" spans="1:2" x14ac:dyDescent="0.25">
      <c r="A563" s="13"/>
      <c r="B563" s="13"/>
    </row>
    <row r="564" spans="1:2" x14ac:dyDescent="0.25">
      <c r="A564" s="13"/>
      <c r="B564" s="13"/>
    </row>
    <row r="565" spans="1:2" x14ac:dyDescent="0.25">
      <c r="A565" s="13"/>
      <c r="B565" s="13"/>
    </row>
    <row r="566" spans="1:2" x14ac:dyDescent="0.25">
      <c r="A566" s="13"/>
      <c r="B566" s="13"/>
    </row>
    <row r="567" spans="1:2" x14ac:dyDescent="0.25">
      <c r="A567" s="13"/>
      <c r="B567" s="13"/>
    </row>
    <row r="568" spans="1:2" x14ac:dyDescent="0.25">
      <c r="A568" s="13"/>
      <c r="B568" s="13"/>
    </row>
    <row r="569" spans="1:2" x14ac:dyDescent="0.25">
      <c r="A569" s="13"/>
      <c r="B569" s="13"/>
    </row>
    <row r="570" spans="1:2" x14ac:dyDescent="0.25">
      <c r="A570" s="13"/>
      <c r="B570" s="13"/>
    </row>
    <row r="571" spans="1:2" x14ac:dyDescent="0.25">
      <c r="A571" s="13"/>
      <c r="B571" s="13"/>
    </row>
    <row r="572" spans="1:2" x14ac:dyDescent="0.25">
      <c r="A572" s="13"/>
      <c r="B572" s="13"/>
    </row>
    <row r="573" spans="1:2" x14ac:dyDescent="0.25">
      <c r="A573" s="13"/>
      <c r="B573" s="13"/>
    </row>
    <row r="574" spans="1:2" x14ac:dyDescent="0.25">
      <c r="A574" s="13"/>
      <c r="B574" s="13"/>
    </row>
    <row r="575" spans="1:2" x14ac:dyDescent="0.25">
      <c r="A575" s="13"/>
      <c r="B575" s="13"/>
    </row>
    <row r="576" spans="1:2" x14ac:dyDescent="0.25">
      <c r="A576" s="13"/>
      <c r="B576" s="13"/>
    </row>
    <row r="577" spans="1:2" x14ac:dyDescent="0.25">
      <c r="A577" s="13"/>
      <c r="B577" s="13"/>
    </row>
    <row r="578" spans="1:2" x14ac:dyDescent="0.25">
      <c r="A578" s="13"/>
      <c r="B578" s="13"/>
    </row>
    <row r="579" spans="1:2" x14ac:dyDescent="0.25">
      <c r="A579" s="13"/>
      <c r="B579" s="13"/>
    </row>
    <row r="580" spans="1:2" x14ac:dyDescent="0.25">
      <c r="A580" s="13"/>
      <c r="B580" s="13"/>
    </row>
    <row r="581" spans="1:2" x14ac:dyDescent="0.25">
      <c r="A581" s="13"/>
      <c r="B581" s="13"/>
    </row>
    <row r="582" spans="1:2" x14ac:dyDescent="0.25">
      <c r="A582" s="13"/>
      <c r="B582" s="13"/>
    </row>
    <row r="583" spans="1:2" x14ac:dyDescent="0.25">
      <c r="A583" s="13"/>
      <c r="B583" s="13"/>
    </row>
    <row r="584" spans="1:2" x14ac:dyDescent="0.25">
      <c r="A584" s="13"/>
      <c r="B584" s="13"/>
    </row>
    <row r="585" spans="1:2" x14ac:dyDescent="0.25">
      <c r="A585" s="13"/>
      <c r="B585" s="13"/>
    </row>
    <row r="586" spans="1:2" x14ac:dyDescent="0.25">
      <c r="A586" s="13"/>
      <c r="B586" s="13"/>
    </row>
    <row r="587" spans="1:2" x14ac:dyDescent="0.25">
      <c r="A587" s="13"/>
      <c r="B587" s="13"/>
    </row>
    <row r="588" spans="1:2" x14ac:dyDescent="0.25">
      <c r="A588" s="13"/>
      <c r="B588" s="13"/>
    </row>
    <row r="589" spans="1:2" x14ac:dyDescent="0.25">
      <c r="A589" s="13"/>
      <c r="B589" s="13"/>
    </row>
    <row r="590" spans="1:2" x14ac:dyDescent="0.25">
      <c r="A590" s="13"/>
      <c r="B590" s="13"/>
    </row>
    <row r="591" spans="1:2" x14ac:dyDescent="0.25">
      <c r="A591" s="13"/>
      <c r="B591" s="13"/>
    </row>
    <row r="592" spans="1:2" x14ac:dyDescent="0.25">
      <c r="A592" s="13"/>
      <c r="B592" s="13"/>
    </row>
    <row r="593" spans="1:2" x14ac:dyDescent="0.25">
      <c r="A593" s="13"/>
      <c r="B593" s="13"/>
    </row>
    <row r="594" spans="1:2" x14ac:dyDescent="0.25">
      <c r="A594" s="13"/>
      <c r="B594" s="13"/>
    </row>
    <row r="595" spans="1:2" x14ac:dyDescent="0.25">
      <c r="A595" s="13"/>
      <c r="B595" s="13"/>
    </row>
    <row r="596" spans="1:2" x14ac:dyDescent="0.25">
      <c r="A596" s="13"/>
      <c r="B596" s="13"/>
    </row>
    <row r="597" spans="1:2" x14ac:dyDescent="0.25">
      <c r="A597" s="13"/>
      <c r="B597" s="13"/>
    </row>
    <row r="598" spans="1:2" x14ac:dyDescent="0.25">
      <c r="A598" s="13"/>
      <c r="B598" s="13"/>
    </row>
    <row r="599" spans="1:2" x14ac:dyDescent="0.25">
      <c r="A599" s="13"/>
      <c r="B599" s="13"/>
    </row>
    <row r="600" spans="1:2" x14ac:dyDescent="0.25">
      <c r="A600" s="13"/>
      <c r="B600" s="13"/>
    </row>
    <row r="601" spans="1:2" x14ac:dyDescent="0.25">
      <c r="A601" s="13"/>
      <c r="B601" s="13"/>
    </row>
    <row r="602" spans="1:2" x14ac:dyDescent="0.25">
      <c r="A602" s="13"/>
      <c r="B602" s="13"/>
    </row>
    <row r="603" spans="1:2" x14ac:dyDescent="0.25">
      <c r="A603" s="13"/>
      <c r="B603" s="13"/>
    </row>
    <row r="604" spans="1:2" x14ac:dyDescent="0.25">
      <c r="A604" s="13"/>
      <c r="B604" s="13"/>
    </row>
    <row r="605" spans="1:2" x14ac:dyDescent="0.25">
      <c r="A605" s="13"/>
      <c r="B605" s="13"/>
    </row>
    <row r="606" spans="1:2" x14ac:dyDescent="0.25">
      <c r="A606" s="13"/>
      <c r="B606" s="13"/>
    </row>
    <row r="607" spans="1:2" x14ac:dyDescent="0.25">
      <c r="A607" s="13"/>
      <c r="B607" s="13"/>
    </row>
    <row r="608" spans="1:2" x14ac:dyDescent="0.25">
      <c r="A608" s="13"/>
      <c r="B608" s="13"/>
    </row>
    <row r="609" spans="1:2" x14ac:dyDescent="0.25">
      <c r="A609" s="13"/>
      <c r="B609" s="13"/>
    </row>
    <row r="610" spans="1:2" x14ac:dyDescent="0.25">
      <c r="A610" s="13"/>
      <c r="B610" s="13"/>
    </row>
    <row r="611" spans="1:2" x14ac:dyDescent="0.25">
      <c r="A611" s="13"/>
      <c r="B611" s="13"/>
    </row>
    <row r="612" spans="1:2" x14ac:dyDescent="0.25">
      <c r="A612" s="13"/>
      <c r="B612" s="13"/>
    </row>
    <row r="613" spans="1:2" x14ac:dyDescent="0.25">
      <c r="A613" s="13"/>
      <c r="B613" s="13"/>
    </row>
    <row r="614" spans="1:2" x14ac:dyDescent="0.25">
      <c r="A614" s="13"/>
      <c r="B614" s="13"/>
    </row>
    <row r="615" spans="1:2" x14ac:dyDescent="0.25">
      <c r="A615" s="13"/>
      <c r="B615" s="13"/>
    </row>
    <row r="616" spans="1:2" x14ac:dyDescent="0.25">
      <c r="A616" s="13"/>
      <c r="B616" s="13"/>
    </row>
    <row r="617" spans="1:2" x14ac:dyDescent="0.25">
      <c r="A617" s="13"/>
      <c r="B617" s="13"/>
    </row>
    <row r="618" spans="1:2" x14ac:dyDescent="0.25">
      <c r="A618" s="13"/>
      <c r="B618" s="13"/>
    </row>
    <row r="619" spans="1:2" x14ac:dyDescent="0.25">
      <c r="A619" s="13"/>
      <c r="B619" s="13"/>
    </row>
    <row r="620" spans="1:2" x14ac:dyDescent="0.25">
      <c r="A620" s="13"/>
      <c r="B620" s="13"/>
    </row>
    <row r="621" spans="1:2" x14ac:dyDescent="0.25">
      <c r="A621" s="13"/>
      <c r="B621" s="13"/>
    </row>
    <row r="622" spans="1:2" x14ac:dyDescent="0.25">
      <c r="A622" s="13"/>
      <c r="B622" s="13"/>
    </row>
    <row r="623" spans="1:2" x14ac:dyDescent="0.25">
      <c r="A623" s="13"/>
      <c r="B623" s="13"/>
    </row>
    <row r="624" spans="1:2" x14ac:dyDescent="0.25">
      <c r="A624" s="13"/>
      <c r="B624" s="13"/>
    </row>
    <row r="625" spans="1:2" x14ac:dyDescent="0.25">
      <c r="A625" s="13"/>
      <c r="B625" s="13"/>
    </row>
    <row r="626" spans="1:2" x14ac:dyDescent="0.25">
      <c r="A626" s="13"/>
      <c r="B626" s="13"/>
    </row>
    <row r="627" spans="1:2" x14ac:dyDescent="0.25">
      <c r="A627" s="13"/>
      <c r="B627" s="13"/>
    </row>
    <row r="628" spans="1:2" x14ac:dyDescent="0.25">
      <c r="A628" s="13"/>
      <c r="B628" s="13"/>
    </row>
    <row r="629" spans="1:2" x14ac:dyDescent="0.25">
      <c r="A629" s="13"/>
      <c r="B629" s="13"/>
    </row>
    <row r="630" spans="1:2" x14ac:dyDescent="0.25">
      <c r="A630" s="13"/>
      <c r="B630" s="13"/>
    </row>
    <row r="631" spans="1:2" x14ac:dyDescent="0.25">
      <c r="A631" s="13"/>
      <c r="B631" s="13"/>
    </row>
    <row r="632" spans="1:2" x14ac:dyDescent="0.25">
      <c r="A632" s="13"/>
      <c r="B632" s="13"/>
    </row>
    <row r="633" spans="1:2" x14ac:dyDescent="0.25">
      <c r="A633" s="13"/>
      <c r="B633" s="13"/>
    </row>
    <row r="634" spans="1:2" x14ac:dyDescent="0.25">
      <c r="A634" s="13"/>
      <c r="B634" s="13"/>
    </row>
    <row r="635" spans="1:2" x14ac:dyDescent="0.25">
      <c r="A635" s="13"/>
      <c r="B635" s="13"/>
    </row>
    <row r="636" spans="1:2" x14ac:dyDescent="0.25">
      <c r="A636" s="13"/>
      <c r="B636" s="13"/>
    </row>
    <row r="637" spans="1:2" x14ac:dyDescent="0.25">
      <c r="A637" s="13"/>
      <c r="B637" s="13"/>
    </row>
    <row r="638" spans="1:2" x14ac:dyDescent="0.25">
      <c r="A638" s="13"/>
      <c r="B638" s="13"/>
    </row>
    <row r="639" spans="1:2" x14ac:dyDescent="0.25">
      <c r="A639" s="13"/>
      <c r="B639" s="13"/>
    </row>
    <row r="640" spans="1:2" x14ac:dyDescent="0.25">
      <c r="A640" s="13"/>
      <c r="B640" s="13"/>
    </row>
    <row r="641" spans="1:2" x14ac:dyDescent="0.25">
      <c r="A641" s="13"/>
      <c r="B641" s="13"/>
    </row>
    <row r="642" spans="1:2" x14ac:dyDescent="0.25">
      <c r="A642" s="13"/>
      <c r="B642" s="13"/>
    </row>
    <row r="643" spans="1:2" x14ac:dyDescent="0.25">
      <c r="A643" s="13"/>
      <c r="B643" s="13"/>
    </row>
    <row r="644" spans="1:2" x14ac:dyDescent="0.25">
      <c r="A644" s="13"/>
      <c r="B644" s="13"/>
    </row>
    <row r="645" spans="1:2" x14ac:dyDescent="0.25">
      <c r="A645" s="13"/>
      <c r="B645" s="13"/>
    </row>
    <row r="646" spans="1:2" x14ac:dyDescent="0.25">
      <c r="A646" s="13"/>
      <c r="B646" s="13"/>
    </row>
    <row r="647" spans="1:2" x14ac:dyDescent="0.25">
      <c r="A647" s="13"/>
      <c r="B647" s="13"/>
    </row>
    <row r="648" spans="1:2" x14ac:dyDescent="0.25">
      <c r="A648" s="13"/>
      <c r="B648" s="13"/>
    </row>
    <row r="649" spans="1:2" x14ac:dyDescent="0.25">
      <c r="A649" s="13"/>
      <c r="B649" s="13"/>
    </row>
    <row r="650" spans="1:2" x14ac:dyDescent="0.25">
      <c r="A650" s="13"/>
      <c r="B650" s="13"/>
    </row>
    <row r="651" spans="1:2" x14ac:dyDescent="0.25">
      <c r="A651" s="13"/>
      <c r="B651" s="13"/>
    </row>
    <row r="652" spans="1:2" x14ac:dyDescent="0.25">
      <c r="A652" s="13"/>
      <c r="B652" s="13"/>
    </row>
    <row r="653" spans="1:2" x14ac:dyDescent="0.25">
      <c r="A653" s="13"/>
      <c r="B653" s="13"/>
    </row>
    <row r="654" spans="1:2" x14ac:dyDescent="0.25">
      <c r="A654" s="13"/>
      <c r="B654" s="13"/>
    </row>
    <row r="655" spans="1:2" x14ac:dyDescent="0.25">
      <c r="A655" s="13"/>
      <c r="B655" s="13"/>
    </row>
    <row r="656" spans="1:2" x14ac:dyDescent="0.25">
      <c r="A656" s="13"/>
      <c r="B656" s="13"/>
    </row>
    <row r="657" spans="1:2" x14ac:dyDescent="0.25">
      <c r="A657" s="13"/>
      <c r="B657" s="13"/>
    </row>
    <row r="658" spans="1:2" x14ac:dyDescent="0.25">
      <c r="A658" s="13"/>
      <c r="B658" s="13"/>
    </row>
    <row r="659" spans="1:2" x14ac:dyDescent="0.25">
      <c r="A659" s="13"/>
      <c r="B659" s="13"/>
    </row>
    <row r="660" spans="1:2" x14ac:dyDescent="0.25">
      <c r="A660" s="13"/>
      <c r="B660" s="13"/>
    </row>
    <row r="661" spans="1:2" x14ac:dyDescent="0.25">
      <c r="A661" s="13"/>
      <c r="B661" s="13"/>
    </row>
    <row r="662" spans="1:2" x14ac:dyDescent="0.25">
      <c r="A662" s="13"/>
      <c r="B662" s="13"/>
    </row>
    <row r="663" spans="1:2" x14ac:dyDescent="0.25">
      <c r="A663" s="13"/>
      <c r="B663" s="13"/>
    </row>
    <row r="664" spans="1:2" x14ac:dyDescent="0.25">
      <c r="A664" s="13"/>
      <c r="B664" s="13"/>
    </row>
    <row r="665" spans="1:2" x14ac:dyDescent="0.25">
      <c r="A665" s="13"/>
      <c r="B665" s="13"/>
    </row>
    <row r="666" spans="1:2" x14ac:dyDescent="0.25">
      <c r="A666" s="13"/>
      <c r="B666" s="13"/>
    </row>
    <row r="667" spans="1:2" x14ac:dyDescent="0.25">
      <c r="A667" s="13"/>
      <c r="B667" s="13"/>
    </row>
    <row r="668" spans="1:2" x14ac:dyDescent="0.25">
      <c r="A668" s="13"/>
      <c r="B668" s="13"/>
    </row>
    <row r="669" spans="1:2" x14ac:dyDescent="0.25">
      <c r="A669" s="13"/>
      <c r="B669" s="13"/>
    </row>
    <row r="670" spans="1:2" x14ac:dyDescent="0.25">
      <c r="A670" s="13"/>
      <c r="B670" s="13"/>
    </row>
    <row r="671" spans="1:2" x14ac:dyDescent="0.25">
      <c r="A671" s="13"/>
      <c r="B671" s="13"/>
    </row>
    <row r="672" spans="1:2" x14ac:dyDescent="0.25">
      <c r="A672" s="13"/>
      <c r="B672" s="13"/>
    </row>
    <row r="673" spans="1:2" x14ac:dyDescent="0.25">
      <c r="A673" s="13"/>
      <c r="B673" s="13"/>
    </row>
    <row r="674" spans="1:2" x14ac:dyDescent="0.25">
      <c r="A674" s="13"/>
      <c r="B674" s="13"/>
    </row>
    <row r="675" spans="1:2" x14ac:dyDescent="0.25">
      <c r="A675" s="13"/>
      <c r="B675" s="13"/>
    </row>
    <row r="676" spans="1:2" x14ac:dyDescent="0.25">
      <c r="A676" s="13"/>
      <c r="B676" s="13"/>
    </row>
    <row r="677" spans="1:2" x14ac:dyDescent="0.25">
      <c r="A677" s="13"/>
      <c r="B677" s="13"/>
    </row>
    <row r="678" spans="1:2" x14ac:dyDescent="0.25">
      <c r="A678" s="13"/>
      <c r="B678" s="13"/>
    </row>
    <row r="679" spans="1:2" x14ac:dyDescent="0.25">
      <c r="A679" s="13"/>
      <c r="B679" s="13"/>
    </row>
    <row r="680" spans="1:2" x14ac:dyDescent="0.25">
      <c r="A680" s="13"/>
      <c r="B680" s="13"/>
    </row>
    <row r="681" spans="1:2" x14ac:dyDescent="0.25">
      <c r="A681" s="13"/>
      <c r="B681" s="13"/>
    </row>
    <row r="682" spans="1:2" x14ac:dyDescent="0.25">
      <c r="A682" s="13"/>
      <c r="B682" s="13"/>
    </row>
    <row r="683" spans="1:2" x14ac:dyDescent="0.25">
      <c r="A683" s="13"/>
      <c r="B683" s="13"/>
    </row>
    <row r="684" spans="1:2" x14ac:dyDescent="0.25">
      <c r="A684" s="13"/>
      <c r="B684" s="13"/>
    </row>
    <row r="685" spans="1:2" x14ac:dyDescent="0.25">
      <c r="A685" s="13"/>
      <c r="B685" s="13"/>
    </row>
    <row r="686" spans="1:2" x14ac:dyDescent="0.25">
      <c r="A686" s="13"/>
      <c r="B686" s="13"/>
    </row>
    <row r="687" spans="1:2" x14ac:dyDescent="0.25">
      <c r="A687" s="13"/>
      <c r="B687" s="13"/>
    </row>
    <row r="688" spans="1:2" x14ac:dyDescent="0.25">
      <c r="A688" s="13"/>
      <c r="B688" s="13"/>
    </row>
    <row r="689" spans="1:2" x14ac:dyDescent="0.25">
      <c r="A689" s="13"/>
      <c r="B689" s="13"/>
    </row>
    <row r="690" spans="1:2" x14ac:dyDescent="0.25">
      <c r="A690" s="13"/>
      <c r="B690" s="13"/>
    </row>
    <row r="691" spans="1:2" x14ac:dyDescent="0.25">
      <c r="A691" s="13"/>
      <c r="B691" s="13"/>
    </row>
    <row r="692" spans="1:2" x14ac:dyDescent="0.25">
      <c r="A692" s="13"/>
      <c r="B692" s="13"/>
    </row>
    <row r="693" spans="1:2" x14ac:dyDescent="0.25">
      <c r="A693" s="13"/>
      <c r="B693" s="13"/>
    </row>
    <row r="694" spans="1:2" x14ac:dyDescent="0.25">
      <c r="A694" s="13"/>
      <c r="B694" s="13"/>
    </row>
    <row r="695" spans="1:2" x14ac:dyDescent="0.25">
      <c r="A695" s="13"/>
      <c r="B695" s="13"/>
    </row>
    <row r="696" spans="1:2" x14ac:dyDescent="0.25">
      <c r="A696" s="13"/>
      <c r="B696" s="13"/>
    </row>
    <row r="697" spans="1:2" x14ac:dyDescent="0.25">
      <c r="A697" s="13"/>
      <c r="B697" s="13"/>
    </row>
    <row r="698" spans="1:2" x14ac:dyDescent="0.25">
      <c r="A698" s="13"/>
      <c r="B698" s="13"/>
    </row>
    <row r="699" spans="1:2" x14ac:dyDescent="0.25">
      <c r="A699" s="13"/>
      <c r="B699" s="13"/>
    </row>
    <row r="700" spans="1:2" x14ac:dyDescent="0.25">
      <c r="A700" s="13"/>
      <c r="B700" s="13"/>
    </row>
    <row r="701" spans="1:2" x14ac:dyDescent="0.25">
      <c r="A701" s="13"/>
      <c r="B701" s="13"/>
    </row>
    <row r="702" spans="1:2" x14ac:dyDescent="0.25">
      <c r="A702" s="13"/>
      <c r="B702" s="13"/>
    </row>
    <row r="703" spans="1:2" x14ac:dyDescent="0.25">
      <c r="A703" s="13"/>
      <c r="B703" s="13"/>
    </row>
    <row r="704" spans="1:2" x14ac:dyDescent="0.25">
      <c r="A704" s="13"/>
      <c r="B704" s="13"/>
    </row>
    <row r="705" spans="1:2" x14ac:dyDescent="0.25">
      <c r="A705" s="13"/>
      <c r="B705" s="13"/>
    </row>
    <row r="706" spans="1:2" x14ac:dyDescent="0.25">
      <c r="A706" s="13"/>
      <c r="B706" s="13"/>
    </row>
    <row r="707" spans="1:2" x14ac:dyDescent="0.25">
      <c r="A707" s="13"/>
      <c r="B707" s="13"/>
    </row>
    <row r="708" spans="1:2" x14ac:dyDescent="0.25">
      <c r="A708" s="13"/>
      <c r="B708" s="13"/>
    </row>
    <row r="709" spans="1:2" x14ac:dyDescent="0.25">
      <c r="A709" s="13"/>
      <c r="B709" s="13"/>
    </row>
    <row r="710" spans="1:2" x14ac:dyDescent="0.25">
      <c r="A710" s="13"/>
      <c r="B710" s="13"/>
    </row>
    <row r="711" spans="1:2" x14ac:dyDescent="0.25">
      <c r="A711" s="13"/>
      <c r="B711" s="13"/>
    </row>
    <row r="712" spans="1:2" x14ac:dyDescent="0.25">
      <c r="A712" s="13"/>
      <c r="B712" s="13"/>
    </row>
    <row r="713" spans="1:2" x14ac:dyDescent="0.25">
      <c r="A713" s="13"/>
      <c r="B713" s="13"/>
    </row>
    <row r="714" spans="1:2" x14ac:dyDescent="0.25">
      <c r="A714" s="13"/>
      <c r="B714" s="13"/>
    </row>
    <row r="715" spans="1:2" x14ac:dyDescent="0.25">
      <c r="A715" s="13"/>
      <c r="B715" s="13"/>
    </row>
    <row r="716" spans="1:2" x14ac:dyDescent="0.25">
      <c r="A716" s="13"/>
      <c r="B716" s="13"/>
    </row>
    <row r="717" spans="1:2" x14ac:dyDescent="0.25">
      <c r="A717" s="13"/>
      <c r="B717" s="13"/>
    </row>
    <row r="718" spans="1:2" x14ac:dyDescent="0.25">
      <c r="A718" s="13"/>
      <c r="B718" s="13"/>
    </row>
    <row r="719" spans="1:2" x14ac:dyDescent="0.25">
      <c r="A719" s="13"/>
      <c r="B719" s="13"/>
    </row>
    <row r="720" spans="1:2" x14ac:dyDescent="0.25">
      <c r="A720" s="13"/>
      <c r="B720" s="13"/>
    </row>
    <row r="721" spans="1:2" x14ac:dyDescent="0.25">
      <c r="A721" s="13"/>
      <c r="B721" s="13"/>
    </row>
    <row r="722" spans="1:2" x14ac:dyDescent="0.25">
      <c r="A722" s="13"/>
      <c r="B722" s="13"/>
    </row>
    <row r="723" spans="1:2" x14ac:dyDescent="0.25">
      <c r="A723" s="13"/>
      <c r="B723" s="13"/>
    </row>
    <row r="724" spans="1:2" x14ac:dyDescent="0.25">
      <c r="A724" s="13"/>
      <c r="B724" s="13"/>
    </row>
    <row r="725" spans="1:2" x14ac:dyDescent="0.25">
      <c r="A725" s="13"/>
      <c r="B725" s="13"/>
    </row>
    <row r="726" spans="1:2" x14ac:dyDescent="0.25">
      <c r="A726" s="13"/>
      <c r="B726" s="13"/>
    </row>
    <row r="727" spans="1:2" x14ac:dyDescent="0.25">
      <c r="A727" s="13"/>
      <c r="B727" s="13"/>
    </row>
    <row r="728" spans="1:2" x14ac:dyDescent="0.25">
      <c r="A728" s="13"/>
      <c r="B728" s="13"/>
    </row>
    <row r="729" spans="1:2" x14ac:dyDescent="0.25">
      <c r="A729" s="13"/>
      <c r="B729" s="13"/>
    </row>
    <row r="730" spans="1:2" x14ac:dyDescent="0.25">
      <c r="A730" s="13"/>
      <c r="B730" s="13"/>
    </row>
    <row r="731" spans="1:2" x14ac:dyDescent="0.25">
      <c r="A731" s="13"/>
      <c r="B731" s="13"/>
    </row>
    <row r="732" spans="1:2" x14ac:dyDescent="0.25">
      <c r="A732" s="13"/>
      <c r="B732" s="13"/>
    </row>
    <row r="733" spans="1:2" x14ac:dyDescent="0.25">
      <c r="A733" s="13"/>
      <c r="B733" s="13"/>
    </row>
    <row r="734" spans="1:2" x14ac:dyDescent="0.25">
      <c r="A734" s="13"/>
      <c r="B734" s="13"/>
    </row>
    <row r="735" spans="1:2" x14ac:dyDescent="0.25">
      <c r="A735" s="13"/>
      <c r="B735" s="13"/>
    </row>
    <row r="736" spans="1:2" x14ac:dyDescent="0.25">
      <c r="A736" s="13"/>
      <c r="B736" s="13"/>
    </row>
    <row r="737" spans="1:2" x14ac:dyDescent="0.25">
      <c r="A737" s="13"/>
      <c r="B737" s="13"/>
    </row>
    <row r="738" spans="1:2" x14ac:dyDescent="0.25">
      <c r="A738" s="13"/>
      <c r="B738" s="13"/>
    </row>
    <row r="739" spans="1:2" x14ac:dyDescent="0.25">
      <c r="A739" s="13"/>
      <c r="B739" s="13"/>
    </row>
    <row r="740" spans="1:2" x14ac:dyDescent="0.25">
      <c r="A740" s="13"/>
      <c r="B740" s="13"/>
    </row>
    <row r="741" spans="1:2" x14ac:dyDescent="0.25">
      <c r="A741" s="13"/>
      <c r="B741" s="13"/>
    </row>
    <row r="742" spans="1:2" x14ac:dyDescent="0.25">
      <c r="A742" s="13"/>
      <c r="B742" s="13"/>
    </row>
    <row r="743" spans="1:2" x14ac:dyDescent="0.25">
      <c r="A743" s="13"/>
      <c r="B743" s="13"/>
    </row>
    <row r="744" spans="1:2" x14ac:dyDescent="0.25">
      <c r="A744" s="13"/>
      <c r="B744" s="13"/>
    </row>
    <row r="745" spans="1:2" x14ac:dyDescent="0.25">
      <c r="A745" s="13"/>
      <c r="B745" s="13"/>
    </row>
    <row r="746" spans="1:2" x14ac:dyDescent="0.25">
      <c r="A746" s="13"/>
      <c r="B746" s="13"/>
    </row>
    <row r="747" spans="1:2" x14ac:dyDescent="0.25">
      <c r="A747" s="13"/>
      <c r="B747" s="13"/>
    </row>
    <row r="748" spans="1:2" x14ac:dyDescent="0.25">
      <c r="A748" s="13"/>
      <c r="B748" s="13"/>
    </row>
    <row r="749" spans="1:2" x14ac:dyDescent="0.25">
      <c r="A749" s="13"/>
      <c r="B749" s="13"/>
    </row>
    <row r="750" spans="1:2" x14ac:dyDescent="0.25">
      <c r="A750" s="13"/>
      <c r="B750" s="13"/>
    </row>
    <row r="751" spans="1:2" x14ac:dyDescent="0.25">
      <c r="A751" s="13"/>
      <c r="B751" s="13"/>
    </row>
    <row r="752" spans="1:2" x14ac:dyDescent="0.25">
      <c r="A752" s="13"/>
      <c r="B752" s="13"/>
    </row>
    <row r="753" spans="1:2" x14ac:dyDescent="0.25">
      <c r="A753" s="13"/>
      <c r="B753" s="13"/>
    </row>
    <row r="754" spans="1:2" x14ac:dyDescent="0.25">
      <c r="A754" s="13"/>
      <c r="B754" s="13"/>
    </row>
    <row r="755" spans="1:2" x14ac:dyDescent="0.25">
      <c r="A755" s="13"/>
      <c r="B755" s="13"/>
    </row>
    <row r="756" spans="1:2" x14ac:dyDescent="0.25">
      <c r="A756" s="13"/>
      <c r="B756" s="13"/>
    </row>
    <row r="757" spans="1:2" x14ac:dyDescent="0.25">
      <c r="A757" s="13"/>
      <c r="B757" s="13"/>
    </row>
    <row r="758" spans="1:2" x14ac:dyDescent="0.25">
      <c r="A758" s="13"/>
      <c r="B758" s="13"/>
    </row>
    <row r="759" spans="1:2" x14ac:dyDescent="0.25">
      <c r="A759" s="13"/>
      <c r="B759" s="13"/>
    </row>
    <row r="760" spans="1:2" x14ac:dyDescent="0.25">
      <c r="A760" s="13"/>
      <c r="B760" s="13"/>
    </row>
    <row r="761" spans="1:2" x14ac:dyDescent="0.25">
      <c r="A761" s="13"/>
      <c r="B761" s="13"/>
    </row>
    <row r="762" spans="1:2" x14ac:dyDescent="0.25">
      <c r="A762" s="13"/>
      <c r="B762" s="13"/>
    </row>
    <row r="763" spans="1:2" x14ac:dyDescent="0.25">
      <c r="A763" s="13"/>
      <c r="B763" s="13"/>
    </row>
    <row r="764" spans="1:2" x14ac:dyDescent="0.25">
      <c r="A764" s="13"/>
      <c r="B764" s="13"/>
    </row>
    <row r="765" spans="1:2" x14ac:dyDescent="0.25">
      <c r="A765" s="13"/>
      <c r="B765" s="13"/>
    </row>
    <row r="766" spans="1:2" x14ac:dyDescent="0.25">
      <c r="A766" s="13"/>
      <c r="B766" s="13"/>
    </row>
    <row r="767" spans="1:2" x14ac:dyDescent="0.25">
      <c r="A767" s="13"/>
      <c r="B767" s="13"/>
    </row>
    <row r="768" spans="1:2" x14ac:dyDescent="0.25">
      <c r="A768" s="13"/>
      <c r="B768" s="13"/>
    </row>
    <row r="769" spans="1:2" x14ac:dyDescent="0.25">
      <c r="A769" s="13"/>
      <c r="B769" s="13"/>
    </row>
    <row r="770" spans="1:2" x14ac:dyDescent="0.25">
      <c r="A770" s="13"/>
      <c r="B770" s="13"/>
    </row>
    <row r="771" spans="1:2" x14ac:dyDescent="0.25">
      <c r="A771" s="13"/>
      <c r="B771" s="13"/>
    </row>
    <row r="772" spans="1:2" x14ac:dyDescent="0.25">
      <c r="A772" s="13"/>
      <c r="B772" s="13"/>
    </row>
    <row r="773" spans="1:2" x14ac:dyDescent="0.25">
      <c r="A773" s="13"/>
      <c r="B773" s="13"/>
    </row>
    <row r="774" spans="1:2" x14ac:dyDescent="0.25">
      <c r="A774" s="13"/>
      <c r="B774" s="13"/>
    </row>
    <row r="775" spans="1:2" x14ac:dyDescent="0.25">
      <c r="A775" s="13"/>
      <c r="B775" s="13"/>
    </row>
    <row r="776" spans="1:2" x14ac:dyDescent="0.25">
      <c r="A776" s="13"/>
      <c r="B776" s="13"/>
    </row>
    <row r="777" spans="1:2" x14ac:dyDescent="0.25">
      <c r="A777" s="13"/>
      <c r="B777" s="13"/>
    </row>
    <row r="778" spans="1:2" x14ac:dyDescent="0.25">
      <c r="A778" s="13"/>
      <c r="B778" s="13"/>
    </row>
    <row r="779" spans="1:2" x14ac:dyDescent="0.25">
      <c r="A779" s="13"/>
      <c r="B779" s="13"/>
    </row>
    <row r="780" spans="1:2" x14ac:dyDescent="0.25">
      <c r="A780" s="13"/>
      <c r="B780" s="13"/>
    </row>
    <row r="781" spans="1:2" x14ac:dyDescent="0.25">
      <c r="A781" s="13"/>
      <c r="B781" s="13"/>
    </row>
    <row r="782" spans="1:2" x14ac:dyDescent="0.25">
      <c r="A782" s="13"/>
      <c r="B782" s="13"/>
    </row>
    <row r="783" spans="1:2" x14ac:dyDescent="0.25">
      <c r="A783" s="13"/>
      <c r="B783" s="13"/>
    </row>
    <row r="784" spans="1:2" x14ac:dyDescent="0.25">
      <c r="A784" s="13"/>
      <c r="B784" s="13"/>
    </row>
    <row r="785" spans="1:2" x14ac:dyDescent="0.25">
      <c r="A785" s="13"/>
      <c r="B785" s="13"/>
    </row>
    <row r="786" spans="1:2" x14ac:dyDescent="0.25">
      <c r="A786" s="13"/>
      <c r="B786" s="13"/>
    </row>
    <row r="787" spans="1:2" x14ac:dyDescent="0.25">
      <c r="A787" s="13"/>
      <c r="B787" s="13"/>
    </row>
    <row r="788" spans="1:2" x14ac:dyDescent="0.25">
      <c r="A788" s="13"/>
      <c r="B788" s="13"/>
    </row>
    <row r="789" spans="1:2" x14ac:dyDescent="0.25">
      <c r="A789" s="13"/>
      <c r="B789" s="13"/>
    </row>
    <row r="790" spans="1:2" x14ac:dyDescent="0.25">
      <c r="A790" s="13"/>
      <c r="B790" s="13"/>
    </row>
    <row r="791" spans="1:2" x14ac:dyDescent="0.25">
      <c r="A791" s="13"/>
      <c r="B791" s="13"/>
    </row>
    <row r="792" spans="1:2" x14ac:dyDescent="0.25">
      <c r="A792" s="13"/>
      <c r="B792" s="13"/>
    </row>
    <row r="793" spans="1:2" x14ac:dyDescent="0.25">
      <c r="A793" s="13"/>
      <c r="B793" s="13"/>
    </row>
    <row r="794" spans="1:2" x14ac:dyDescent="0.25">
      <c r="A794" s="13"/>
      <c r="B794" s="13"/>
    </row>
    <row r="795" spans="1:2" x14ac:dyDescent="0.25">
      <c r="A795" s="13"/>
      <c r="B795" s="13"/>
    </row>
    <row r="796" spans="1:2" x14ac:dyDescent="0.25">
      <c r="A796" s="13"/>
      <c r="B796" s="13"/>
    </row>
    <row r="797" spans="1:2" x14ac:dyDescent="0.25">
      <c r="A797" s="13"/>
      <c r="B797" s="13"/>
    </row>
    <row r="798" spans="1:2" x14ac:dyDescent="0.25">
      <c r="A798" s="13"/>
      <c r="B798" s="13"/>
    </row>
    <row r="799" spans="1:2" x14ac:dyDescent="0.25">
      <c r="A799" s="13"/>
      <c r="B799" s="13"/>
    </row>
    <row r="800" spans="1:2" x14ac:dyDescent="0.25">
      <c r="A800" s="13"/>
      <c r="B800" s="13"/>
    </row>
    <row r="801" spans="1:2" x14ac:dyDescent="0.25">
      <c r="A801" s="13"/>
      <c r="B801" s="13"/>
    </row>
    <row r="802" spans="1:2" x14ac:dyDescent="0.25">
      <c r="A802" s="13"/>
      <c r="B802" s="13"/>
    </row>
    <row r="803" spans="1:2" x14ac:dyDescent="0.25">
      <c r="A803" s="13"/>
      <c r="B803" s="13"/>
    </row>
    <row r="804" spans="1:2" x14ac:dyDescent="0.25">
      <c r="A804" s="13"/>
      <c r="B804" s="13"/>
    </row>
    <row r="805" spans="1:2" x14ac:dyDescent="0.25">
      <c r="A805" s="13"/>
      <c r="B805" s="13"/>
    </row>
    <row r="806" spans="1:2" x14ac:dyDescent="0.25">
      <c r="A806" s="13"/>
      <c r="B806" s="13"/>
    </row>
    <row r="807" spans="1:2" x14ac:dyDescent="0.25">
      <c r="A807" s="13"/>
      <c r="B807" s="13"/>
    </row>
    <row r="808" spans="1:2" x14ac:dyDescent="0.25">
      <c r="A808" s="13"/>
      <c r="B808" s="13"/>
    </row>
    <row r="809" spans="1:2" x14ac:dyDescent="0.25">
      <c r="A809" s="13"/>
      <c r="B809" s="13"/>
    </row>
    <row r="810" spans="1:2" x14ac:dyDescent="0.25">
      <c r="A810" s="13"/>
      <c r="B810" s="13"/>
    </row>
    <row r="811" spans="1:2" x14ac:dyDescent="0.25">
      <c r="A811" s="13"/>
      <c r="B811" s="13"/>
    </row>
    <row r="812" spans="1:2" x14ac:dyDescent="0.25">
      <c r="A812" s="13"/>
      <c r="B812" s="13"/>
    </row>
    <row r="813" spans="1:2" x14ac:dyDescent="0.25">
      <c r="A813" s="13"/>
      <c r="B813" s="13"/>
    </row>
    <row r="814" spans="1:2" x14ac:dyDescent="0.25">
      <c r="A814" s="13"/>
      <c r="B814" s="13"/>
    </row>
    <row r="815" spans="1:2" x14ac:dyDescent="0.25">
      <c r="A815" s="13"/>
      <c r="B815" s="13"/>
    </row>
    <row r="816" spans="1:2" x14ac:dyDescent="0.25">
      <c r="A816" s="13"/>
      <c r="B816" s="13"/>
    </row>
    <row r="817" spans="1:2" x14ac:dyDescent="0.25">
      <c r="A817" s="13"/>
      <c r="B817" s="13"/>
    </row>
    <row r="818" spans="1:2" x14ac:dyDescent="0.25">
      <c r="A818" s="13"/>
      <c r="B818" s="13"/>
    </row>
    <row r="819" spans="1:2" x14ac:dyDescent="0.25">
      <c r="A819" s="13"/>
      <c r="B819" s="13"/>
    </row>
    <row r="820" spans="1:2" x14ac:dyDescent="0.25">
      <c r="A820" s="13"/>
      <c r="B820" s="13"/>
    </row>
    <row r="821" spans="1:2" x14ac:dyDescent="0.25">
      <c r="A821" s="13"/>
      <c r="B821" s="13"/>
    </row>
    <row r="822" spans="1:2" x14ac:dyDescent="0.25">
      <c r="A822" s="13"/>
      <c r="B822" s="13"/>
    </row>
    <row r="823" spans="1:2" x14ac:dyDescent="0.25">
      <c r="A823" s="13"/>
      <c r="B823" s="13"/>
    </row>
    <row r="824" spans="1:2" x14ac:dyDescent="0.25">
      <c r="A824" s="13"/>
      <c r="B824" s="13"/>
    </row>
    <row r="825" spans="1:2" x14ac:dyDescent="0.25">
      <c r="A825" s="13"/>
      <c r="B825" s="13"/>
    </row>
    <row r="826" spans="1:2" x14ac:dyDescent="0.25">
      <c r="A826" s="13"/>
      <c r="B826" s="13"/>
    </row>
    <row r="827" spans="1:2" x14ac:dyDescent="0.25">
      <c r="A827" s="13"/>
      <c r="B827" s="13"/>
    </row>
    <row r="828" spans="1:2" x14ac:dyDescent="0.25">
      <c r="A828" s="13"/>
      <c r="B828" s="13"/>
    </row>
    <row r="829" spans="1:2" x14ac:dyDescent="0.25">
      <c r="A829" s="13"/>
      <c r="B829" s="13"/>
    </row>
    <row r="830" spans="1:2" x14ac:dyDescent="0.25">
      <c r="A830" s="13"/>
      <c r="B830" s="13"/>
    </row>
    <row r="831" spans="1:2" x14ac:dyDescent="0.25">
      <c r="A831" s="13"/>
      <c r="B831" s="13"/>
    </row>
    <row r="832" spans="1:2" x14ac:dyDescent="0.25">
      <c r="A832" s="13"/>
      <c r="B832" s="13"/>
    </row>
    <row r="833" spans="1:2" x14ac:dyDescent="0.25">
      <c r="A833" s="13"/>
      <c r="B833" s="13"/>
    </row>
    <row r="834" spans="1:2" x14ac:dyDescent="0.25">
      <c r="A834" s="13"/>
      <c r="B834" s="13"/>
    </row>
    <row r="835" spans="1:2" x14ac:dyDescent="0.25">
      <c r="A835" s="13"/>
      <c r="B835" s="13"/>
    </row>
    <row r="836" spans="1:2" x14ac:dyDescent="0.25">
      <c r="A836" s="13"/>
      <c r="B836" s="13"/>
    </row>
    <row r="837" spans="1:2" x14ac:dyDescent="0.25">
      <c r="A837" s="13"/>
      <c r="B837" s="13"/>
    </row>
    <row r="838" spans="1:2" x14ac:dyDescent="0.25">
      <c r="A838" s="13"/>
      <c r="B838" s="13"/>
    </row>
    <row r="839" spans="1:2" x14ac:dyDescent="0.25">
      <c r="A839" s="13"/>
      <c r="B839" s="13"/>
    </row>
    <row r="840" spans="1:2" x14ac:dyDescent="0.25">
      <c r="A840" s="13"/>
      <c r="B840" s="13"/>
    </row>
    <row r="841" spans="1:2" x14ac:dyDescent="0.25">
      <c r="A841" s="13"/>
      <c r="B841" s="13"/>
    </row>
    <row r="842" spans="1:2" x14ac:dyDescent="0.25">
      <c r="A842" s="13"/>
      <c r="B842" s="13"/>
    </row>
    <row r="843" spans="1:2" x14ac:dyDescent="0.25">
      <c r="A843" s="13"/>
      <c r="B843" s="13"/>
    </row>
    <row r="844" spans="1:2" x14ac:dyDescent="0.25">
      <c r="A844" s="13"/>
      <c r="B844" s="13"/>
    </row>
    <row r="845" spans="1:2" x14ac:dyDescent="0.25">
      <c r="A845" s="13"/>
      <c r="B845" s="13"/>
    </row>
    <row r="846" spans="1:2" x14ac:dyDescent="0.25">
      <c r="A846" s="13"/>
      <c r="B846" s="13"/>
    </row>
    <row r="847" spans="1:2" x14ac:dyDescent="0.25">
      <c r="A847" s="13"/>
      <c r="B847" s="13"/>
    </row>
    <row r="848" spans="1:2" x14ac:dyDescent="0.25">
      <c r="A848" s="13"/>
      <c r="B848" s="13"/>
    </row>
    <row r="849" spans="1:2" x14ac:dyDescent="0.25">
      <c r="A849" s="13"/>
      <c r="B849" s="13"/>
    </row>
    <row r="850" spans="1:2" x14ac:dyDescent="0.25">
      <c r="A850" s="13"/>
      <c r="B850" s="13"/>
    </row>
    <row r="851" spans="1:2" x14ac:dyDescent="0.25">
      <c r="A851" s="13"/>
      <c r="B851" s="13"/>
    </row>
    <row r="852" spans="1:2" x14ac:dyDescent="0.25">
      <c r="A852" s="13"/>
      <c r="B852" s="13"/>
    </row>
    <row r="853" spans="1:2" x14ac:dyDescent="0.25">
      <c r="A853" s="13"/>
      <c r="B853" s="13"/>
    </row>
    <row r="854" spans="1:2" x14ac:dyDescent="0.25">
      <c r="A854" s="13"/>
      <c r="B854" s="13"/>
    </row>
    <row r="855" spans="1:2" x14ac:dyDescent="0.25">
      <c r="A855" s="13"/>
      <c r="B855" s="13"/>
    </row>
    <row r="856" spans="1:2" x14ac:dyDescent="0.25">
      <c r="A856" s="13"/>
      <c r="B856" s="13"/>
    </row>
    <row r="857" spans="1:2" x14ac:dyDescent="0.25">
      <c r="A857" s="13"/>
      <c r="B857" s="13"/>
    </row>
    <row r="858" spans="1:2" x14ac:dyDescent="0.25">
      <c r="A858" s="13"/>
      <c r="B858" s="13"/>
    </row>
    <row r="859" spans="1:2" x14ac:dyDescent="0.25">
      <c r="A859" s="13"/>
      <c r="B859" s="13"/>
    </row>
    <row r="860" spans="1:2" x14ac:dyDescent="0.25">
      <c r="A860" s="13"/>
      <c r="B860" s="13"/>
    </row>
    <row r="861" spans="1:2" x14ac:dyDescent="0.25">
      <c r="A861" s="13"/>
      <c r="B861" s="13"/>
    </row>
    <row r="862" spans="1:2" x14ac:dyDescent="0.25">
      <c r="A862" s="13"/>
      <c r="B862" s="13"/>
    </row>
    <row r="863" spans="1:2" x14ac:dyDescent="0.25">
      <c r="A863" s="13"/>
      <c r="B863" s="13"/>
    </row>
    <row r="864" spans="1:2" x14ac:dyDescent="0.25">
      <c r="A864" s="13"/>
      <c r="B864" s="13"/>
    </row>
    <row r="865" spans="1:2" x14ac:dyDescent="0.25">
      <c r="A865" s="13"/>
      <c r="B865" s="13"/>
    </row>
    <row r="866" spans="1:2" x14ac:dyDescent="0.25">
      <c r="A866" s="13"/>
      <c r="B866" s="13"/>
    </row>
    <row r="867" spans="1:2" x14ac:dyDescent="0.25">
      <c r="A867" s="13"/>
      <c r="B867" s="13"/>
    </row>
    <row r="868" spans="1:2" x14ac:dyDescent="0.25">
      <c r="A868" s="13"/>
      <c r="B868" s="13"/>
    </row>
    <row r="869" spans="1:2" x14ac:dyDescent="0.25">
      <c r="A869" s="13"/>
      <c r="B869" s="13"/>
    </row>
    <row r="870" spans="1:2" x14ac:dyDescent="0.25">
      <c r="A870" s="13"/>
      <c r="B870" s="13"/>
    </row>
    <row r="871" spans="1:2" x14ac:dyDescent="0.25">
      <c r="A871" s="13"/>
      <c r="B871" s="13"/>
    </row>
    <row r="872" spans="1:2" x14ac:dyDescent="0.25">
      <c r="A872" s="13"/>
      <c r="B872" s="13"/>
    </row>
    <row r="873" spans="1:2" x14ac:dyDescent="0.25">
      <c r="A873" s="13"/>
      <c r="B873" s="13"/>
    </row>
    <row r="874" spans="1:2" x14ac:dyDescent="0.25">
      <c r="A874" s="13"/>
      <c r="B874" s="13"/>
    </row>
    <row r="875" spans="1:2" x14ac:dyDescent="0.25">
      <c r="A875" s="13"/>
      <c r="B875" s="13"/>
    </row>
    <row r="876" spans="1:2" x14ac:dyDescent="0.25">
      <c r="A876" s="13"/>
      <c r="B876" s="13"/>
    </row>
    <row r="877" spans="1:2" x14ac:dyDescent="0.25">
      <c r="A877" s="13"/>
      <c r="B877" s="13"/>
    </row>
    <row r="878" spans="1:2" x14ac:dyDescent="0.25">
      <c r="A878" s="13"/>
      <c r="B878" s="13"/>
    </row>
    <row r="879" spans="1:2" x14ac:dyDescent="0.25">
      <c r="A879" s="13"/>
      <c r="B879" s="13"/>
    </row>
    <row r="880" spans="1:2" x14ac:dyDescent="0.25">
      <c r="A880" s="13"/>
      <c r="B880" s="13"/>
    </row>
    <row r="881" spans="1:2" x14ac:dyDescent="0.25">
      <c r="A881" s="13"/>
      <c r="B881" s="13"/>
    </row>
    <row r="882" spans="1:2" x14ac:dyDescent="0.25">
      <c r="A882" s="13"/>
      <c r="B882" s="13"/>
    </row>
    <row r="883" spans="1:2" x14ac:dyDescent="0.25">
      <c r="A883" s="13"/>
      <c r="B883" s="13"/>
    </row>
    <row r="884" spans="1:2" x14ac:dyDescent="0.25">
      <c r="A884" s="13"/>
      <c r="B884" s="13"/>
    </row>
    <row r="885" spans="1:2" x14ac:dyDescent="0.25">
      <c r="A885" s="13"/>
      <c r="B885" s="13"/>
    </row>
    <row r="886" spans="1:2" x14ac:dyDescent="0.25">
      <c r="A886" s="13"/>
      <c r="B886" s="13"/>
    </row>
    <row r="887" spans="1:2" x14ac:dyDescent="0.25">
      <c r="A887" s="13"/>
      <c r="B887" s="13"/>
    </row>
    <row r="888" spans="1:2" x14ac:dyDescent="0.25">
      <c r="A888" s="13"/>
      <c r="B888" s="13"/>
    </row>
    <row r="889" spans="1:2" x14ac:dyDescent="0.25">
      <c r="A889" s="13"/>
      <c r="B889" s="13"/>
    </row>
    <row r="890" spans="1:2" x14ac:dyDescent="0.25">
      <c r="A890" s="13"/>
      <c r="B890" s="13"/>
    </row>
    <row r="891" spans="1:2" x14ac:dyDescent="0.25">
      <c r="A891" s="13"/>
      <c r="B891" s="13"/>
    </row>
    <row r="892" spans="1:2" x14ac:dyDescent="0.25">
      <c r="A892" s="13"/>
      <c r="B892" s="13"/>
    </row>
    <row r="893" spans="1:2" x14ac:dyDescent="0.25">
      <c r="A893" s="13"/>
      <c r="B893" s="13"/>
    </row>
    <row r="894" spans="1:2" x14ac:dyDescent="0.25">
      <c r="A894" s="13"/>
      <c r="B894" s="13"/>
    </row>
    <row r="895" spans="1:2" x14ac:dyDescent="0.25">
      <c r="A895" s="13"/>
      <c r="B895" s="13"/>
    </row>
    <row r="896" spans="1:2" x14ac:dyDescent="0.25">
      <c r="A896" s="13"/>
      <c r="B896" s="13"/>
    </row>
    <row r="897" spans="1:2" x14ac:dyDescent="0.25">
      <c r="A897" s="13"/>
      <c r="B897" s="13"/>
    </row>
    <row r="898" spans="1:2" x14ac:dyDescent="0.25">
      <c r="A898" s="13"/>
      <c r="B898" s="13"/>
    </row>
    <row r="899" spans="1:2" x14ac:dyDescent="0.25">
      <c r="A899" s="13"/>
      <c r="B899" s="13"/>
    </row>
    <row r="900" spans="1:2" x14ac:dyDescent="0.25">
      <c r="A900" s="13"/>
      <c r="B900" s="13"/>
    </row>
    <row r="901" spans="1:2" x14ac:dyDescent="0.25">
      <c r="A901" s="13"/>
      <c r="B901" s="13"/>
    </row>
    <row r="902" spans="1:2" x14ac:dyDescent="0.25">
      <c r="A902" s="13"/>
      <c r="B902" s="13"/>
    </row>
    <row r="903" spans="1:2" x14ac:dyDescent="0.25">
      <c r="A903" s="13"/>
      <c r="B903" s="13"/>
    </row>
    <row r="904" spans="1:2" x14ac:dyDescent="0.25">
      <c r="A904" s="13"/>
      <c r="B904" s="13"/>
    </row>
    <row r="905" spans="1:2" x14ac:dyDescent="0.25">
      <c r="A905" s="13"/>
      <c r="B905" s="13"/>
    </row>
    <row r="906" spans="1:2" x14ac:dyDescent="0.25">
      <c r="A906" s="13"/>
      <c r="B906" s="13"/>
    </row>
    <row r="907" spans="1:2" x14ac:dyDescent="0.25">
      <c r="A907" s="13"/>
      <c r="B907" s="13"/>
    </row>
    <row r="908" spans="1:2" x14ac:dyDescent="0.25">
      <c r="A908" s="13"/>
      <c r="B908" s="13"/>
    </row>
    <row r="909" spans="1:2" x14ac:dyDescent="0.25">
      <c r="A909" s="13"/>
      <c r="B909" s="13"/>
    </row>
    <row r="910" spans="1:2" x14ac:dyDescent="0.25">
      <c r="A910" s="13"/>
      <c r="B910" s="13"/>
    </row>
    <row r="911" spans="1:2" x14ac:dyDescent="0.25">
      <c r="A911" s="13"/>
      <c r="B911" s="13"/>
    </row>
    <row r="912" spans="1:2" x14ac:dyDescent="0.25">
      <c r="A912" s="13"/>
      <c r="B912" s="13"/>
    </row>
    <row r="913" spans="1:2" x14ac:dyDescent="0.25">
      <c r="A913" s="13"/>
      <c r="B913" s="13"/>
    </row>
    <row r="914" spans="1:2" x14ac:dyDescent="0.25">
      <c r="A914" s="13"/>
      <c r="B914" s="13"/>
    </row>
    <row r="915" spans="1:2" x14ac:dyDescent="0.25">
      <c r="A915" s="13"/>
      <c r="B915" s="13"/>
    </row>
    <row r="916" spans="1:2" x14ac:dyDescent="0.25">
      <c r="A916" s="13"/>
      <c r="B916" s="13"/>
    </row>
    <row r="917" spans="1:2" x14ac:dyDescent="0.25">
      <c r="A917" s="13"/>
      <c r="B917" s="13"/>
    </row>
    <row r="918" spans="1:2" x14ac:dyDescent="0.25">
      <c r="A918" s="13"/>
      <c r="B918" s="13"/>
    </row>
    <row r="919" spans="1:2" x14ac:dyDescent="0.25">
      <c r="A919" s="13"/>
      <c r="B919" s="13"/>
    </row>
    <row r="920" spans="1:2" x14ac:dyDescent="0.25">
      <c r="A920" s="13"/>
      <c r="B920" s="13"/>
    </row>
    <row r="921" spans="1:2" x14ac:dyDescent="0.25">
      <c r="A921" s="13"/>
      <c r="B921" s="13"/>
    </row>
    <row r="922" spans="1:2" x14ac:dyDescent="0.25">
      <c r="A922" s="13"/>
      <c r="B922" s="13"/>
    </row>
    <row r="923" spans="1:2" x14ac:dyDescent="0.25">
      <c r="A923" s="13"/>
      <c r="B923" s="13"/>
    </row>
    <row r="924" spans="1:2" x14ac:dyDescent="0.25">
      <c r="A924" s="13"/>
      <c r="B924" s="13"/>
    </row>
    <row r="925" spans="1:2" x14ac:dyDescent="0.25">
      <c r="A925" s="13"/>
      <c r="B925" s="13"/>
    </row>
    <row r="926" spans="1:2" x14ac:dyDescent="0.25">
      <c r="A926" s="13"/>
      <c r="B926" s="13"/>
    </row>
    <row r="927" spans="1:2" x14ac:dyDescent="0.25">
      <c r="A927" s="13"/>
      <c r="B927" s="13"/>
    </row>
    <row r="928" spans="1:2" x14ac:dyDescent="0.25">
      <c r="A928" s="13"/>
      <c r="B928" s="13"/>
    </row>
    <row r="929" spans="1:2" x14ac:dyDescent="0.25">
      <c r="A929" s="13"/>
      <c r="B929" s="13"/>
    </row>
    <row r="930" spans="1:2" x14ac:dyDescent="0.25">
      <c r="A930" s="13"/>
      <c r="B930" s="13"/>
    </row>
    <row r="931" spans="1:2" x14ac:dyDescent="0.25">
      <c r="A931" s="13"/>
      <c r="B931" s="13"/>
    </row>
    <row r="932" spans="1:2" x14ac:dyDescent="0.25">
      <c r="A932" s="13"/>
      <c r="B932" s="13"/>
    </row>
    <row r="933" spans="1:2" x14ac:dyDescent="0.25">
      <c r="A933" s="13"/>
      <c r="B933" s="13"/>
    </row>
    <row r="934" spans="1:2" x14ac:dyDescent="0.25">
      <c r="A934" s="13"/>
      <c r="B934" s="13"/>
    </row>
    <row r="935" spans="1:2" x14ac:dyDescent="0.25">
      <c r="A935" s="13"/>
      <c r="B935" s="13"/>
    </row>
    <row r="936" spans="1:2" x14ac:dyDescent="0.25">
      <c r="A936" s="13"/>
      <c r="B936" s="13"/>
    </row>
    <row r="937" spans="1:2" x14ac:dyDescent="0.25">
      <c r="A937" s="13"/>
      <c r="B937" s="13"/>
    </row>
    <row r="938" spans="1:2" x14ac:dyDescent="0.25">
      <c r="A938" s="13"/>
      <c r="B938" s="13"/>
    </row>
    <row r="939" spans="1:2" x14ac:dyDescent="0.25">
      <c r="A939" s="13"/>
      <c r="B939" s="13"/>
    </row>
    <row r="940" spans="1:2" x14ac:dyDescent="0.25">
      <c r="A940" s="13"/>
      <c r="B940" s="13"/>
    </row>
    <row r="941" spans="1:2" x14ac:dyDescent="0.25">
      <c r="A941" s="13"/>
      <c r="B941" s="13"/>
    </row>
    <row r="942" spans="1:2" x14ac:dyDescent="0.25">
      <c r="A942" s="13"/>
      <c r="B942" s="13"/>
    </row>
    <row r="943" spans="1:2" x14ac:dyDescent="0.25">
      <c r="A943" s="13"/>
      <c r="B943" s="13"/>
    </row>
    <row r="944" spans="1:2" x14ac:dyDescent="0.25">
      <c r="A944" s="13"/>
      <c r="B944" s="13"/>
    </row>
    <row r="945" spans="1:2" x14ac:dyDescent="0.25">
      <c r="A945" s="13"/>
      <c r="B945" s="13"/>
    </row>
    <row r="946" spans="1:2" x14ac:dyDescent="0.25">
      <c r="A946" s="13"/>
      <c r="B946" s="13"/>
    </row>
    <row r="947" spans="1:2" x14ac:dyDescent="0.25">
      <c r="A947" s="13"/>
      <c r="B947" s="13"/>
    </row>
    <row r="948" spans="1:2" x14ac:dyDescent="0.25">
      <c r="A948" s="13"/>
      <c r="B948" s="13"/>
    </row>
    <row r="949" spans="1:2" x14ac:dyDescent="0.25">
      <c r="A949" s="13"/>
      <c r="B949" s="13"/>
    </row>
    <row r="950" spans="1:2" x14ac:dyDescent="0.25">
      <c r="A950" s="13"/>
      <c r="B950" s="13"/>
    </row>
    <row r="951" spans="1:2" x14ac:dyDescent="0.25">
      <c r="A951" s="13"/>
      <c r="B951" s="13"/>
    </row>
    <row r="952" spans="1:2" x14ac:dyDescent="0.25">
      <c r="A952" s="13"/>
      <c r="B952" s="13"/>
    </row>
    <row r="953" spans="1:2" x14ac:dyDescent="0.25">
      <c r="A953" s="13"/>
      <c r="B953" s="13"/>
    </row>
    <row r="954" spans="1:2" x14ac:dyDescent="0.25">
      <c r="A954" s="13"/>
      <c r="B954" s="13"/>
    </row>
    <row r="955" spans="1:2" x14ac:dyDescent="0.25">
      <c r="A955" s="13"/>
      <c r="B955" s="13"/>
    </row>
    <row r="956" spans="1:2" x14ac:dyDescent="0.25">
      <c r="A956" s="13"/>
      <c r="B956" s="13"/>
    </row>
    <row r="957" spans="1:2" x14ac:dyDescent="0.25">
      <c r="A957" s="13"/>
      <c r="B957" s="13"/>
    </row>
    <row r="958" spans="1:2" x14ac:dyDescent="0.25">
      <c r="A958" s="13"/>
      <c r="B958" s="13"/>
    </row>
    <row r="959" spans="1:2" x14ac:dyDescent="0.25">
      <c r="A959" s="13"/>
      <c r="B959" s="13"/>
    </row>
    <row r="960" spans="1:2" x14ac:dyDescent="0.25">
      <c r="A960" s="13"/>
      <c r="B960" s="13"/>
    </row>
    <row r="961" spans="1:2" x14ac:dyDescent="0.25">
      <c r="A961" s="13"/>
      <c r="B961" s="13"/>
    </row>
    <row r="962" spans="1:2" x14ac:dyDescent="0.25">
      <c r="A962" s="13"/>
      <c r="B962" s="13"/>
    </row>
    <row r="963" spans="1:2" x14ac:dyDescent="0.25">
      <c r="A963" s="13"/>
      <c r="B963" s="13"/>
    </row>
    <row r="964" spans="1:2" x14ac:dyDescent="0.25">
      <c r="A964" s="13"/>
      <c r="B964" s="13"/>
    </row>
    <row r="965" spans="1:2" x14ac:dyDescent="0.25">
      <c r="A965" s="13"/>
      <c r="B965" s="13"/>
    </row>
    <row r="966" spans="1:2" x14ac:dyDescent="0.25">
      <c r="A966" s="13"/>
      <c r="B966" s="13"/>
    </row>
    <row r="967" spans="1:2" x14ac:dyDescent="0.25">
      <c r="A967" s="13"/>
      <c r="B967" s="13"/>
    </row>
    <row r="968" spans="1:2" x14ac:dyDescent="0.25">
      <c r="A968" s="13"/>
      <c r="B968" s="13"/>
    </row>
    <row r="969" spans="1:2" x14ac:dyDescent="0.25">
      <c r="A969" s="13"/>
      <c r="B969" s="13"/>
    </row>
    <row r="970" spans="1:2" x14ac:dyDescent="0.25">
      <c r="A970" s="13"/>
      <c r="B970" s="13"/>
    </row>
    <row r="971" spans="1:2" x14ac:dyDescent="0.25">
      <c r="A971" s="13"/>
      <c r="B971" s="13"/>
    </row>
    <row r="972" spans="1:2" x14ac:dyDescent="0.25">
      <c r="A972" s="13"/>
      <c r="B972" s="13"/>
    </row>
    <row r="973" spans="1:2" x14ac:dyDescent="0.25">
      <c r="A973" s="13"/>
      <c r="B973" s="13"/>
    </row>
    <row r="974" spans="1:2" x14ac:dyDescent="0.25">
      <c r="A974" s="13"/>
      <c r="B974" s="13"/>
    </row>
    <row r="975" spans="1:2" x14ac:dyDescent="0.25">
      <c r="A975" s="13"/>
      <c r="B975" s="13"/>
    </row>
    <row r="976" spans="1:2" x14ac:dyDescent="0.25">
      <c r="A976" s="13"/>
      <c r="B976" s="13"/>
    </row>
    <row r="977" spans="1:2" x14ac:dyDescent="0.25">
      <c r="A977" s="13"/>
      <c r="B977" s="13"/>
    </row>
    <row r="978" spans="1:2" x14ac:dyDescent="0.25">
      <c r="A978" s="13"/>
      <c r="B978" s="13"/>
    </row>
    <row r="979" spans="1:2" x14ac:dyDescent="0.25">
      <c r="A979" s="13"/>
      <c r="B979" s="13"/>
    </row>
    <row r="980" spans="1:2" x14ac:dyDescent="0.25">
      <c r="A980" s="13"/>
      <c r="B980" s="13"/>
    </row>
    <row r="981" spans="1:2" x14ac:dyDescent="0.25">
      <c r="A981" s="13"/>
      <c r="B981" s="13"/>
    </row>
    <row r="982" spans="1:2" x14ac:dyDescent="0.25">
      <c r="A982" s="13"/>
      <c r="B982" s="13"/>
    </row>
    <row r="983" spans="1:2" x14ac:dyDescent="0.25">
      <c r="A983" s="13"/>
      <c r="B983" s="13"/>
    </row>
    <row r="984" spans="1:2" x14ac:dyDescent="0.25">
      <c r="A984" s="13"/>
      <c r="B984" s="13"/>
    </row>
    <row r="985" spans="1:2" x14ac:dyDescent="0.25">
      <c r="A985" s="13"/>
      <c r="B985" s="13"/>
    </row>
    <row r="986" spans="1:2" x14ac:dyDescent="0.25">
      <c r="A986" s="13"/>
      <c r="B986" s="13"/>
    </row>
    <row r="987" spans="1:2" x14ac:dyDescent="0.25">
      <c r="A987" s="13"/>
      <c r="B987" s="13"/>
    </row>
    <row r="988" spans="1:2" x14ac:dyDescent="0.25">
      <c r="A988" s="13"/>
      <c r="B988" s="13"/>
    </row>
    <row r="989" spans="1:2" x14ac:dyDescent="0.25">
      <c r="A989" s="13"/>
      <c r="B989" s="13"/>
    </row>
    <row r="990" spans="1:2" x14ac:dyDescent="0.25">
      <c r="A990" s="13"/>
      <c r="B990" s="13"/>
    </row>
    <row r="991" spans="1:2" x14ac:dyDescent="0.25">
      <c r="A991" s="13"/>
      <c r="B991" s="13"/>
    </row>
    <row r="992" spans="1:2" x14ac:dyDescent="0.25">
      <c r="A992" s="13"/>
      <c r="B992" s="13"/>
    </row>
    <row r="993" spans="1:2" x14ac:dyDescent="0.25">
      <c r="A993" s="13"/>
      <c r="B993" s="13"/>
    </row>
    <row r="994" spans="1:2" x14ac:dyDescent="0.25">
      <c r="A994" s="13"/>
      <c r="B994" s="13"/>
    </row>
    <row r="995" spans="1:2" x14ac:dyDescent="0.25">
      <c r="A995" s="13"/>
      <c r="B995" s="13"/>
    </row>
    <row r="996" spans="1:2" x14ac:dyDescent="0.25">
      <c r="A996" s="13"/>
      <c r="B996" s="13"/>
    </row>
    <row r="997" spans="1:2" x14ac:dyDescent="0.25">
      <c r="A997" s="13"/>
      <c r="B997" s="13"/>
    </row>
    <row r="998" spans="1:2" x14ac:dyDescent="0.25">
      <c r="A998" s="13"/>
      <c r="B998" s="13"/>
    </row>
    <row r="999" spans="1:2" x14ac:dyDescent="0.25">
      <c r="A999" s="13"/>
      <c r="B999" s="13"/>
    </row>
    <row r="1000" spans="1:2" x14ac:dyDescent="0.25">
      <c r="A1000" s="13"/>
      <c r="B1000" s="13"/>
    </row>
    <row r="1001" spans="1:2" x14ac:dyDescent="0.25">
      <c r="A1001" s="13"/>
      <c r="B1001" s="13"/>
    </row>
    <row r="1002" spans="1:2" x14ac:dyDescent="0.25">
      <c r="A1002" s="13"/>
      <c r="B1002" s="13"/>
    </row>
    <row r="1003" spans="1:2" x14ac:dyDescent="0.25">
      <c r="A1003" s="13"/>
      <c r="B1003" s="13"/>
    </row>
    <row r="1004" spans="1:2" x14ac:dyDescent="0.25">
      <c r="A1004" s="13"/>
      <c r="B1004" s="13"/>
    </row>
    <row r="1005" spans="1:2" x14ac:dyDescent="0.25">
      <c r="A1005" s="13"/>
      <c r="B1005" s="13"/>
    </row>
    <row r="1006" spans="1:2" x14ac:dyDescent="0.25">
      <c r="A1006" s="13"/>
      <c r="B1006" s="13"/>
    </row>
    <row r="1007" spans="1:2" x14ac:dyDescent="0.25">
      <c r="A1007" s="13"/>
      <c r="B1007" s="13"/>
    </row>
    <row r="1008" spans="1:2" x14ac:dyDescent="0.25">
      <c r="A1008" s="13"/>
      <c r="B1008" s="13"/>
    </row>
    <row r="1009" spans="1:2" x14ac:dyDescent="0.25">
      <c r="A1009" s="13"/>
      <c r="B1009" s="13"/>
    </row>
    <row r="1010" spans="1:2" x14ac:dyDescent="0.25">
      <c r="A1010" s="13"/>
      <c r="B1010" s="13"/>
    </row>
    <row r="1011" spans="1:2" x14ac:dyDescent="0.25">
      <c r="A1011" s="13"/>
      <c r="B1011" s="13"/>
    </row>
    <row r="1012" spans="1:2" x14ac:dyDescent="0.25">
      <c r="A1012" s="13"/>
      <c r="B1012" s="13"/>
    </row>
    <row r="1013" spans="1:2" x14ac:dyDescent="0.25">
      <c r="A1013" s="13"/>
      <c r="B1013" s="13"/>
    </row>
    <row r="1014" spans="1:2" x14ac:dyDescent="0.25">
      <c r="A1014" s="13"/>
      <c r="B1014" s="13"/>
    </row>
    <row r="1015" spans="1:2" x14ac:dyDescent="0.25">
      <c r="A1015" s="13"/>
      <c r="B1015" s="13"/>
    </row>
    <row r="1016" spans="1:2" x14ac:dyDescent="0.25">
      <c r="A1016" s="13"/>
      <c r="B1016" s="13"/>
    </row>
    <row r="1017" spans="1:2" x14ac:dyDescent="0.25">
      <c r="A1017" s="13"/>
      <c r="B1017" s="13"/>
    </row>
    <row r="1018" spans="1:2" x14ac:dyDescent="0.25">
      <c r="A1018" s="13"/>
      <c r="B1018" s="13"/>
    </row>
    <row r="1019" spans="1:2" x14ac:dyDescent="0.25">
      <c r="A1019" s="13"/>
      <c r="B1019" s="13"/>
    </row>
    <row r="1020" spans="1:2" x14ac:dyDescent="0.25">
      <c r="A1020" s="13"/>
      <c r="B1020" s="13"/>
    </row>
    <row r="1021" spans="1:2" x14ac:dyDescent="0.25">
      <c r="A1021" s="13"/>
      <c r="B1021" s="13"/>
    </row>
    <row r="1022" spans="1:2" x14ac:dyDescent="0.25">
      <c r="A1022" s="13"/>
      <c r="B1022" s="13"/>
    </row>
    <row r="1023" spans="1:2" x14ac:dyDescent="0.25">
      <c r="A1023" s="13"/>
      <c r="B1023" s="13"/>
    </row>
    <row r="1024" spans="1:2" x14ac:dyDescent="0.25">
      <c r="A1024" s="13"/>
      <c r="B1024" s="13"/>
    </row>
    <row r="1025" spans="1:2" x14ac:dyDescent="0.25">
      <c r="A1025" s="13"/>
      <c r="B1025" s="13"/>
    </row>
    <row r="1026" spans="1:2" x14ac:dyDescent="0.25">
      <c r="A1026" s="13"/>
      <c r="B1026" s="13"/>
    </row>
    <row r="1027" spans="1:2" x14ac:dyDescent="0.25">
      <c r="A1027" s="13"/>
      <c r="B1027" s="13"/>
    </row>
    <row r="1028" spans="1:2" x14ac:dyDescent="0.25">
      <c r="A1028" s="13"/>
      <c r="B1028" s="13"/>
    </row>
    <row r="1029" spans="1:2" x14ac:dyDescent="0.25">
      <c r="A1029" s="13"/>
      <c r="B1029" s="13"/>
    </row>
    <row r="1030" spans="1:2" x14ac:dyDescent="0.25">
      <c r="A1030" s="13"/>
      <c r="B1030" s="13"/>
    </row>
    <row r="1031" spans="1:2" x14ac:dyDescent="0.25">
      <c r="A1031" s="13"/>
      <c r="B1031" s="13"/>
    </row>
    <row r="1032" spans="1:2" x14ac:dyDescent="0.25">
      <c r="A1032" s="13"/>
      <c r="B1032" s="13"/>
    </row>
    <row r="1033" spans="1:2" x14ac:dyDescent="0.25">
      <c r="A1033" s="13"/>
      <c r="B1033" s="13"/>
    </row>
    <row r="1034" spans="1:2" x14ac:dyDescent="0.25">
      <c r="A1034" s="13"/>
      <c r="B1034" s="13"/>
    </row>
    <row r="1035" spans="1:2" x14ac:dyDescent="0.25">
      <c r="A1035" s="13"/>
      <c r="B1035" s="13"/>
    </row>
    <row r="1036" spans="1:2" x14ac:dyDescent="0.25">
      <c r="A1036" s="13"/>
      <c r="B1036" s="13"/>
    </row>
    <row r="1037" spans="1:2" x14ac:dyDescent="0.25">
      <c r="A1037" s="13"/>
      <c r="B1037" s="13"/>
    </row>
    <row r="1038" spans="1:2" x14ac:dyDescent="0.25">
      <c r="A1038" s="13"/>
      <c r="B1038" s="13"/>
    </row>
    <row r="1039" spans="1:2" x14ac:dyDescent="0.25">
      <c r="A1039" s="13"/>
      <c r="B1039" s="13"/>
    </row>
    <row r="1040" spans="1:2" x14ac:dyDescent="0.25">
      <c r="A1040" s="13"/>
      <c r="B1040" s="13"/>
    </row>
    <row r="1041" spans="1:2" x14ac:dyDescent="0.25">
      <c r="A1041" s="13"/>
      <c r="B1041" s="13"/>
    </row>
    <row r="1042" spans="1:2" x14ac:dyDescent="0.25">
      <c r="A1042" s="13"/>
      <c r="B1042" s="13"/>
    </row>
    <row r="1043" spans="1:2" x14ac:dyDescent="0.25">
      <c r="A1043" s="13"/>
      <c r="B1043" s="13"/>
    </row>
    <row r="1044" spans="1:2" x14ac:dyDescent="0.25">
      <c r="A1044" s="13"/>
      <c r="B1044" s="13"/>
    </row>
    <row r="1045" spans="1:2" x14ac:dyDescent="0.25">
      <c r="A1045" s="13"/>
      <c r="B1045" s="13"/>
    </row>
    <row r="1046" spans="1:2" x14ac:dyDescent="0.25">
      <c r="A1046" s="13"/>
      <c r="B1046" s="13"/>
    </row>
    <row r="1047" spans="1:2" x14ac:dyDescent="0.25">
      <c r="A1047" s="13"/>
      <c r="B1047" s="13"/>
    </row>
    <row r="1048" spans="1:2" x14ac:dyDescent="0.25">
      <c r="A1048" s="13"/>
      <c r="B1048" s="13"/>
    </row>
    <row r="1049" spans="1:2" x14ac:dyDescent="0.25">
      <c r="A1049" s="13"/>
      <c r="B1049" s="13"/>
    </row>
    <row r="1050" spans="1:2" x14ac:dyDescent="0.25">
      <c r="A1050" s="13"/>
      <c r="B1050" s="13"/>
    </row>
    <row r="1051" spans="1:2" x14ac:dyDescent="0.25">
      <c r="A1051" s="13"/>
      <c r="B1051" s="13"/>
    </row>
    <row r="1052" spans="1:2" x14ac:dyDescent="0.25">
      <c r="A1052" s="13"/>
      <c r="B1052" s="13"/>
    </row>
    <row r="1053" spans="1:2" x14ac:dyDescent="0.25">
      <c r="A1053" s="13"/>
      <c r="B1053" s="13"/>
    </row>
    <row r="1054" spans="1:2" x14ac:dyDescent="0.25">
      <c r="A1054" s="13"/>
      <c r="B1054" s="13"/>
    </row>
    <row r="1055" spans="1:2" x14ac:dyDescent="0.25">
      <c r="A1055" s="13"/>
      <c r="B1055" s="13"/>
    </row>
    <row r="1056" spans="1:2" x14ac:dyDescent="0.25">
      <c r="A1056" s="13"/>
      <c r="B1056" s="13"/>
    </row>
    <row r="1057" spans="1:2" x14ac:dyDescent="0.25">
      <c r="A1057" s="13"/>
      <c r="B1057" s="13"/>
    </row>
    <row r="1058" spans="1:2" x14ac:dyDescent="0.25">
      <c r="A1058" s="13"/>
      <c r="B1058" s="13"/>
    </row>
    <row r="1059" spans="1:2" x14ac:dyDescent="0.25">
      <c r="A1059" s="13"/>
      <c r="B1059" s="13"/>
    </row>
    <row r="1060" spans="1:2" x14ac:dyDescent="0.25">
      <c r="A1060" s="13"/>
      <c r="B1060" s="13"/>
    </row>
    <row r="1061" spans="1:2" x14ac:dyDescent="0.25">
      <c r="A1061" s="13"/>
      <c r="B1061" s="13"/>
    </row>
    <row r="1062" spans="1:2" x14ac:dyDescent="0.25">
      <c r="A1062" s="13"/>
      <c r="B1062" s="13"/>
    </row>
    <row r="1063" spans="1:2" x14ac:dyDescent="0.25">
      <c r="A1063" s="13"/>
      <c r="B1063" s="13"/>
    </row>
    <row r="1064" spans="1:2" x14ac:dyDescent="0.25">
      <c r="A1064" s="13"/>
      <c r="B1064" s="13"/>
    </row>
    <row r="1065" spans="1:2" x14ac:dyDescent="0.25">
      <c r="A1065" s="13"/>
      <c r="B1065" s="13"/>
    </row>
    <row r="1066" spans="1:2" x14ac:dyDescent="0.25">
      <c r="A1066" s="13"/>
      <c r="B1066" s="13"/>
    </row>
    <row r="1067" spans="1:2" x14ac:dyDescent="0.25">
      <c r="A1067" s="13"/>
      <c r="B1067" s="13"/>
    </row>
    <row r="1068" spans="1:2" x14ac:dyDescent="0.25">
      <c r="A1068" s="13"/>
      <c r="B1068" s="13"/>
    </row>
    <row r="1069" spans="1:2" x14ac:dyDescent="0.25">
      <c r="A1069" s="13"/>
      <c r="B1069" s="13"/>
    </row>
    <row r="1070" spans="1:2" x14ac:dyDescent="0.25">
      <c r="A1070" s="13"/>
      <c r="B1070" s="13"/>
    </row>
    <row r="1071" spans="1:2" x14ac:dyDescent="0.25">
      <c r="A1071" s="13"/>
      <c r="B1071" s="13"/>
    </row>
    <row r="1072" spans="1:2" x14ac:dyDescent="0.25">
      <c r="A1072" s="13"/>
      <c r="B1072" s="13"/>
    </row>
    <row r="1073" spans="1:2" x14ac:dyDescent="0.25">
      <c r="A1073" s="13"/>
      <c r="B1073" s="13"/>
    </row>
    <row r="1074" spans="1:2" x14ac:dyDescent="0.25">
      <c r="A1074" s="13"/>
      <c r="B1074" s="13"/>
    </row>
    <row r="1075" spans="1:2" x14ac:dyDescent="0.25">
      <c r="A1075" s="13"/>
      <c r="B1075" s="13"/>
    </row>
    <row r="1076" spans="1:2" x14ac:dyDescent="0.25">
      <c r="A1076" s="13"/>
      <c r="B1076" s="13"/>
    </row>
    <row r="1077" spans="1:2" x14ac:dyDescent="0.25">
      <c r="A1077" s="13"/>
      <c r="B1077" s="13"/>
    </row>
    <row r="1078" spans="1:2" x14ac:dyDescent="0.25">
      <c r="A1078" s="13"/>
      <c r="B1078" s="13"/>
    </row>
    <row r="1079" spans="1:2" x14ac:dyDescent="0.25">
      <c r="A1079" s="13"/>
      <c r="B1079" s="13"/>
    </row>
    <row r="1080" spans="1:2" x14ac:dyDescent="0.25">
      <c r="A1080" s="13"/>
      <c r="B1080" s="13"/>
    </row>
    <row r="1081" spans="1:2" x14ac:dyDescent="0.25">
      <c r="A1081" s="13"/>
      <c r="B1081" s="13"/>
    </row>
    <row r="1082" spans="1:2" x14ac:dyDescent="0.25">
      <c r="A1082" s="13"/>
      <c r="B1082" s="13"/>
    </row>
    <row r="1083" spans="1:2" x14ac:dyDescent="0.25">
      <c r="A1083" s="13"/>
      <c r="B1083" s="13"/>
    </row>
    <row r="1084" spans="1:2" x14ac:dyDescent="0.25">
      <c r="A1084" s="13"/>
      <c r="B1084" s="13"/>
    </row>
    <row r="1085" spans="1:2" x14ac:dyDescent="0.25">
      <c r="A1085" s="13"/>
      <c r="B1085" s="13"/>
    </row>
    <row r="1086" spans="1:2" x14ac:dyDescent="0.25">
      <c r="A1086" s="13"/>
      <c r="B1086" s="13"/>
    </row>
    <row r="1087" spans="1:2" x14ac:dyDescent="0.25">
      <c r="A1087" s="13"/>
      <c r="B1087" s="13"/>
    </row>
    <row r="1088" spans="1:2" x14ac:dyDescent="0.25">
      <c r="A1088" s="13"/>
      <c r="B1088" s="13"/>
    </row>
    <row r="1089" spans="1:2" x14ac:dyDescent="0.25">
      <c r="A1089" s="13"/>
      <c r="B1089" s="13"/>
    </row>
    <row r="1090" spans="1:2" x14ac:dyDescent="0.25">
      <c r="A1090" s="13"/>
      <c r="B1090" s="13"/>
    </row>
    <row r="1091" spans="1:2" x14ac:dyDescent="0.25">
      <c r="A1091" s="13"/>
      <c r="B1091" s="13"/>
    </row>
    <row r="1092" spans="1:2" x14ac:dyDescent="0.25">
      <c r="A1092" s="13"/>
      <c r="B1092" s="13"/>
    </row>
    <row r="1093" spans="1:2" x14ac:dyDescent="0.25">
      <c r="A1093" s="13"/>
      <c r="B1093" s="13"/>
    </row>
    <row r="1094" spans="1:2" x14ac:dyDescent="0.25">
      <c r="A1094" s="13"/>
      <c r="B1094" s="13"/>
    </row>
    <row r="1095" spans="1:2" x14ac:dyDescent="0.25">
      <c r="A1095" s="13"/>
      <c r="B1095" s="13"/>
    </row>
    <row r="1096" spans="1:2" x14ac:dyDescent="0.25">
      <c r="A1096" s="13"/>
      <c r="B1096" s="13"/>
    </row>
    <row r="1097" spans="1:2" x14ac:dyDescent="0.25">
      <c r="A1097" s="13"/>
      <c r="B1097" s="13"/>
    </row>
    <row r="1098" spans="1:2" x14ac:dyDescent="0.25">
      <c r="A1098" s="13"/>
      <c r="B1098" s="13"/>
    </row>
    <row r="1099" spans="1:2" x14ac:dyDescent="0.25">
      <c r="A1099" s="13"/>
      <c r="B1099" s="13"/>
    </row>
    <row r="1100" spans="1:2" x14ac:dyDescent="0.25">
      <c r="A1100" s="13"/>
      <c r="B1100" s="13"/>
    </row>
    <row r="1101" spans="1:2" x14ac:dyDescent="0.25">
      <c r="A1101" s="13"/>
      <c r="B1101" s="13"/>
    </row>
    <row r="1102" spans="1:2" x14ac:dyDescent="0.25">
      <c r="A1102" s="13"/>
      <c r="B1102" s="13"/>
    </row>
    <row r="1103" spans="1:2" x14ac:dyDescent="0.25">
      <c r="A1103" s="13"/>
      <c r="B1103" s="13"/>
    </row>
    <row r="1104" spans="1:2" x14ac:dyDescent="0.25">
      <c r="A1104" s="13"/>
      <c r="B1104" s="13"/>
    </row>
    <row r="1105" spans="1:2" x14ac:dyDescent="0.25">
      <c r="A1105" s="13"/>
      <c r="B1105" s="13"/>
    </row>
    <row r="1106" spans="1:2" x14ac:dyDescent="0.25">
      <c r="A1106" s="13"/>
      <c r="B1106" s="13"/>
    </row>
    <row r="1107" spans="1:2" x14ac:dyDescent="0.25">
      <c r="A1107" s="13"/>
      <c r="B1107" s="13"/>
    </row>
    <row r="1108" spans="1:2" x14ac:dyDescent="0.25">
      <c r="A1108" s="13"/>
      <c r="B1108" s="13"/>
    </row>
    <row r="1109" spans="1:2" x14ac:dyDescent="0.25">
      <c r="A1109" s="13"/>
      <c r="B1109" s="13"/>
    </row>
    <row r="1110" spans="1:2" x14ac:dyDescent="0.25">
      <c r="A1110" s="13"/>
      <c r="B1110" s="13"/>
    </row>
    <row r="1111" spans="1:2" x14ac:dyDescent="0.25">
      <c r="A1111" s="13"/>
      <c r="B1111" s="13"/>
    </row>
    <row r="1112" spans="1:2" x14ac:dyDescent="0.25">
      <c r="A1112" s="13"/>
      <c r="B1112" s="13"/>
    </row>
    <row r="1113" spans="1:2" x14ac:dyDescent="0.25">
      <c r="A1113" s="13"/>
      <c r="B1113" s="13"/>
    </row>
    <row r="1114" spans="1:2" x14ac:dyDescent="0.25">
      <c r="A1114" s="13"/>
      <c r="B1114" s="13"/>
    </row>
    <row r="1115" spans="1:2" x14ac:dyDescent="0.25">
      <c r="A1115" s="13"/>
      <c r="B1115" s="13"/>
    </row>
    <row r="1116" spans="1:2" x14ac:dyDescent="0.25">
      <c r="A1116" s="13"/>
      <c r="B1116" s="13"/>
    </row>
    <row r="1117" spans="1:2" x14ac:dyDescent="0.25">
      <c r="A1117" s="13"/>
      <c r="B1117" s="13"/>
    </row>
    <row r="1118" spans="1:2" x14ac:dyDescent="0.25">
      <c r="A1118" s="13"/>
      <c r="B1118" s="13"/>
    </row>
    <row r="1119" spans="1:2" x14ac:dyDescent="0.25">
      <c r="A1119" s="13"/>
      <c r="B1119" s="13"/>
    </row>
    <row r="1120" spans="1:2" x14ac:dyDescent="0.25">
      <c r="A1120" s="13"/>
      <c r="B1120" s="13"/>
    </row>
    <row r="1121" spans="1:2" x14ac:dyDescent="0.25">
      <c r="A1121" s="13"/>
      <c r="B1121" s="13"/>
    </row>
    <row r="1122" spans="1:2" x14ac:dyDescent="0.25">
      <c r="A1122" s="13"/>
      <c r="B1122" s="13"/>
    </row>
    <row r="1123" spans="1:2" x14ac:dyDescent="0.25">
      <c r="A1123" s="13"/>
      <c r="B1123" s="13"/>
    </row>
    <row r="1124" spans="1:2" x14ac:dyDescent="0.25">
      <c r="A1124" s="13"/>
      <c r="B1124" s="13"/>
    </row>
    <row r="1125" spans="1:2" x14ac:dyDescent="0.25">
      <c r="A1125" s="13"/>
      <c r="B1125" s="13"/>
    </row>
    <row r="1126" spans="1:2" x14ac:dyDescent="0.25">
      <c r="A1126" s="13"/>
      <c r="B1126" s="13"/>
    </row>
    <row r="1127" spans="1:2" x14ac:dyDescent="0.25">
      <c r="A1127" s="13"/>
      <c r="B1127" s="13"/>
    </row>
    <row r="1128" spans="1:2" x14ac:dyDescent="0.25">
      <c r="A1128" s="13"/>
      <c r="B1128" s="13"/>
    </row>
    <row r="1129" spans="1:2" x14ac:dyDescent="0.25">
      <c r="A1129" s="13"/>
      <c r="B1129" s="13"/>
    </row>
    <row r="1130" spans="1:2" x14ac:dyDescent="0.25">
      <c r="A1130" s="13"/>
      <c r="B1130" s="13"/>
    </row>
    <row r="1131" spans="1:2" x14ac:dyDescent="0.25">
      <c r="A1131" s="13"/>
      <c r="B1131" s="13"/>
    </row>
    <row r="1132" spans="1:2" x14ac:dyDescent="0.25">
      <c r="A1132" s="13"/>
      <c r="B1132" s="13"/>
    </row>
    <row r="1133" spans="1:2" x14ac:dyDescent="0.25">
      <c r="A1133" s="13"/>
      <c r="B1133" s="13"/>
    </row>
    <row r="1134" spans="1:2" x14ac:dyDescent="0.25">
      <c r="A1134" s="13"/>
      <c r="B1134" s="13"/>
    </row>
    <row r="1135" spans="1:2" x14ac:dyDescent="0.25">
      <c r="A1135" s="13"/>
      <c r="B1135" s="13"/>
    </row>
    <row r="1136" spans="1:2" x14ac:dyDescent="0.25">
      <c r="A1136" s="13"/>
      <c r="B1136" s="13"/>
    </row>
    <row r="1137" spans="1:2" x14ac:dyDescent="0.25">
      <c r="A1137" s="13"/>
      <c r="B1137" s="13"/>
    </row>
    <row r="1138" spans="1:2" x14ac:dyDescent="0.25">
      <c r="A1138" s="13"/>
      <c r="B1138" s="13"/>
    </row>
    <row r="1139" spans="1:2" x14ac:dyDescent="0.25">
      <c r="A1139" s="13"/>
      <c r="B1139" s="13"/>
    </row>
    <row r="1140" spans="1:2" x14ac:dyDescent="0.25">
      <c r="A1140" s="13"/>
      <c r="B1140" s="13"/>
    </row>
    <row r="1141" spans="1:2" x14ac:dyDescent="0.25">
      <c r="A1141" s="13"/>
      <c r="B1141" s="13"/>
    </row>
    <row r="1142" spans="1:2" x14ac:dyDescent="0.25">
      <c r="A1142" s="13"/>
      <c r="B1142" s="13"/>
    </row>
    <row r="1143" spans="1:2" x14ac:dyDescent="0.25">
      <c r="A1143" s="13"/>
      <c r="B1143" s="13"/>
    </row>
    <row r="1144" spans="1:2" x14ac:dyDescent="0.25">
      <c r="A1144" s="13"/>
      <c r="B1144" s="13"/>
    </row>
    <row r="1145" spans="1:2" x14ac:dyDescent="0.25">
      <c r="A1145" s="13"/>
      <c r="B1145" s="13"/>
    </row>
    <row r="1146" spans="1:2" x14ac:dyDescent="0.25">
      <c r="A1146" s="13"/>
      <c r="B1146" s="13"/>
    </row>
    <row r="1147" spans="1:2" x14ac:dyDescent="0.25">
      <c r="A1147" s="13"/>
      <c r="B1147" s="13"/>
    </row>
    <row r="1148" spans="1:2" x14ac:dyDescent="0.25">
      <c r="A1148" s="13"/>
      <c r="B1148" s="13"/>
    </row>
    <row r="1149" spans="1:2" x14ac:dyDescent="0.25">
      <c r="A1149" s="13"/>
      <c r="B1149" s="13"/>
    </row>
    <row r="1150" spans="1:2" x14ac:dyDescent="0.25">
      <c r="A1150" s="13"/>
      <c r="B1150" s="13"/>
    </row>
    <row r="1151" spans="1:2" x14ac:dyDescent="0.25">
      <c r="A1151" s="13"/>
      <c r="B1151" s="13"/>
    </row>
    <row r="1152" spans="1:2" x14ac:dyDescent="0.25">
      <c r="A1152" s="13"/>
      <c r="B1152" s="13"/>
    </row>
    <row r="1153" spans="1:2" x14ac:dyDescent="0.25">
      <c r="A1153" s="13"/>
      <c r="B1153" s="13"/>
    </row>
    <row r="1154" spans="1:2" x14ac:dyDescent="0.25">
      <c r="A1154" s="13"/>
      <c r="B1154" s="13"/>
    </row>
    <row r="1155" spans="1:2" x14ac:dyDescent="0.25">
      <c r="A1155" s="13"/>
      <c r="B1155" s="13"/>
    </row>
    <row r="1156" spans="1:2" x14ac:dyDescent="0.25">
      <c r="A1156" s="13"/>
      <c r="B1156" s="13"/>
    </row>
    <row r="1157" spans="1:2" x14ac:dyDescent="0.25">
      <c r="A1157" s="13"/>
      <c r="B1157" s="13"/>
    </row>
    <row r="1158" spans="1:2" x14ac:dyDescent="0.25">
      <c r="A1158" s="13"/>
      <c r="B1158" s="13"/>
    </row>
    <row r="1159" spans="1:2" x14ac:dyDescent="0.25">
      <c r="A1159" s="13"/>
      <c r="B1159" s="13"/>
    </row>
    <row r="1160" spans="1:2" x14ac:dyDescent="0.25">
      <c r="A1160" s="13"/>
      <c r="B1160" s="13"/>
    </row>
    <row r="1161" spans="1:2" x14ac:dyDescent="0.25">
      <c r="A1161" s="13"/>
      <c r="B1161" s="13"/>
    </row>
    <row r="1162" spans="1:2" x14ac:dyDescent="0.25">
      <c r="A1162" s="13"/>
      <c r="B1162" s="13"/>
    </row>
    <row r="1163" spans="1:2" x14ac:dyDescent="0.25">
      <c r="A1163" s="13"/>
      <c r="B1163" s="13"/>
    </row>
    <row r="1164" spans="1:2" x14ac:dyDescent="0.25">
      <c r="A1164" s="13"/>
      <c r="B1164" s="13"/>
    </row>
    <row r="1165" spans="1:2" x14ac:dyDescent="0.25">
      <c r="A1165" s="13"/>
      <c r="B1165" s="13"/>
    </row>
    <row r="1166" spans="1:2" x14ac:dyDescent="0.25">
      <c r="A1166" s="13"/>
      <c r="B1166" s="13"/>
    </row>
    <row r="1167" spans="1:2" x14ac:dyDescent="0.25">
      <c r="A1167" s="13"/>
      <c r="B1167" s="13"/>
    </row>
    <row r="1168" spans="1:2" x14ac:dyDescent="0.25">
      <c r="A1168" s="13"/>
      <c r="B1168" s="13"/>
    </row>
    <row r="1169" spans="1:2" x14ac:dyDescent="0.25">
      <c r="A1169" s="13"/>
      <c r="B1169" s="13"/>
    </row>
    <row r="1170" spans="1:2" x14ac:dyDescent="0.25">
      <c r="A1170" s="13"/>
      <c r="B1170" s="13"/>
    </row>
    <row r="1171" spans="1:2" x14ac:dyDescent="0.25">
      <c r="A1171" s="13"/>
      <c r="B1171" s="13"/>
    </row>
    <row r="1172" spans="1:2" x14ac:dyDescent="0.25">
      <c r="A1172" s="13"/>
      <c r="B1172" s="13"/>
    </row>
    <row r="1173" spans="1:2" x14ac:dyDescent="0.25">
      <c r="A1173" s="13"/>
      <c r="B1173" s="13"/>
    </row>
    <row r="1174" spans="1:2" x14ac:dyDescent="0.25">
      <c r="A1174" s="13"/>
      <c r="B1174" s="13"/>
    </row>
    <row r="1175" spans="1:2" x14ac:dyDescent="0.25">
      <c r="A1175" s="13"/>
      <c r="B1175" s="13"/>
    </row>
    <row r="1176" spans="1:2" x14ac:dyDescent="0.25">
      <c r="A1176" s="13"/>
      <c r="B1176" s="13"/>
    </row>
    <row r="1177" spans="1:2" x14ac:dyDescent="0.25">
      <c r="A1177" s="13"/>
      <c r="B1177" s="13"/>
    </row>
    <row r="1178" spans="1:2" x14ac:dyDescent="0.25">
      <c r="A1178" s="13"/>
      <c r="B1178" s="13"/>
    </row>
    <row r="1179" spans="1:2" x14ac:dyDescent="0.25">
      <c r="A1179" s="13"/>
      <c r="B1179" s="13"/>
    </row>
    <row r="1180" spans="1:2" x14ac:dyDescent="0.25">
      <c r="A1180" s="13"/>
      <c r="B1180" s="13"/>
    </row>
    <row r="1181" spans="1:2" x14ac:dyDescent="0.25">
      <c r="A1181" s="13"/>
      <c r="B1181" s="13"/>
    </row>
    <row r="1182" spans="1:2" x14ac:dyDescent="0.25">
      <c r="A1182" s="13"/>
      <c r="B1182" s="13"/>
    </row>
    <row r="1183" spans="1:2" x14ac:dyDescent="0.25">
      <c r="A1183" s="13"/>
      <c r="B1183" s="13"/>
    </row>
    <row r="1184" spans="1:2" x14ac:dyDescent="0.25">
      <c r="A1184" s="13"/>
      <c r="B1184" s="13"/>
    </row>
    <row r="1185" spans="1:2" x14ac:dyDescent="0.25">
      <c r="A1185" s="13"/>
      <c r="B1185" s="13"/>
    </row>
    <row r="1186" spans="1:2" x14ac:dyDescent="0.25">
      <c r="A1186" s="13"/>
      <c r="B1186" s="13"/>
    </row>
    <row r="1187" spans="1:2" x14ac:dyDescent="0.25">
      <c r="A1187" s="13"/>
      <c r="B1187" s="13"/>
    </row>
    <row r="1188" spans="1:2" x14ac:dyDescent="0.25">
      <c r="A1188" s="13"/>
      <c r="B1188" s="13"/>
    </row>
    <row r="1189" spans="1:2" x14ac:dyDescent="0.25">
      <c r="A1189" s="13"/>
      <c r="B1189" s="13"/>
    </row>
    <row r="1190" spans="1:2" x14ac:dyDescent="0.25">
      <c r="A1190" s="13"/>
      <c r="B1190" s="13"/>
    </row>
    <row r="1191" spans="1:2" x14ac:dyDescent="0.25">
      <c r="A1191" s="13"/>
      <c r="B1191" s="13"/>
    </row>
    <row r="1192" spans="1:2" x14ac:dyDescent="0.25">
      <c r="A1192" s="13"/>
      <c r="B1192" s="13"/>
    </row>
    <row r="1193" spans="1:2" x14ac:dyDescent="0.25">
      <c r="A1193" s="13"/>
      <c r="B1193" s="13"/>
    </row>
    <row r="1194" spans="1:2" x14ac:dyDescent="0.25">
      <c r="A1194" s="13"/>
      <c r="B1194" s="13"/>
    </row>
    <row r="1195" spans="1:2" x14ac:dyDescent="0.25">
      <c r="A1195" s="13"/>
      <c r="B1195" s="13"/>
    </row>
    <row r="1196" spans="1:2" x14ac:dyDescent="0.25">
      <c r="A1196" s="13"/>
      <c r="B1196" s="13"/>
    </row>
    <row r="1197" spans="1:2" x14ac:dyDescent="0.25">
      <c r="A1197" s="13"/>
      <c r="B1197" s="13"/>
    </row>
    <row r="1198" spans="1:2" x14ac:dyDescent="0.25">
      <c r="A1198" s="13"/>
      <c r="B1198" s="13"/>
    </row>
    <row r="1199" spans="1:2" x14ac:dyDescent="0.25">
      <c r="A1199" s="13"/>
      <c r="B1199" s="13"/>
    </row>
    <row r="1200" spans="1:2" x14ac:dyDescent="0.25">
      <c r="A1200" s="13"/>
      <c r="B1200" s="13"/>
    </row>
    <row r="1201" spans="1:2" x14ac:dyDescent="0.25">
      <c r="A1201" s="13"/>
      <c r="B1201" s="13"/>
    </row>
    <row r="1202" spans="1:2" x14ac:dyDescent="0.25">
      <c r="A1202" s="13"/>
      <c r="B1202" s="13"/>
    </row>
    <row r="1203" spans="1:2" x14ac:dyDescent="0.25">
      <c r="A1203" s="13"/>
      <c r="B1203" s="13"/>
    </row>
    <row r="1204" spans="1:2" x14ac:dyDescent="0.25">
      <c r="A1204" s="13"/>
      <c r="B1204" s="13"/>
    </row>
    <row r="1205" spans="1:2" x14ac:dyDescent="0.25">
      <c r="A1205" s="13"/>
      <c r="B1205" s="13"/>
    </row>
    <row r="1206" spans="1:2" x14ac:dyDescent="0.25">
      <c r="A1206" s="13"/>
      <c r="B1206" s="13"/>
    </row>
    <row r="1207" spans="1:2" x14ac:dyDescent="0.25">
      <c r="A1207" s="13"/>
      <c r="B1207" s="13"/>
    </row>
    <row r="1208" spans="1:2" x14ac:dyDescent="0.25">
      <c r="A1208" s="13"/>
      <c r="B1208" s="13"/>
    </row>
    <row r="1209" spans="1:2" x14ac:dyDescent="0.25">
      <c r="A1209" s="13"/>
      <c r="B1209" s="13"/>
    </row>
    <row r="1210" spans="1:2" x14ac:dyDescent="0.25">
      <c r="A1210" s="13"/>
      <c r="B1210" s="13"/>
    </row>
    <row r="1211" spans="1:2" x14ac:dyDescent="0.25">
      <c r="A1211" s="13"/>
      <c r="B1211" s="13"/>
    </row>
    <row r="1212" spans="1:2" x14ac:dyDescent="0.25">
      <c r="A1212" s="13"/>
      <c r="B1212" s="13"/>
    </row>
    <row r="1213" spans="1:2" x14ac:dyDescent="0.25">
      <c r="A1213" s="13"/>
      <c r="B1213" s="13"/>
    </row>
    <row r="1214" spans="1:2" x14ac:dyDescent="0.25">
      <c r="A1214" s="13"/>
      <c r="B1214" s="13"/>
    </row>
    <row r="1215" spans="1:2" x14ac:dyDescent="0.25">
      <c r="A1215" s="13"/>
      <c r="B1215" s="13"/>
    </row>
    <row r="1216" spans="1:2" x14ac:dyDescent="0.25">
      <c r="A1216" s="13"/>
      <c r="B1216" s="13"/>
    </row>
    <row r="1217" spans="1:2" x14ac:dyDescent="0.25">
      <c r="A1217" s="13"/>
      <c r="B1217" s="13"/>
    </row>
    <row r="1218" spans="1:2" x14ac:dyDescent="0.25">
      <c r="A1218" s="13"/>
      <c r="B1218" s="13"/>
    </row>
    <row r="1219" spans="1:2" x14ac:dyDescent="0.25">
      <c r="A1219" s="13"/>
      <c r="B1219" s="13"/>
    </row>
    <row r="1220" spans="1:2" x14ac:dyDescent="0.25">
      <c r="A1220" s="13"/>
      <c r="B1220" s="13"/>
    </row>
    <row r="1221" spans="1:2" x14ac:dyDescent="0.25">
      <c r="A1221" s="13"/>
      <c r="B1221" s="13"/>
    </row>
    <row r="1222" spans="1:2" x14ac:dyDescent="0.25">
      <c r="A1222" s="13"/>
      <c r="B1222" s="13"/>
    </row>
    <row r="1223" spans="1:2" x14ac:dyDescent="0.25">
      <c r="A1223" s="13"/>
      <c r="B1223" s="13"/>
    </row>
    <row r="1224" spans="1:2" x14ac:dyDescent="0.25">
      <c r="A1224" s="13"/>
      <c r="B1224" s="13"/>
    </row>
    <row r="1225" spans="1:2" x14ac:dyDescent="0.25">
      <c r="A1225" s="13"/>
      <c r="B1225" s="13"/>
    </row>
    <row r="1226" spans="1:2" x14ac:dyDescent="0.25">
      <c r="A1226" s="13"/>
      <c r="B1226" s="13"/>
    </row>
    <row r="1227" spans="1:2" x14ac:dyDescent="0.25">
      <c r="A1227" s="13"/>
      <c r="B1227" s="13"/>
    </row>
    <row r="1228" spans="1:2" x14ac:dyDescent="0.25">
      <c r="A1228" s="13"/>
      <c r="B1228" s="13"/>
    </row>
    <row r="1229" spans="1:2" x14ac:dyDescent="0.25">
      <c r="A1229" s="13"/>
      <c r="B1229" s="13"/>
    </row>
    <row r="1230" spans="1:2" x14ac:dyDescent="0.25">
      <c r="A1230" s="13"/>
      <c r="B1230" s="13"/>
    </row>
    <row r="1231" spans="1:2" x14ac:dyDescent="0.25">
      <c r="A1231" s="13"/>
      <c r="B1231" s="13"/>
    </row>
    <row r="1232" spans="1:2" x14ac:dyDescent="0.25">
      <c r="A1232" s="13"/>
      <c r="B1232" s="13"/>
    </row>
    <row r="1233" spans="1:2" x14ac:dyDescent="0.25">
      <c r="A1233" s="13"/>
      <c r="B1233" s="13"/>
    </row>
    <row r="1234" spans="1:2" x14ac:dyDescent="0.25">
      <c r="A1234" s="13"/>
      <c r="B1234" s="13"/>
    </row>
    <row r="1235" spans="1:2" x14ac:dyDescent="0.25">
      <c r="A1235" s="13"/>
      <c r="B1235" s="13"/>
    </row>
    <row r="1236" spans="1:2" x14ac:dyDescent="0.25">
      <c r="A1236" s="13"/>
      <c r="B1236" s="13"/>
    </row>
    <row r="1237" spans="1:2" x14ac:dyDescent="0.25">
      <c r="A1237" s="13"/>
      <c r="B1237" s="13"/>
    </row>
    <row r="1238" spans="1:2" x14ac:dyDescent="0.25">
      <c r="A1238" s="13"/>
      <c r="B1238" s="13"/>
    </row>
    <row r="1239" spans="1:2" x14ac:dyDescent="0.25">
      <c r="A1239" s="13"/>
      <c r="B1239" s="13"/>
    </row>
    <row r="1240" spans="1:2" x14ac:dyDescent="0.25">
      <c r="A1240" s="13"/>
      <c r="B1240" s="13"/>
    </row>
    <row r="1241" spans="1:2" x14ac:dyDescent="0.25">
      <c r="A1241" s="13"/>
      <c r="B1241" s="13"/>
    </row>
    <row r="1242" spans="1:2" x14ac:dyDescent="0.25">
      <c r="A1242" s="13"/>
      <c r="B1242" s="13"/>
    </row>
    <row r="1243" spans="1:2" x14ac:dyDescent="0.25">
      <c r="A1243" s="13"/>
      <c r="B1243" s="13"/>
    </row>
    <row r="1244" spans="1:2" x14ac:dyDescent="0.25">
      <c r="A1244" s="13"/>
      <c r="B1244" s="13"/>
    </row>
    <row r="1245" spans="1:2" x14ac:dyDescent="0.25">
      <c r="A1245" s="13"/>
      <c r="B1245" s="13"/>
    </row>
    <row r="1246" spans="1:2" x14ac:dyDescent="0.25">
      <c r="A1246" s="13"/>
      <c r="B1246" s="13"/>
    </row>
    <row r="1247" spans="1:2" x14ac:dyDescent="0.25">
      <c r="A1247" s="13"/>
      <c r="B1247" s="13"/>
    </row>
    <row r="1248" spans="1:2" x14ac:dyDescent="0.25">
      <c r="A1248" s="13"/>
      <c r="B1248" s="13"/>
    </row>
    <row r="1249" spans="1:2" x14ac:dyDescent="0.25">
      <c r="A1249" s="13"/>
      <c r="B1249" s="13"/>
    </row>
    <row r="1250" spans="1:2" x14ac:dyDescent="0.25">
      <c r="A1250" s="13"/>
      <c r="B1250" s="13"/>
    </row>
    <row r="1251" spans="1:2" x14ac:dyDescent="0.25">
      <c r="A1251" s="13"/>
      <c r="B1251" s="13"/>
    </row>
    <row r="1252" spans="1:2" x14ac:dyDescent="0.25">
      <c r="A1252" s="13"/>
      <c r="B1252" s="13"/>
    </row>
    <row r="1253" spans="1:2" x14ac:dyDescent="0.25">
      <c r="A1253" s="13"/>
      <c r="B1253" s="13"/>
    </row>
    <row r="1254" spans="1:2" x14ac:dyDescent="0.25">
      <c r="A1254" s="13"/>
      <c r="B1254" s="13"/>
    </row>
    <row r="1255" spans="1:2" x14ac:dyDescent="0.25">
      <c r="A1255" s="13"/>
      <c r="B1255" s="13"/>
    </row>
    <row r="1256" spans="1:2" x14ac:dyDescent="0.25">
      <c r="A1256" s="13"/>
      <c r="B1256" s="13"/>
    </row>
    <row r="1257" spans="1:2" x14ac:dyDescent="0.25">
      <c r="A1257" s="13"/>
      <c r="B1257" s="13"/>
    </row>
    <row r="1258" spans="1:2" x14ac:dyDescent="0.25">
      <c r="A1258" s="13"/>
      <c r="B1258" s="13"/>
    </row>
    <row r="1259" spans="1:2" x14ac:dyDescent="0.25">
      <c r="A1259" s="13"/>
      <c r="B1259" s="13"/>
    </row>
    <row r="1260" spans="1:2" x14ac:dyDescent="0.25">
      <c r="A1260" s="13"/>
      <c r="B1260" s="13"/>
    </row>
    <row r="1261" spans="1:2" x14ac:dyDescent="0.25">
      <c r="A1261" s="13"/>
      <c r="B1261" s="13"/>
    </row>
    <row r="1262" spans="1:2" x14ac:dyDescent="0.25">
      <c r="A1262" s="13"/>
      <c r="B1262" s="13"/>
    </row>
    <row r="1263" spans="1:2" x14ac:dyDescent="0.25">
      <c r="A1263" s="13"/>
      <c r="B1263" s="13"/>
    </row>
    <row r="1264" spans="1:2" x14ac:dyDescent="0.25">
      <c r="A1264" s="13"/>
      <c r="B1264" s="13"/>
    </row>
    <row r="1265" spans="1:2" x14ac:dyDescent="0.25">
      <c r="A1265" s="13"/>
      <c r="B1265" s="13"/>
    </row>
    <row r="1266" spans="1:2" x14ac:dyDescent="0.25">
      <c r="A1266" s="13"/>
      <c r="B1266" s="13"/>
    </row>
    <row r="1267" spans="1:2" x14ac:dyDescent="0.25">
      <c r="A1267" s="13"/>
      <c r="B1267" s="13"/>
    </row>
    <row r="1268" spans="1:2" x14ac:dyDescent="0.25">
      <c r="A1268" s="13"/>
      <c r="B1268" s="13"/>
    </row>
    <row r="1269" spans="1:2" x14ac:dyDescent="0.25">
      <c r="A1269" s="13"/>
      <c r="B1269" s="13"/>
    </row>
    <row r="1270" spans="1:2" x14ac:dyDescent="0.25">
      <c r="A1270" s="13"/>
      <c r="B1270" s="13"/>
    </row>
    <row r="1271" spans="1:2" x14ac:dyDescent="0.25">
      <c r="A1271" s="13"/>
      <c r="B1271" s="13"/>
    </row>
    <row r="1272" spans="1:2" x14ac:dyDescent="0.25">
      <c r="A1272" s="13"/>
      <c r="B1272" s="13"/>
    </row>
    <row r="1273" spans="1:2" x14ac:dyDescent="0.25">
      <c r="A1273" s="13"/>
      <c r="B1273" s="13"/>
    </row>
    <row r="1274" spans="1:2" x14ac:dyDescent="0.25">
      <c r="A1274" s="13"/>
      <c r="B1274" s="13"/>
    </row>
    <row r="1275" spans="1:2" x14ac:dyDescent="0.25">
      <c r="A1275" s="13"/>
      <c r="B1275" s="13"/>
    </row>
    <row r="1276" spans="1:2" x14ac:dyDescent="0.25">
      <c r="A1276" s="13"/>
      <c r="B1276" s="13"/>
    </row>
    <row r="1277" spans="1:2" x14ac:dyDescent="0.25">
      <c r="A1277" s="13"/>
      <c r="B1277" s="13"/>
    </row>
    <row r="1278" spans="1:2" x14ac:dyDescent="0.25">
      <c r="A1278" s="13"/>
      <c r="B1278" s="13"/>
    </row>
    <row r="1279" spans="1:2" x14ac:dyDescent="0.25">
      <c r="A1279" s="13"/>
      <c r="B1279" s="13"/>
    </row>
    <row r="1280" spans="1:2" x14ac:dyDescent="0.25">
      <c r="A1280" s="13"/>
      <c r="B1280" s="13"/>
    </row>
    <row r="1281" spans="1:2" x14ac:dyDescent="0.25">
      <c r="A1281" s="13"/>
      <c r="B1281" s="13"/>
    </row>
    <row r="1282" spans="1:2" x14ac:dyDescent="0.25">
      <c r="A1282" s="13"/>
      <c r="B1282" s="13"/>
    </row>
    <row r="1283" spans="1:2" x14ac:dyDescent="0.25">
      <c r="A1283" s="13"/>
      <c r="B1283" s="13"/>
    </row>
    <row r="1284" spans="1:2" x14ac:dyDescent="0.25">
      <c r="A1284" s="13"/>
      <c r="B1284" s="13"/>
    </row>
    <row r="1285" spans="1:2" x14ac:dyDescent="0.25">
      <c r="A1285" s="13"/>
      <c r="B1285" s="13"/>
    </row>
    <row r="1286" spans="1:2" x14ac:dyDescent="0.25">
      <c r="A1286" s="13"/>
      <c r="B1286" s="13"/>
    </row>
    <row r="1287" spans="1:2" x14ac:dyDescent="0.25">
      <c r="A1287" s="13"/>
      <c r="B1287" s="13"/>
    </row>
    <row r="1288" spans="1:2" x14ac:dyDescent="0.25">
      <c r="A1288" s="13"/>
      <c r="B1288" s="13"/>
    </row>
    <row r="1289" spans="1:2" x14ac:dyDescent="0.25">
      <c r="A1289" s="13"/>
      <c r="B1289" s="13"/>
    </row>
    <row r="1290" spans="1:2" x14ac:dyDescent="0.25">
      <c r="A1290" s="13"/>
      <c r="B1290" s="13"/>
    </row>
    <row r="1291" spans="1:2" x14ac:dyDescent="0.25">
      <c r="A1291" s="13"/>
      <c r="B1291" s="13"/>
    </row>
    <row r="1292" spans="1:2" x14ac:dyDescent="0.25">
      <c r="A1292" s="13"/>
      <c r="B1292" s="13"/>
    </row>
    <row r="1293" spans="1:2" x14ac:dyDescent="0.25">
      <c r="A1293" s="13"/>
      <c r="B1293" s="13"/>
    </row>
    <row r="1294" spans="1:2" x14ac:dyDescent="0.25">
      <c r="A1294" s="13"/>
      <c r="B1294" s="13"/>
    </row>
    <row r="1295" spans="1:2" x14ac:dyDescent="0.25">
      <c r="A1295" s="13"/>
      <c r="B1295" s="13"/>
    </row>
    <row r="1296" spans="1:2" x14ac:dyDescent="0.25">
      <c r="A1296" s="13"/>
      <c r="B1296" s="13"/>
    </row>
    <row r="1297" spans="1:2" x14ac:dyDescent="0.25">
      <c r="A1297" s="13"/>
      <c r="B1297" s="13"/>
    </row>
    <row r="1298" spans="1:2" x14ac:dyDescent="0.25">
      <c r="A1298" s="13"/>
      <c r="B1298" s="13"/>
    </row>
    <row r="1299" spans="1:2" x14ac:dyDescent="0.25">
      <c r="A1299" s="13"/>
      <c r="B1299" s="13"/>
    </row>
    <row r="1300" spans="1:2" x14ac:dyDescent="0.25">
      <c r="A1300" s="13"/>
      <c r="B1300" s="13"/>
    </row>
    <row r="1301" spans="1:2" x14ac:dyDescent="0.25">
      <c r="A1301" s="13"/>
      <c r="B1301" s="13"/>
    </row>
    <row r="1302" spans="1:2" x14ac:dyDescent="0.25">
      <c r="A1302" s="13"/>
      <c r="B1302" s="13"/>
    </row>
    <row r="1303" spans="1:2" x14ac:dyDescent="0.25">
      <c r="A1303" s="13"/>
      <c r="B1303" s="13"/>
    </row>
    <row r="1304" spans="1:2" x14ac:dyDescent="0.25">
      <c r="A1304" s="13"/>
      <c r="B1304" s="13"/>
    </row>
    <row r="1305" spans="1:2" x14ac:dyDescent="0.25">
      <c r="A1305" s="13"/>
      <c r="B1305" s="13"/>
    </row>
    <row r="1306" spans="1:2" x14ac:dyDescent="0.25">
      <c r="A1306" s="13"/>
      <c r="B1306" s="13"/>
    </row>
    <row r="1307" spans="1:2" x14ac:dyDescent="0.25">
      <c r="A1307" s="13"/>
      <c r="B1307" s="13"/>
    </row>
    <row r="1308" spans="1:2" x14ac:dyDescent="0.25">
      <c r="A1308" s="13"/>
      <c r="B1308" s="13"/>
    </row>
    <row r="1309" spans="1:2" x14ac:dyDescent="0.25">
      <c r="A1309" s="13"/>
      <c r="B1309" s="13"/>
    </row>
    <row r="1310" spans="1:2" x14ac:dyDescent="0.25">
      <c r="A1310" s="13"/>
      <c r="B1310" s="13"/>
    </row>
    <row r="1311" spans="1:2" x14ac:dyDescent="0.25">
      <c r="A1311" s="13"/>
      <c r="B1311" s="13"/>
    </row>
    <row r="1312" spans="1:2" x14ac:dyDescent="0.25">
      <c r="A1312" s="13"/>
      <c r="B1312" s="13"/>
    </row>
    <row r="1313" spans="1:2" x14ac:dyDescent="0.25">
      <c r="A1313" s="13"/>
      <c r="B1313" s="13"/>
    </row>
    <row r="1314" spans="1:2" x14ac:dyDescent="0.25">
      <c r="A1314" s="13"/>
      <c r="B1314" s="13"/>
    </row>
    <row r="1315" spans="1:2" x14ac:dyDescent="0.25">
      <c r="A1315" s="13"/>
      <c r="B1315" s="13"/>
    </row>
    <row r="1316" spans="1:2" x14ac:dyDescent="0.25">
      <c r="A1316" s="13"/>
      <c r="B1316" s="13"/>
    </row>
    <row r="1317" spans="1:2" x14ac:dyDescent="0.25">
      <c r="A1317" s="13"/>
      <c r="B1317" s="13"/>
    </row>
    <row r="1318" spans="1:2" x14ac:dyDescent="0.25">
      <c r="A1318" s="13"/>
      <c r="B1318" s="13"/>
    </row>
    <row r="1319" spans="1:2" x14ac:dyDescent="0.25">
      <c r="A1319" s="13"/>
      <c r="B1319" s="13"/>
    </row>
    <row r="1320" spans="1:2" x14ac:dyDescent="0.25">
      <c r="A1320" s="13"/>
      <c r="B1320" s="13"/>
    </row>
    <row r="1321" spans="1:2" x14ac:dyDescent="0.25">
      <c r="A1321" s="13"/>
      <c r="B1321" s="13"/>
    </row>
    <row r="1322" spans="1:2" x14ac:dyDescent="0.25">
      <c r="A1322" s="13"/>
      <c r="B1322" s="13"/>
    </row>
    <row r="1323" spans="1:2" x14ac:dyDescent="0.25">
      <c r="A1323" s="13"/>
      <c r="B1323" s="13"/>
    </row>
    <row r="1324" spans="1:2" x14ac:dyDescent="0.25">
      <c r="A1324" s="13"/>
      <c r="B1324" s="13"/>
    </row>
    <row r="1325" spans="1:2" x14ac:dyDescent="0.25">
      <c r="A1325" s="13"/>
      <c r="B1325" s="13"/>
    </row>
    <row r="1326" spans="1:2" x14ac:dyDescent="0.25">
      <c r="A1326" s="13"/>
      <c r="B1326" s="13"/>
    </row>
    <row r="1327" spans="1:2" x14ac:dyDescent="0.25">
      <c r="A1327" s="13"/>
      <c r="B1327" s="13"/>
    </row>
    <row r="1328" spans="1:2" x14ac:dyDescent="0.25">
      <c r="A1328" s="13"/>
      <c r="B1328" s="13"/>
    </row>
    <row r="1329" spans="1:2" x14ac:dyDescent="0.25">
      <c r="A1329" s="13"/>
      <c r="B1329" s="13"/>
    </row>
    <row r="1330" spans="1:2" x14ac:dyDescent="0.25">
      <c r="A1330" s="13"/>
      <c r="B1330" s="13"/>
    </row>
    <row r="1331" spans="1:2" x14ac:dyDescent="0.25">
      <c r="A1331" s="13"/>
      <c r="B1331" s="13"/>
    </row>
    <row r="1332" spans="1:2" x14ac:dyDescent="0.25">
      <c r="A1332" s="13"/>
      <c r="B1332" s="13"/>
    </row>
    <row r="1333" spans="1:2" x14ac:dyDescent="0.25">
      <c r="A1333" s="13"/>
      <c r="B1333" s="13"/>
    </row>
    <row r="1334" spans="1:2" x14ac:dyDescent="0.25">
      <c r="A1334" s="13"/>
      <c r="B1334" s="13"/>
    </row>
    <row r="1335" spans="1:2" x14ac:dyDescent="0.25">
      <c r="A1335" s="13"/>
      <c r="B1335" s="13"/>
    </row>
    <row r="1336" spans="1:2" x14ac:dyDescent="0.25">
      <c r="A1336" s="13"/>
      <c r="B1336" s="13"/>
    </row>
    <row r="1337" spans="1:2" x14ac:dyDescent="0.25">
      <c r="A1337" s="13"/>
      <c r="B1337" s="13"/>
    </row>
    <row r="1338" spans="1:2" x14ac:dyDescent="0.25">
      <c r="A1338" s="13"/>
      <c r="B1338" s="13"/>
    </row>
    <row r="1339" spans="1:2" x14ac:dyDescent="0.25">
      <c r="A1339" s="13"/>
      <c r="B1339" s="13"/>
    </row>
    <row r="1340" spans="1:2" x14ac:dyDescent="0.25">
      <c r="A1340" s="13"/>
      <c r="B1340" s="13"/>
    </row>
    <row r="1341" spans="1:2" x14ac:dyDescent="0.25">
      <c r="A1341" s="13"/>
      <c r="B1341" s="13"/>
    </row>
    <row r="1342" spans="1:2" x14ac:dyDescent="0.25">
      <c r="A1342" s="13"/>
      <c r="B1342" s="13"/>
    </row>
    <row r="1343" spans="1:2" x14ac:dyDescent="0.25">
      <c r="A1343" s="13"/>
      <c r="B1343" s="13"/>
    </row>
    <row r="1344" spans="1:2" x14ac:dyDescent="0.25">
      <c r="A1344" s="13"/>
      <c r="B1344" s="13"/>
    </row>
    <row r="1345" spans="1:2" x14ac:dyDescent="0.25">
      <c r="A1345" s="13"/>
      <c r="B1345" s="13"/>
    </row>
    <row r="1346" spans="1:2" x14ac:dyDescent="0.25">
      <c r="A1346" s="13"/>
      <c r="B1346" s="13"/>
    </row>
    <row r="1347" spans="1:2" x14ac:dyDescent="0.25">
      <c r="A1347" s="13"/>
      <c r="B1347" s="13"/>
    </row>
    <row r="1348" spans="1:2" x14ac:dyDescent="0.25">
      <c r="A1348" s="13"/>
      <c r="B1348" s="13"/>
    </row>
    <row r="1349" spans="1:2" x14ac:dyDescent="0.25">
      <c r="A1349" s="13"/>
      <c r="B1349" s="13"/>
    </row>
    <row r="1350" spans="1:2" x14ac:dyDescent="0.25">
      <c r="A1350" s="13"/>
      <c r="B1350" s="13"/>
    </row>
    <row r="1351" spans="1:2" x14ac:dyDescent="0.25">
      <c r="A1351" s="13"/>
      <c r="B1351" s="13"/>
    </row>
    <row r="1352" spans="1:2" x14ac:dyDescent="0.25">
      <c r="A1352" s="13"/>
      <c r="B1352" s="13"/>
    </row>
    <row r="1353" spans="1:2" x14ac:dyDescent="0.25">
      <c r="A1353" s="13"/>
      <c r="B1353" s="13"/>
    </row>
    <row r="1354" spans="1:2" x14ac:dyDescent="0.25">
      <c r="A1354" s="13"/>
      <c r="B1354" s="13"/>
    </row>
    <row r="1355" spans="1:2" x14ac:dyDescent="0.25">
      <c r="A1355" s="13"/>
      <c r="B1355" s="13"/>
    </row>
    <row r="1356" spans="1:2" x14ac:dyDescent="0.25">
      <c r="A1356" s="13"/>
      <c r="B1356" s="13"/>
    </row>
    <row r="1357" spans="1:2" x14ac:dyDescent="0.25">
      <c r="A1357" s="13"/>
      <c r="B1357" s="13"/>
    </row>
    <row r="1358" spans="1:2" x14ac:dyDescent="0.25">
      <c r="A1358" s="13"/>
      <c r="B1358" s="13"/>
    </row>
    <row r="1359" spans="1:2" x14ac:dyDescent="0.25">
      <c r="A1359" s="13"/>
      <c r="B1359" s="13"/>
    </row>
    <row r="1360" spans="1:2" x14ac:dyDescent="0.25">
      <c r="A1360" s="13"/>
      <c r="B1360" s="13"/>
    </row>
    <row r="1361" spans="1:2" x14ac:dyDescent="0.25">
      <c r="A1361" s="13"/>
      <c r="B1361" s="13"/>
    </row>
    <row r="1362" spans="1:2" x14ac:dyDescent="0.25">
      <c r="A1362" s="13"/>
      <c r="B1362" s="13"/>
    </row>
    <row r="1363" spans="1:2" x14ac:dyDescent="0.25">
      <c r="A1363" s="13"/>
      <c r="B1363" s="13"/>
    </row>
    <row r="1364" spans="1:2" x14ac:dyDescent="0.25">
      <c r="A1364" s="13"/>
      <c r="B1364" s="13"/>
    </row>
    <row r="1365" spans="1:2" x14ac:dyDescent="0.25">
      <c r="A1365" s="13"/>
      <c r="B1365" s="13"/>
    </row>
    <row r="1366" spans="1:2" x14ac:dyDescent="0.25">
      <c r="A1366" s="13"/>
      <c r="B1366" s="13"/>
    </row>
    <row r="1367" spans="1:2" x14ac:dyDescent="0.25">
      <c r="A1367" s="13"/>
      <c r="B1367" s="13"/>
    </row>
    <row r="1368" spans="1:2" x14ac:dyDescent="0.25">
      <c r="A1368" s="13"/>
      <c r="B1368" s="13"/>
    </row>
    <row r="1369" spans="1:2" x14ac:dyDescent="0.25">
      <c r="A1369" s="13"/>
      <c r="B1369" s="13"/>
    </row>
    <row r="1370" spans="1:2" x14ac:dyDescent="0.25">
      <c r="A1370" s="13"/>
      <c r="B1370" s="13"/>
    </row>
    <row r="1371" spans="1:2" x14ac:dyDescent="0.25">
      <c r="A1371" s="13"/>
      <c r="B1371" s="13"/>
    </row>
    <row r="1372" spans="1:2" x14ac:dyDescent="0.25">
      <c r="A1372" s="13"/>
      <c r="B1372" s="13"/>
    </row>
    <row r="1373" spans="1:2" x14ac:dyDescent="0.25">
      <c r="A1373" s="13"/>
      <c r="B1373" s="13"/>
    </row>
    <row r="1374" spans="1:2" x14ac:dyDescent="0.25">
      <c r="A1374" s="13"/>
      <c r="B1374" s="13"/>
    </row>
    <row r="1375" spans="1:2" x14ac:dyDescent="0.25">
      <c r="A1375" s="13"/>
      <c r="B1375" s="13"/>
    </row>
    <row r="1376" spans="1:2" x14ac:dyDescent="0.25">
      <c r="A1376" s="13"/>
      <c r="B1376" s="13"/>
    </row>
    <row r="1377" spans="1:2" x14ac:dyDescent="0.25">
      <c r="A1377" s="13"/>
      <c r="B1377" s="13"/>
    </row>
    <row r="1378" spans="1:2" x14ac:dyDescent="0.25">
      <c r="A1378" s="13"/>
      <c r="B1378" s="13"/>
    </row>
    <row r="1379" spans="1:2" x14ac:dyDescent="0.25">
      <c r="A1379" s="13"/>
      <c r="B1379" s="13"/>
    </row>
    <row r="1380" spans="1:2" x14ac:dyDescent="0.25">
      <c r="A1380" s="13"/>
      <c r="B1380" s="13"/>
    </row>
    <row r="1381" spans="1:2" x14ac:dyDescent="0.25">
      <c r="A1381" s="13"/>
      <c r="B1381" s="13"/>
    </row>
    <row r="1382" spans="1:2" x14ac:dyDescent="0.25">
      <c r="A1382" s="13"/>
      <c r="B1382" s="13"/>
    </row>
    <row r="1383" spans="1:2" x14ac:dyDescent="0.25">
      <c r="A1383" s="13"/>
      <c r="B1383" s="13"/>
    </row>
    <row r="1384" spans="1:2" x14ac:dyDescent="0.25">
      <c r="A1384" s="13"/>
      <c r="B1384" s="13"/>
    </row>
    <row r="1385" spans="1:2" x14ac:dyDescent="0.25">
      <c r="A1385" s="13"/>
      <c r="B1385" s="13"/>
    </row>
    <row r="1386" spans="1:2" x14ac:dyDescent="0.25">
      <c r="A1386" s="13"/>
      <c r="B1386" s="13"/>
    </row>
    <row r="1387" spans="1:2" x14ac:dyDescent="0.25">
      <c r="A1387" s="13"/>
      <c r="B1387" s="13"/>
    </row>
    <row r="1388" spans="1:2" x14ac:dyDescent="0.25">
      <c r="A1388" s="13"/>
      <c r="B1388" s="13"/>
    </row>
    <row r="1389" spans="1:2" x14ac:dyDescent="0.25">
      <c r="A1389" s="13"/>
      <c r="B1389" s="13"/>
    </row>
    <row r="1390" spans="1:2" x14ac:dyDescent="0.25">
      <c r="A1390" s="13"/>
      <c r="B1390" s="13"/>
    </row>
    <row r="1391" spans="1:2" x14ac:dyDescent="0.25">
      <c r="A1391" s="13"/>
      <c r="B1391" s="13"/>
    </row>
    <row r="1392" spans="1:2" x14ac:dyDescent="0.25">
      <c r="A1392" s="13"/>
      <c r="B1392" s="13"/>
    </row>
    <row r="1393" spans="1:2" x14ac:dyDescent="0.25">
      <c r="A1393" s="13"/>
      <c r="B1393" s="13"/>
    </row>
    <row r="1394" spans="1:2" x14ac:dyDescent="0.25">
      <c r="A1394" s="13"/>
      <c r="B1394" s="13"/>
    </row>
    <row r="1395" spans="1:2" x14ac:dyDescent="0.25">
      <c r="A1395" s="13"/>
      <c r="B1395" s="13"/>
    </row>
    <row r="1396" spans="1:2" x14ac:dyDescent="0.25">
      <c r="A1396" s="13"/>
      <c r="B1396" s="13"/>
    </row>
    <row r="1397" spans="1:2" x14ac:dyDescent="0.25">
      <c r="A1397" s="13"/>
      <c r="B1397" s="13"/>
    </row>
    <row r="1398" spans="1:2" x14ac:dyDescent="0.25">
      <c r="A1398" s="13"/>
      <c r="B1398" s="13"/>
    </row>
    <row r="1399" spans="1:2" x14ac:dyDescent="0.25">
      <c r="A1399" s="13"/>
      <c r="B1399" s="13"/>
    </row>
    <row r="1400" spans="1:2" x14ac:dyDescent="0.25">
      <c r="A1400" s="13"/>
      <c r="B1400" s="13"/>
    </row>
    <row r="1401" spans="1:2" x14ac:dyDescent="0.25">
      <c r="A1401" s="13"/>
      <c r="B1401" s="13"/>
    </row>
    <row r="1402" spans="1:2" x14ac:dyDescent="0.25">
      <c r="A1402" s="13"/>
      <c r="B1402" s="13"/>
    </row>
    <row r="1403" spans="1:2" x14ac:dyDescent="0.25">
      <c r="A1403" s="13"/>
      <c r="B1403" s="13"/>
    </row>
    <row r="1404" spans="1:2" x14ac:dyDescent="0.25">
      <c r="A1404" s="13"/>
      <c r="B1404" s="13"/>
    </row>
    <row r="1405" spans="1:2" x14ac:dyDescent="0.25">
      <c r="A1405" s="13"/>
      <c r="B1405" s="13"/>
    </row>
    <row r="1406" spans="1:2" x14ac:dyDescent="0.25">
      <c r="A1406" s="13"/>
      <c r="B1406" s="13"/>
    </row>
    <row r="1407" spans="1:2" x14ac:dyDescent="0.25">
      <c r="A1407" s="13"/>
      <c r="B1407" s="13"/>
    </row>
    <row r="1408" spans="1:2" x14ac:dyDescent="0.25">
      <c r="A1408" s="13"/>
      <c r="B1408" s="13"/>
    </row>
    <row r="1409" spans="1:2" x14ac:dyDescent="0.25">
      <c r="A1409" s="13"/>
      <c r="B1409" s="13"/>
    </row>
    <row r="1410" spans="1:2" x14ac:dyDescent="0.25">
      <c r="A1410" s="13"/>
      <c r="B1410" s="13"/>
    </row>
    <row r="1411" spans="1:2" x14ac:dyDescent="0.25">
      <c r="A1411" s="13"/>
      <c r="B1411" s="13"/>
    </row>
    <row r="1412" spans="1:2" x14ac:dyDescent="0.25">
      <c r="A1412" s="13"/>
      <c r="B1412" s="13"/>
    </row>
    <row r="1413" spans="1:2" x14ac:dyDescent="0.25">
      <c r="A1413" s="13"/>
      <c r="B1413" s="13"/>
    </row>
    <row r="1414" spans="1:2" x14ac:dyDescent="0.25">
      <c r="A1414" s="13"/>
      <c r="B1414" s="13"/>
    </row>
    <row r="1415" spans="1:2" x14ac:dyDescent="0.25">
      <c r="A1415" s="13"/>
      <c r="B1415" s="13"/>
    </row>
    <row r="1416" spans="1:2" x14ac:dyDescent="0.25">
      <c r="A1416" s="13"/>
      <c r="B1416" s="13"/>
    </row>
    <row r="1417" spans="1:2" x14ac:dyDescent="0.25">
      <c r="A1417" s="13"/>
      <c r="B1417" s="13"/>
    </row>
    <row r="1418" spans="1:2" x14ac:dyDescent="0.25">
      <c r="A1418" s="13"/>
      <c r="B1418" s="13"/>
    </row>
    <row r="1419" spans="1:2" x14ac:dyDescent="0.25">
      <c r="A1419" s="13"/>
      <c r="B1419" s="13"/>
    </row>
    <row r="1420" spans="1:2" x14ac:dyDescent="0.25">
      <c r="A1420" s="13"/>
      <c r="B1420" s="13"/>
    </row>
    <row r="1421" spans="1:2" x14ac:dyDescent="0.25">
      <c r="A1421" s="13"/>
      <c r="B1421" s="13"/>
    </row>
    <row r="1422" spans="1:2" x14ac:dyDescent="0.25">
      <c r="A1422" s="13"/>
      <c r="B1422" s="13"/>
    </row>
    <row r="1423" spans="1:2" x14ac:dyDescent="0.25">
      <c r="A1423" s="13"/>
      <c r="B1423" s="13"/>
    </row>
    <row r="1424" spans="1:2" x14ac:dyDescent="0.25">
      <c r="A1424" s="13"/>
      <c r="B1424" s="13"/>
    </row>
    <row r="1425" spans="1:2" x14ac:dyDescent="0.25">
      <c r="A1425" s="13"/>
      <c r="B1425" s="13"/>
    </row>
    <row r="1426" spans="1:2" x14ac:dyDescent="0.25">
      <c r="A1426" s="13"/>
      <c r="B1426" s="13"/>
    </row>
    <row r="1427" spans="1:2" x14ac:dyDescent="0.25">
      <c r="A1427" s="13"/>
      <c r="B1427" s="13"/>
    </row>
    <row r="1428" spans="1:2" x14ac:dyDescent="0.25">
      <c r="A1428" s="13"/>
      <c r="B1428" s="13"/>
    </row>
    <row r="1429" spans="1:2" x14ac:dyDescent="0.25">
      <c r="A1429" s="13"/>
      <c r="B1429" s="13"/>
    </row>
    <row r="1430" spans="1:2" x14ac:dyDescent="0.25">
      <c r="A1430" s="13"/>
      <c r="B1430" s="13"/>
    </row>
    <row r="1431" spans="1:2" x14ac:dyDescent="0.25">
      <c r="A1431" s="13"/>
      <c r="B1431" s="13"/>
    </row>
    <row r="1432" spans="1:2" x14ac:dyDescent="0.25">
      <c r="A1432" s="13"/>
      <c r="B1432" s="13"/>
    </row>
    <row r="1433" spans="1:2" x14ac:dyDescent="0.25">
      <c r="A1433" s="13"/>
      <c r="B1433" s="13"/>
    </row>
    <row r="1434" spans="1:2" x14ac:dyDescent="0.25">
      <c r="A1434" s="13"/>
      <c r="B1434" s="13"/>
    </row>
    <row r="1435" spans="1:2" x14ac:dyDescent="0.25">
      <c r="A1435" s="13"/>
      <c r="B1435" s="13"/>
    </row>
    <row r="1436" spans="1:2" x14ac:dyDescent="0.25">
      <c r="A1436" s="13"/>
      <c r="B1436" s="13"/>
    </row>
    <row r="1437" spans="1:2" x14ac:dyDescent="0.25">
      <c r="A1437" s="13"/>
      <c r="B1437" s="13"/>
    </row>
    <row r="1438" spans="1:2" x14ac:dyDescent="0.25">
      <c r="A1438" s="13"/>
      <c r="B1438" s="13"/>
    </row>
    <row r="1439" spans="1:2" x14ac:dyDescent="0.25">
      <c r="A1439" s="13"/>
      <c r="B1439" s="13"/>
    </row>
    <row r="1440" spans="1:2" x14ac:dyDescent="0.25">
      <c r="A1440" s="13"/>
      <c r="B1440" s="13"/>
    </row>
    <row r="1441" spans="1:2" x14ac:dyDescent="0.25">
      <c r="A1441" s="13"/>
      <c r="B1441" s="13"/>
    </row>
    <row r="1442" spans="1:2" x14ac:dyDescent="0.25">
      <c r="A1442" s="13"/>
      <c r="B1442" s="13"/>
    </row>
    <row r="1443" spans="1:2" x14ac:dyDescent="0.25">
      <c r="A1443" s="13"/>
      <c r="B1443" s="13"/>
    </row>
    <row r="1444" spans="1:2" x14ac:dyDescent="0.25">
      <c r="A1444" s="13"/>
      <c r="B1444" s="13"/>
    </row>
    <row r="1445" spans="1:2" x14ac:dyDescent="0.25">
      <c r="A1445" s="13"/>
      <c r="B1445" s="13"/>
    </row>
    <row r="1446" spans="1:2" x14ac:dyDescent="0.25">
      <c r="A1446" s="13"/>
      <c r="B1446" s="13"/>
    </row>
    <row r="1447" spans="1:2" x14ac:dyDescent="0.25">
      <c r="A1447" s="13"/>
      <c r="B1447" s="13"/>
    </row>
    <row r="1448" spans="1:2" x14ac:dyDescent="0.25">
      <c r="A1448" s="13"/>
      <c r="B1448" s="13"/>
    </row>
    <row r="1449" spans="1:2" x14ac:dyDescent="0.25">
      <c r="A1449" s="13"/>
      <c r="B1449" s="13"/>
    </row>
    <row r="1450" spans="1:2" x14ac:dyDescent="0.25">
      <c r="A1450" s="13"/>
      <c r="B1450" s="13"/>
    </row>
    <row r="1451" spans="1:2" x14ac:dyDescent="0.25">
      <c r="A1451" s="13"/>
      <c r="B1451" s="13"/>
    </row>
    <row r="1452" spans="1:2" x14ac:dyDescent="0.25">
      <c r="A1452" s="13"/>
      <c r="B1452" s="13"/>
    </row>
    <row r="1453" spans="1:2" x14ac:dyDescent="0.25">
      <c r="A1453" s="13"/>
      <c r="B1453" s="13"/>
    </row>
    <row r="1454" spans="1:2" x14ac:dyDescent="0.25">
      <c r="A1454" s="13"/>
      <c r="B1454" s="13"/>
    </row>
    <row r="1455" spans="1:2" x14ac:dyDescent="0.25">
      <c r="A1455" s="13"/>
      <c r="B1455" s="13"/>
    </row>
    <row r="1456" spans="1:2" x14ac:dyDescent="0.25">
      <c r="A1456" s="13"/>
      <c r="B1456" s="13"/>
    </row>
    <row r="1457" spans="1:2" x14ac:dyDescent="0.25">
      <c r="A1457" s="13"/>
      <c r="B1457" s="13"/>
    </row>
    <row r="1458" spans="1:2" x14ac:dyDescent="0.25">
      <c r="A1458" s="13"/>
      <c r="B1458" s="13"/>
    </row>
    <row r="1459" spans="1:2" x14ac:dyDescent="0.25">
      <c r="A1459" s="13"/>
      <c r="B1459" s="13"/>
    </row>
    <row r="1460" spans="1:2" x14ac:dyDescent="0.25">
      <c r="A1460" s="13"/>
      <c r="B1460" s="13"/>
    </row>
    <row r="1461" spans="1:2" x14ac:dyDescent="0.25">
      <c r="A1461" s="13"/>
      <c r="B1461" s="13"/>
    </row>
    <row r="1462" spans="1:2" x14ac:dyDescent="0.25">
      <c r="A1462" s="13"/>
      <c r="B1462" s="13"/>
    </row>
    <row r="1463" spans="1:2" x14ac:dyDescent="0.25">
      <c r="A1463" s="13"/>
      <c r="B1463" s="13"/>
    </row>
    <row r="1464" spans="1:2" x14ac:dyDescent="0.25">
      <c r="A1464" s="13"/>
      <c r="B1464" s="13"/>
    </row>
    <row r="1465" spans="1:2" x14ac:dyDescent="0.25">
      <c r="A1465" s="13"/>
      <c r="B1465" s="13"/>
    </row>
    <row r="1466" spans="1:2" x14ac:dyDescent="0.25">
      <c r="A1466" s="13"/>
      <c r="B1466" s="13"/>
    </row>
    <row r="1467" spans="1:2" x14ac:dyDescent="0.25">
      <c r="A1467" s="13"/>
      <c r="B1467" s="13"/>
    </row>
    <row r="1468" spans="1:2" x14ac:dyDescent="0.25">
      <c r="A1468" s="13"/>
      <c r="B1468" s="13"/>
    </row>
    <row r="1469" spans="1:2" x14ac:dyDescent="0.25">
      <c r="A1469" s="13"/>
      <c r="B1469" s="13"/>
    </row>
    <row r="1470" spans="1:2" x14ac:dyDescent="0.25">
      <c r="A1470" s="13"/>
      <c r="B1470" s="13"/>
    </row>
    <row r="1471" spans="1:2" x14ac:dyDescent="0.25">
      <c r="A1471" s="13"/>
      <c r="B1471" s="13"/>
    </row>
    <row r="1472" spans="1:2" x14ac:dyDescent="0.25">
      <c r="A1472" s="13"/>
      <c r="B1472" s="13"/>
    </row>
    <row r="1473" spans="1:2" x14ac:dyDescent="0.25">
      <c r="A1473" s="13"/>
      <c r="B1473" s="13"/>
    </row>
    <row r="1474" spans="1:2" x14ac:dyDescent="0.25">
      <c r="A1474" s="13"/>
      <c r="B1474" s="13"/>
    </row>
    <row r="1475" spans="1:2" x14ac:dyDescent="0.25">
      <c r="A1475" s="13"/>
      <c r="B1475" s="13"/>
    </row>
    <row r="1476" spans="1:2" x14ac:dyDescent="0.25">
      <c r="A1476" s="13"/>
      <c r="B1476" s="13"/>
    </row>
    <row r="1477" spans="1:2" x14ac:dyDescent="0.25">
      <c r="A1477" s="13"/>
      <c r="B1477" s="13"/>
    </row>
    <row r="1478" spans="1:2" x14ac:dyDescent="0.25">
      <c r="A1478" s="13"/>
      <c r="B1478" s="13"/>
    </row>
    <row r="1479" spans="1:2" x14ac:dyDescent="0.25">
      <c r="A1479" s="13"/>
      <c r="B1479" s="13"/>
    </row>
    <row r="1480" spans="1:2" x14ac:dyDescent="0.25">
      <c r="A1480" s="13"/>
      <c r="B1480" s="13"/>
    </row>
    <row r="1481" spans="1:2" x14ac:dyDescent="0.25">
      <c r="A1481" s="13"/>
      <c r="B1481" s="13"/>
    </row>
    <row r="1482" spans="1:2" x14ac:dyDescent="0.25">
      <c r="A1482" s="13"/>
      <c r="B1482" s="13"/>
    </row>
    <row r="1483" spans="1:2" x14ac:dyDescent="0.25">
      <c r="A1483" s="13"/>
      <c r="B1483" s="13"/>
    </row>
    <row r="1484" spans="1:2" x14ac:dyDescent="0.25">
      <c r="A1484" s="13"/>
      <c r="B1484" s="13"/>
    </row>
    <row r="1485" spans="1:2" x14ac:dyDescent="0.25">
      <c r="A1485" s="13"/>
      <c r="B1485" s="13"/>
    </row>
    <row r="1486" spans="1:2" x14ac:dyDescent="0.25">
      <c r="A1486" s="13"/>
      <c r="B1486" s="13"/>
    </row>
    <row r="1487" spans="1:2" x14ac:dyDescent="0.25">
      <c r="A1487" s="13"/>
      <c r="B1487" s="13"/>
    </row>
    <row r="1488" spans="1:2" x14ac:dyDescent="0.25">
      <c r="A1488" s="13"/>
      <c r="B1488" s="13"/>
    </row>
    <row r="1489" spans="1:2" x14ac:dyDescent="0.25">
      <c r="A1489" s="13"/>
      <c r="B1489" s="13"/>
    </row>
    <row r="1490" spans="1:2" x14ac:dyDescent="0.25">
      <c r="A1490" s="13"/>
      <c r="B1490" s="13"/>
    </row>
    <row r="1491" spans="1:2" x14ac:dyDescent="0.25">
      <c r="A1491" s="13"/>
      <c r="B1491" s="13"/>
    </row>
    <row r="1492" spans="1:2" x14ac:dyDescent="0.25">
      <c r="A1492" s="13"/>
      <c r="B1492" s="13"/>
    </row>
    <row r="1493" spans="1:2" x14ac:dyDescent="0.25">
      <c r="A1493" s="13"/>
      <c r="B1493" s="13"/>
    </row>
    <row r="1494" spans="1:2" x14ac:dyDescent="0.25">
      <c r="A1494" s="13"/>
      <c r="B1494" s="13"/>
    </row>
    <row r="1495" spans="1:2" x14ac:dyDescent="0.25">
      <c r="A1495" s="13"/>
      <c r="B1495" s="13"/>
    </row>
    <row r="1496" spans="1:2" x14ac:dyDescent="0.25">
      <c r="A1496" s="13"/>
      <c r="B1496" s="13"/>
    </row>
    <row r="1497" spans="1:2" x14ac:dyDescent="0.25">
      <c r="A1497" s="13"/>
      <c r="B1497" s="13"/>
    </row>
    <row r="1498" spans="1:2" x14ac:dyDescent="0.25">
      <c r="A1498" s="13"/>
      <c r="B1498" s="13"/>
    </row>
    <row r="1499" spans="1:2" x14ac:dyDescent="0.25">
      <c r="A1499" s="13"/>
      <c r="B1499" s="13"/>
    </row>
    <row r="1500" spans="1:2" x14ac:dyDescent="0.25">
      <c r="A1500" s="13"/>
      <c r="B1500" s="13"/>
    </row>
    <row r="1501" spans="1:2" x14ac:dyDescent="0.25">
      <c r="A1501" s="13"/>
      <c r="B1501" s="13"/>
    </row>
    <row r="1502" spans="1:2" x14ac:dyDescent="0.25">
      <c r="A1502" s="13"/>
      <c r="B1502" s="13"/>
    </row>
    <row r="1503" spans="1:2" x14ac:dyDescent="0.25">
      <c r="A1503" s="13"/>
      <c r="B1503" s="13"/>
    </row>
    <row r="1504" spans="1:2" x14ac:dyDescent="0.25">
      <c r="A1504" s="13"/>
      <c r="B1504" s="13"/>
    </row>
    <row r="1505" spans="1:2" x14ac:dyDescent="0.25">
      <c r="A1505" s="13"/>
      <c r="B1505" s="13"/>
    </row>
    <row r="1506" spans="1:2" x14ac:dyDescent="0.25">
      <c r="A1506" s="13"/>
      <c r="B1506" s="13"/>
    </row>
    <row r="1507" spans="1:2" x14ac:dyDescent="0.25">
      <c r="A1507" s="13"/>
      <c r="B1507" s="13"/>
    </row>
    <row r="1508" spans="1:2" x14ac:dyDescent="0.25">
      <c r="A1508" s="13"/>
      <c r="B1508" s="13"/>
    </row>
    <row r="1509" spans="1:2" x14ac:dyDescent="0.25">
      <c r="A1509" s="13"/>
      <c r="B1509" s="13"/>
    </row>
    <row r="1510" spans="1:2" x14ac:dyDescent="0.25">
      <c r="A1510" s="13"/>
      <c r="B1510" s="13"/>
    </row>
    <row r="1511" spans="1:2" x14ac:dyDescent="0.25">
      <c r="A1511" s="13"/>
      <c r="B1511" s="13"/>
    </row>
    <row r="1512" spans="1:2" x14ac:dyDescent="0.25">
      <c r="A1512" s="13"/>
      <c r="B1512" s="13"/>
    </row>
    <row r="1513" spans="1:2" x14ac:dyDescent="0.25">
      <c r="A1513" s="13"/>
      <c r="B1513" s="13"/>
    </row>
    <row r="1514" spans="1:2" x14ac:dyDescent="0.25">
      <c r="A1514" s="13"/>
      <c r="B1514" s="13"/>
    </row>
    <row r="1515" spans="1:2" x14ac:dyDescent="0.25">
      <c r="A1515" s="13"/>
      <c r="B1515" s="13"/>
    </row>
    <row r="1516" spans="1:2" x14ac:dyDescent="0.25">
      <c r="A1516" s="13"/>
      <c r="B1516" s="13"/>
    </row>
    <row r="1517" spans="1:2" x14ac:dyDescent="0.25">
      <c r="A1517" s="13"/>
      <c r="B1517" s="13"/>
    </row>
    <row r="1518" spans="1:2" x14ac:dyDescent="0.25">
      <c r="A1518" s="13"/>
      <c r="B1518" s="13"/>
    </row>
    <row r="1519" spans="1:2" x14ac:dyDescent="0.25">
      <c r="A1519" s="13"/>
      <c r="B1519" s="13"/>
    </row>
    <row r="1520" spans="1:2" x14ac:dyDescent="0.25">
      <c r="A1520" s="13"/>
      <c r="B1520" s="13"/>
    </row>
    <row r="1521" spans="1:2" x14ac:dyDescent="0.25">
      <c r="A1521" s="13"/>
      <c r="B1521" s="13"/>
    </row>
    <row r="1522" spans="1:2" x14ac:dyDescent="0.25">
      <c r="A1522" s="13"/>
      <c r="B1522" s="13"/>
    </row>
    <row r="1523" spans="1:2" x14ac:dyDescent="0.25">
      <c r="A1523" s="13"/>
      <c r="B1523" s="13"/>
    </row>
    <row r="1524" spans="1:2" x14ac:dyDescent="0.25">
      <c r="A1524" s="13"/>
      <c r="B1524" s="13"/>
    </row>
    <row r="1525" spans="1:2" x14ac:dyDescent="0.25">
      <c r="A1525" s="13"/>
      <c r="B1525" s="13"/>
    </row>
    <row r="1526" spans="1:2" x14ac:dyDescent="0.25">
      <c r="A1526" s="13"/>
      <c r="B1526" s="13"/>
    </row>
    <row r="1527" spans="1:2" x14ac:dyDescent="0.25">
      <c r="A1527" s="13"/>
      <c r="B1527" s="13"/>
    </row>
    <row r="1528" spans="1:2" x14ac:dyDescent="0.25">
      <c r="A1528" s="13"/>
      <c r="B1528" s="13"/>
    </row>
    <row r="1529" spans="1:2" x14ac:dyDescent="0.25">
      <c r="A1529" s="13"/>
      <c r="B1529" s="13"/>
    </row>
    <row r="1530" spans="1:2" x14ac:dyDescent="0.25">
      <c r="A1530" s="13"/>
      <c r="B1530" s="13"/>
    </row>
    <row r="1531" spans="1:2" x14ac:dyDescent="0.25">
      <c r="A1531" s="13"/>
      <c r="B1531" s="13"/>
    </row>
    <row r="1532" spans="1:2" x14ac:dyDescent="0.25">
      <c r="A1532" s="13"/>
      <c r="B1532" s="13"/>
    </row>
    <row r="1533" spans="1:2" x14ac:dyDescent="0.25">
      <c r="A1533" s="13"/>
      <c r="B1533" s="13"/>
    </row>
    <row r="1534" spans="1:2" x14ac:dyDescent="0.25">
      <c r="A1534" s="13"/>
      <c r="B1534" s="13"/>
    </row>
    <row r="1535" spans="1:2" x14ac:dyDescent="0.25">
      <c r="A1535" s="13"/>
      <c r="B1535" s="13"/>
    </row>
    <row r="1536" spans="1:2" x14ac:dyDescent="0.25">
      <c r="A1536" s="13"/>
      <c r="B1536" s="13"/>
    </row>
    <row r="1537" spans="1:2" x14ac:dyDescent="0.25">
      <c r="A1537" s="13"/>
      <c r="B1537" s="13"/>
    </row>
    <row r="1538" spans="1:2" x14ac:dyDescent="0.25">
      <c r="A1538" s="13"/>
      <c r="B1538" s="13"/>
    </row>
    <row r="1539" spans="1:2" x14ac:dyDescent="0.25">
      <c r="A1539" s="13"/>
      <c r="B1539" s="13"/>
    </row>
    <row r="1540" spans="1:2" x14ac:dyDescent="0.25">
      <c r="A1540" s="13"/>
      <c r="B1540" s="13"/>
    </row>
    <row r="1541" spans="1:2" x14ac:dyDescent="0.25">
      <c r="A1541" s="13"/>
      <c r="B1541" s="13"/>
    </row>
    <row r="1542" spans="1:2" x14ac:dyDescent="0.25">
      <c r="A1542" s="13"/>
      <c r="B1542" s="13"/>
    </row>
    <row r="1543" spans="1:2" x14ac:dyDescent="0.25">
      <c r="A1543" s="13"/>
      <c r="B1543" s="13"/>
    </row>
    <row r="1544" spans="1:2" x14ac:dyDescent="0.25">
      <c r="A1544" s="13"/>
      <c r="B1544" s="13"/>
    </row>
    <row r="1545" spans="1:2" x14ac:dyDescent="0.25">
      <c r="A1545" s="13"/>
      <c r="B1545" s="13"/>
    </row>
    <row r="1546" spans="1:2" x14ac:dyDescent="0.25">
      <c r="A1546" s="13"/>
      <c r="B1546" s="13"/>
    </row>
    <row r="1547" spans="1:2" x14ac:dyDescent="0.25">
      <c r="A1547" s="13"/>
      <c r="B1547" s="13"/>
    </row>
    <row r="1548" spans="1:2" x14ac:dyDescent="0.25">
      <c r="A1548" s="13"/>
      <c r="B1548" s="13"/>
    </row>
    <row r="1549" spans="1:2" x14ac:dyDescent="0.25">
      <c r="A1549" s="13"/>
      <c r="B1549" s="13"/>
    </row>
    <row r="1550" spans="1:2" x14ac:dyDescent="0.25">
      <c r="A1550" s="13"/>
      <c r="B1550" s="13"/>
    </row>
    <row r="1551" spans="1:2" x14ac:dyDescent="0.25">
      <c r="A1551" s="13"/>
      <c r="B1551" s="13"/>
    </row>
    <row r="1552" spans="1:2" x14ac:dyDescent="0.25">
      <c r="A1552" s="13"/>
      <c r="B1552" s="13"/>
    </row>
    <row r="1553" spans="1:2" x14ac:dyDescent="0.25">
      <c r="A1553" s="13"/>
      <c r="B1553" s="13"/>
    </row>
    <row r="1554" spans="1:2" x14ac:dyDescent="0.25">
      <c r="A1554" s="13"/>
      <c r="B1554" s="13"/>
    </row>
    <row r="1555" spans="1:2" x14ac:dyDescent="0.25">
      <c r="A1555" s="13"/>
      <c r="B1555" s="13"/>
    </row>
    <row r="1556" spans="1:2" x14ac:dyDescent="0.25">
      <c r="A1556" s="13"/>
      <c r="B1556" s="13"/>
    </row>
    <row r="1557" spans="1:2" x14ac:dyDescent="0.25">
      <c r="A1557" s="13"/>
      <c r="B1557" s="13"/>
    </row>
    <row r="1558" spans="1:2" x14ac:dyDescent="0.25">
      <c r="A1558" s="13"/>
      <c r="B1558" s="13"/>
    </row>
    <row r="1559" spans="1:2" x14ac:dyDescent="0.25">
      <c r="A1559" s="13"/>
      <c r="B1559" s="13"/>
    </row>
    <row r="1560" spans="1:2" x14ac:dyDescent="0.25">
      <c r="A1560" s="13"/>
      <c r="B1560" s="13"/>
    </row>
    <row r="1561" spans="1:2" x14ac:dyDescent="0.25">
      <c r="A1561" s="13"/>
      <c r="B1561" s="13"/>
    </row>
    <row r="1562" spans="1:2" x14ac:dyDescent="0.25">
      <c r="A1562" s="13"/>
      <c r="B1562" s="13"/>
    </row>
    <row r="1563" spans="1:2" x14ac:dyDescent="0.25">
      <c r="A1563" s="13"/>
      <c r="B1563" s="13"/>
    </row>
    <row r="1564" spans="1:2" x14ac:dyDescent="0.25">
      <c r="A1564" s="13"/>
      <c r="B1564" s="13"/>
    </row>
    <row r="1565" spans="1:2" x14ac:dyDescent="0.25">
      <c r="A1565" s="13"/>
      <c r="B1565" s="13"/>
    </row>
    <row r="1566" spans="1:2" x14ac:dyDescent="0.25">
      <c r="A1566" s="13"/>
      <c r="B1566" s="13"/>
    </row>
    <row r="1567" spans="1:2" x14ac:dyDescent="0.25">
      <c r="A1567" s="13"/>
      <c r="B1567" s="13"/>
    </row>
    <row r="1568" spans="1:2" x14ac:dyDescent="0.25">
      <c r="A1568" s="13"/>
      <c r="B1568" s="13"/>
    </row>
    <row r="1569" spans="1:2" x14ac:dyDescent="0.25">
      <c r="A1569" s="13"/>
      <c r="B1569" s="13"/>
    </row>
    <row r="1570" spans="1:2" x14ac:dyDescent="0.25">
      <c r="A1570" s="13"/>
      <c r="B1570" s="13"/>
    </row>
    <row r="1571" spans="1:2" x14ac:dyDescent="0.25">
      <c r="A1571" s="13"/>
      <c r="B1571" s="13"/>
    </row>
    <row r="1572" spans="1:2" x14ac:dyDescent="0.25">
      <c r="A1572" s="13"/>
      <c r="B1572" s="13"/>
    </row>
    <row r="1573" spans="1:2" x14ac:dyDescent="0.25">
      <c r="A1573" s="13"/>
      <c r="B1573" s="13"/>
    </row>
    <row r="1574" spans="1:2" x14ac:dyDescent="0.25">
      <c r="A1574" s="13"/>
      <c r="B1574" s="13"/>
    </row>
    <row r="1575" spans="1:2" x14ac:dyDescent="0.25">
      <c r="A1575" s="13"/>
      <c r="B1575" s="13"/>
    </row>
    <row r="1576" spans="1:2" x14ac:dyDescent="0.25">
      <c r="A1576" s="13"/>
      <c r="B1576" s="13"/>
    </row>
    <row r="1577" spans="1:2" x14ac:dyDescent="0.25">
      <c r="A1577" s="13"/>
      <c r="B1577" s="13"/>
    </row>
    <row r="1578" spans="1:2" x14ac:dyDescent="0.25">
      <c r="A1578" s="13"/>
      <c r="B1578" s="13"/>
    </row>
    <row r="1579" spans="1:2" x14ac:dyDescent="0.25">
      <c r="A1579" s="13"/>
      <c r="B1579" s="13"/>
    </row>
    <row r="1580" spans="1:2" x14ac:dyDescent="0.25">
      <c r="A1580" s="13"/>
      <c r="B1580" s="13"/>
    </row>
    <row r="1581" spans="1:2" x14ac:dyDescent="0.25">
      <c r="A1581" s="13"/>
      <c r="B1581" s="13"/>
    </row>
    <row r="1582" spans="1:2" x14ac:dyDescent="0.25">
      <c r="A1582" s="13"/>
      <c r="B1582" s="13"/>
    </row>
    <row r="1583" spans="1:2" x14ac:dyDescent="0.25">
      <c r="A1583" s="13"/>
      <c r="B1583" s="13"/>
    </row>
    <row r="1584" spans="1:2" x14ac:dyDescent="0.25">
      <c r="A1584" s="13"/>
      <c r="B1584" s="13"/>
    </row>
    <row r="1585" spans="1:2" x14ac:dyDescent="0.25">
      <c r="A1585" s="13"/>
      <c r="B1585" s="13"/>
    </row>
    <row r="1586" spans="1:2" x14ac:dyDescent="0.25">
      <c r="A1586" s="13"/>
      <c r="B1586" s="13"/>
    </row>
    <row r="1587" spans="1:2" x14ac:dyDescent="0.25">
      <c r="A1587" s="13"/>
      <c r="B1587" s="13"/>
    </row>
    <row r="1588" spans="1:2" x14ac:dyDescent="0.25">
      <c r="A1588" s="13"/>
      <c r="B1588" s="13"/>
    </row>
    <row r="1589" spans="1:2" x14ac:dyDescent="0.25">
      <c r="A1589" s="13"/>
      <c r="B1589" s="13"/>
    </row>
    <row r="1590" spans="1:2" x14ac:dyDescent="0.25">
      <c r="A1590" s="13"/>
      <c r="B1590" s="13"/>
    </row>
    <row r="1591" spans="1:2" x14ac:dyDescent="0.25">
      <c r="A1591" s="13"/>
      <c r="B1591" s="13"/>
    </row>
    <row r="1592" spans="1:2" x14ac:dyDescent="0.25">
      <c r="A1592" s="13"/>
      <c r="B1592" s="13"/>
    </row>
    <row r="1593" spans="1:2" x14ac:dyDescent="0.25">
      <c r="A1593" s="13"/>
      <c r="B1593" s="13"/>
    </row>
    <row r="1594" spans="1:2" x14ac:dyDescent="0.25">
      <c r="A1594" s="13"/>
      <c r="B1594" s="13"/>
    </row>
    <row r="1595" spans="1:2" x14ac:dyDescent="0.25">
      <c r="A1595" s="13"/>
      <c r="B1595" s="13"/>
    </row>
    <row r="1596" spans="1:2" x14ac:dyDescent="0.25">
      <c r="A1596" s="13"/>
      <c r="B1596" s="13"/>
    </row>
    <row r="1597" spans="1:2" x14ac:dyDescent="0.25">
      <c r="A1597" s="13"/>
      <c r="B1597" s="13"/>
    </row>
    <row r="1598" spans="1:2" x14ac:dyDescent="0.25">
      <c r="A1598" s="13"/>
      <c r="B1598" s="13"/>
    </row>
    <row r="1599" spans="1:2" x14ac:dyDescent="0.25">
      <c r="A1599" s="13"/>
      <c r="B1599" s="13"/>
    </row>
    <row r="1600" spans="1:2" x14ac:dyDescent="0.25">
      <c r="A1600" s="13"/>
      <c r="B1600" s="13"/>
    </row>
    <row r="1601" spans="1:2" x14ac:dyDescent="0.25">
      <c r="A1601" s="13"/>
      <c r="B1601" s="13"/>
    </row>
    <row r="1602" spans="1:2" x14ac:dyDescent="0.25">
      <c r="A1602" s="13"/>
      <c r="B1602" s="13"/>
    </row>
    <row r="1603" spans="1:2" x14ac:dyDescent="0.25">
      <c r="A1603" s="13"/>
      <c r="B1603" s="13"/>
    </row>
    <row r="1604" spans="1:2" x14ac:dyDescent="0.25">
      <c r="A1604" s="13"/>
      <c r="B1604" s="13"/>
    </row>
    <row r="1605" spans="1:2" x14ac:dyDescent="0.25">
      <c r="A1605" s="13"/>
      <c r="B1605" s="13"/>
    </row>
    <row r="1606" spans="1:2" x14ac:dyDescent="0.25">
      <c r="A1606" s="13"/>
      <c r="B1606" s="13"/>
    </row>
    <row r="1607" spans="1:2" x14ac:dyDescent="0.25">
      <c r="A1607" s="13"/>
      <c r="B1607" s="13"/>
    </row>
    <row r="1608" spans="1:2" x14ac:dyDescent="0.25">
      <c r="A1608" s="13"/>
      <c r="B1608" s="13"/>
    </row>
    <row r="1609" spans="1:2" x14ac:dyDescent="0.25">
      <c r="A1609" s="13"/>
      <c r="B1609" s="13"/>
    </row>
    <row r="1610" spans="1:2" x14ac:dyDescent="0.25">
      <c r="A1610" s="13"/>
      <c r="B1610" s="13"/>
    </row>
    <row r="1611" spans="1:2" x14ac:dyDescent="0.25">
      <c r="A1611" s="13"/>
      <c r="B1611" s="13"/>
    </row>
    <row r="1612" spans="1:2" x14ac:dyDescent="0.25">
      <c r="A1612" s="13"/>
      <c r="B1612" s="13"/>
    </row>
    <row r="1613" spans="1:2" x14ac:dyDescent="0.25">
      <c r="A1613" s="13"/>
      <c r="B1613" s="13"/>
    </row>
    <row r="1614" spans="1:2" x14ac:dyDescent="0.25">
      <c r="A1614" s="13"/>
      <c r="B1614" s="13"/>
    </row>
    <row r="1615" spans="1:2" x14ac:dyDescent="0.25">
      <c r="A1615" s="13"/>
      <c r="B1615" s="13"/>
    </row>
    <row r="1616" spans="1:2" x14ac:dyDescent="0.25">
      <c r="A1616" s="13"/>
      <c r="B1616" s="13"/>
    </row>
    <row r="1617" spans="1:2" x14ac:dyDescent="0.25">
      <c r="A1617" s="13"/>
      <c r="B1617" s="13"/>
    </row>
    <row r="1618" spans="1:2" x14ac:dyDescent="0.25">
      <c r="A1618" s="13"/>
      <c r="B1618" s="13"/>
    </row>
    <row r="1619" spans="1:2" x14ac:dyDescent="0.25">
      <c r="A1619" s="13"/>
      <c r="B1619" s="13"/>
    </row>
    <row r="1620" spans="1:2" x14ac:dyDescent="0.25">
      <c r="A1620" s="13"/>
      <c r="B1620" s="13"/>
    </row>
    <row r="1621" spans="1:2" x14ac:dyDescent="0.25">
      <c r="A1621" s="13"/>
      <c r="B1621" s="13"/>
    </row>
    <row r="1622" spans="1:2" x14ac:dyDescent="0.25">
      <c r="A1622" s="13"/>
      <c r="B1622" s="13"/>
    </row>
    <row r="1623" spans="1:2" x14ac:dyDescent="0.25">
      <c r="A1623" s="13"/>
      <c r="B1623" s="13"/>
    </row>
    <row r="1624" spans="1:2" x14ac:dyDescent="0.25">
      <c r="A1624" s="13"/>
      <c r="B1624" s="13"/>
    </row>
    <row r="1625" spans="1:2" x14ac:dyDescent="0.25">
      <c r="A1625" s="13"/>
      <c r="B1625" s="13"/>
    </row>
    <row r="1626" spans="1:2" x14ac:dyDescent="0.25">
      <c r="A1626" s="13"/>
      <c r="B1626" s="13"/>
    </row>
    <row r="1627" spans="1:2" x14ac:dyDescent="0.25">
      <c r="A1627" s="13"/>
      <c r="B1627" s="13"/>
    </row>
    <row r="1628" spans="1:2" x14ac:dyDescent="0.25">
      <c r="A1628" s="13"/>
      <c r="B1628" s="13"/>
    </row>
    <row r="1629" spans="1:2" x14ac:dyDescent="0.25">
      <c r="A1629" s="13"/>
      <c r="B1629" s="13"/>
    </row>
    <row r="1630" spans="1:2" x14ac:dyDescent="0.25">
      <c r="A1630" s="13"/>
      <c r="B1630" s="13"/>
    </row>
    <row r="1631" spans="1:2" x14ac:dyDescent="0.25">
      <c r="A1631" s="13"/>
      <c r="B1631" s="13"/>
    </row>
    <row r="1632" spans="1:2" x14ac:dyDescent="0.25">
      <c r="A1632" s="13"/>
      <c r="B1632" s="13"/>
    </row>
    <row r="1633" spans="1:2" x14ac:dyDescent="0.25">
      <c r="A1633" s="13"/>
      <c r="B1633" s="13"/>
    </row>
    <row r="1634" spans="1:2" x14ac:dyDescent="0.25">
      <c r="A1634" s="13"/>
      <c r="B1634" s="13"/>
    </row>
    <row r="1635" spans="1:2" x14ac:dyDescent="0.25">
      <c r="A1635" s="13"/>
      <c r="B1635" s="13"/>
    </row>
    <row r="1636" spans="1:2" x14ac:dyDescent="0.25">
      <c r="A1636" s="13"/>
      <c r="B1636" s="13"/>
    </row>
    <row r="1637" spans="1:2" x14ac:dyDescent="0.25">
      <c r="A1637" s="13"/>
      <c r="B1637" s="13"/>
    </row>
    <row r="1638" spans="1:2" x14ac:dyDescent="0.25">
      <c r="A1638" s="13"/>
      <c r="B1638" s="13"/>
    </row>
    <row r="1639" spans="1:2" x14ac:dyDescent="0.25">
      <c r="A1639" s="13"/>
      <c r="B1639" s="13"/>
    </row>
    <row r="1640" spans="1:2" x14ac:dyDescent="0.25">
      <c r="A1640" s="13"/>
      <c r="B1640" s="13"/>
    </row>
    <row r="1641" spans="1:2" x14ac:dyDescent="0.25">
      <c r="A1641" s="13"/>
      <c r="B1641" s="13"/>
    </row>
    <row r="1642" spans="1:2" x14ac:dyDescent="0.25">
      <c r="A1642" s="13"/>
      <c r="B1642" s="13"/>
    </row>
    <row r="1643" spans="1:2" x14ac:dyDescent="0.25">
      <c r="A1643" s="13"/>
      <c r="B1643" s="13"/>
    </row>
    <row r="1644" spans="1:2" x14ac:dyDescent="0.25">
      <c r="A1644" s="13"/>
      <c r="B1644" s="13"/>
    </row>
    <row r="1645" spans="1:2" x14ac:dyDescent="0.25">
      <c r="A1645" s="13"/>
      <c r="B1645" s="13"/>
    </row>
    <row r="1646" spans="1:2" x14ac:dyDescent="0.25">
      <c r="A1646" s="13"/>
      <c r="B1646" s="13"/>
    </row>
    <row r="1647" spans="1:2" x14ac:dyDescent="0.25">
      <c r="A1647" s="13"/>
      <c r="B1647" s="13"/>
    </row>
    <row r="1648" spans="1:2" x14ac:dyDescent="0.25">
      <c r="A1648" s="13"/>
      <c r="B1648" s="13"/>
    </row>
    <row r="1649" spans="1:2" x14ac:dyDescent="0.25">
      <c r="A1649" s="13"/>
      <c r="B1649" s="13"/>
    </row>
    <row r="1650" spans="1:2" x14ac:dyDescent="0.25">
      <c r="A1650" s="13"/>
      <c r="B1650" s="13"/>
    </row>
    <row r="1651" spans="1:2" x14ac:dyDescent="0.25">
      <c r="A1651" s="13"/>
      <c r="B1651" s="13"/>
    </row>
    <row r="1652" spans="1:2" x14ac:dyDescent="0.25">
      <c r="A1652" s="13"/>
      <c r="B1652" s="13"/>
    </row>
    <row r="1653" spans="1:2" x14ac:dyDescent="0.25">
      <c r="A1653" s="13"/>
      <c r="B1653" s="13"/>
    </row>
    <row r="1654" spans="1:2" x14ac:dyDescent="0.25">
      <c r="A1654" s="13"/>
      <c r="B1654" s="13"/>
    </row>
    <row r="1655" spans="1:2" x14ac:dyDescent="0.25">
      <c r="A1655" s="13"/>
      <c r="B1655" s="13"/>
    </row>
    <row r="1656" spans="1:2" x14ac:dyDescent="0.25">
      <c r="A1656" s="13"/>
      <c r="B1656" s="13"/>
    </row>
    <row r="1657" spans="1:2" x14ac:dyDescent="0.25">
      <c r="A1657" s="13"/>
      <c r="B1657" s="13"/>
    </row>
    <row r="1658" spans="1:2" x14ac:dyDescent="0.25">
      <c r="A1658" s="13"/>
      <c r="B1658" s="13"/>
    </row>
    <row r="1659" spans="1:2" x14ac:dyDescent="0.25">
      <c r="A1659" s="13"/>
      <c r="B1659" s="13"/>
    </row>
    <row r="1660" spans="1:2" x14ac:dyDescent="0.25">
      <c r="A1660" s="13"/>
      <c r="B1660" s="13"/>
    </row>
    <row r="1661" spans="1:2" x14ac:dyDescent="0.25">
      <c r="A1661" s="13"/>
      <c r="B1661" s="13"/>
    </row>
    <row r="1662" spans="1:2" x14ac:dyDescent="0.25">
      <c r="A1662" s="13"/>
      <c r="B1662" s="13"/>
    </row>
    <row r="1663" spans="1:2" x14ac:dyDescent="0.25">
      <c r="A1663" s="13"/>
      <c r="B1663" s="13"/>
    </row>
    <row r="1664" spans="1:2" x14ac:dyDescent="0.25">
      <c r="A1664" s="13"/>
      <c r="B1664" s="13"/>
    </row>
    <row r="1665" spans="1:2" x14ac:dyDescent="0.25">
      <c r="A1665" s="13"/>
      <c r="B1665" s="13"/>
    </row>
    <row r="1666" spans="1:2" x14ac:dyDescent="0.25">
      <c r="A1666" s="13"/>
      <c r="B1666" s="13"/>
    </row>
    <row r="1667" spans="1:2" x14ac:dyDescent="0.25">
      <c r="A1667" s="13"/>
      <c r="B1667" s="13"/>
    </row>
    <row r="1668" spans="1:2" x14ac:dyDescent="0.25">
      <c r="A1668" s="13"/>
      <c r="B1668" s="13"/>
    </row>
    <row r="1669" spans="1:2" x14ac:dyDescent="0.25">
      <c r="A1669" s="13"/>
      <c r="B1669" s="13"/>
    </row>
    <row r="1670" spans="1:2" x14ac:dyDescent="0.25">
      <c r="A1670" s="13"/>
      <c r="B1670" s="13"/>
    </row>
    <row r="1671" spans="1:2" x14ac:dyDescent="0.25">
      <c r="A1671" s="13"/>
      <c r="B1671" s="13"/>
    </row>
    <row r="1672" spans="1:2" x14ac:dyDescent="0.25">
      <c r="A1672" s="13"/>
      <c r="B1672" s="13"/>
    </row>
    <row r="1673" spans="1:2" x14ac:dyDescent="0.25">
      <c r="A1673" s="13"/>
      <c r="B1673" s="13"/>
    </row>
    <row r="1674" spans="1:2" x14ac:dyDescent="0.25">
      <c r="A1674" s="13"/>
      <c r="B1674" s="13"/>
    </row>
    <row r="1675" spans="1:2" x14ac:dyDescent="0.25">
      <c r="A1675" s="13"/>
      <c r="B1675" s="13"/>
    </row>
    <row r="1676" spans="1:2" x14ac:dyDescent="0.25">
      <c r="A1676" s="13"/>
      <c r="B1676" s="13"/>
    </row>
    <row r="1677" spans="1:2" x14ac:dyDescent="0.25">
      <c r="A1677" s="13"/>
      <c r="B1677" s="13"/>
    </row>
    <row r="1678" spans="1:2" x14ac:dyDescent="0.25">
      <c r="A1678" s="13"/>
      <c r="B1678" s="13"/>
    </row>
    <row r="1679" spans="1:2" x14ac:dyDescent="0.25">
      <c r="A1679" s="13"/>
      <c r="B1679" s="13"/>
    </row>
    <row r="1680" spans="1:2" x14ac:dyDescent="0.25">
      <c r="A1680" s="13"/>
      <c r="B1680" s="13"/>
    </row>
    <row r="1681" spans="1:2" x14ac:dyDescent="0.25">
      <c r="A1681" s="13"/>
      <c r="B1681" s="13"/>
    </row>
    <row r="1682" spans="1:2" x14ac:dyDescent="0.25">
      <c r="A1682" s="13"/>
      <c r="B1682" s="13"/>
    </row>
    <row r="1683" spans="1:2" x14ac:dyDescent="0.25">
      <c r="A1683" s="13"/>
      <c r="B1683" s="13"/>
    </row>
    <row r="1684" spans="1:2" x14ac:dyDescent="0.25">
      <c r="A1684" s="13"/>
      <c r="B1684" s="13"/>
    </row>
    <row r="1685" spans="1:2" x14ac:dyDescent="0.25">
      <c r="A1685" s="13"/>
      <c r="B1685" s="13"/>
    </row>
    <row r="1686" spans="1:2" x14ac:dyDescent="0.25">
      <c r="A1686" s="13"/>
      <c r="B1686" s="13"/>
    </row>
    <row r="1687" spans="1:2" x14ac:dyDescent="0.25">
      <c r="A1687" s="13"/>
      <c r="B1687" s="13"/>
    </row>
    <row r="1688" spans="1:2" x14ac:dyDescent="0.25">
      <c r="A1688" s="13"/>
      <c r="B1688" s="13"/>
    </row>
    <row r="1689" spans="1:2" x14ac:dyDescent="0.25">
      <c r="A1689" s="13"/>
      <c r="B1689" s="13"/>
    </row>
    <row r="1690" spans="1:2" x14ac:dyDescent="0.25">
      <c r="A1690" s="13"/>
      <c r="B1690" s="13"/>
    </row>
    <row r="1691" spans="1:2" x14ac:dyDescent="0.25">
      <c r="A1691" s="13"/>
      <c r="B1691" s="13"/>
    </row>
    <row r="1692" spans="1:2" x14ac:dyDescent="0.25">
      <c r="A1692" s="13"/>
      <c r="B1692" s="13"/>
    </row>
    <row r="1693" spans="1:2" x14ac:dyDescent="0.25">
      <c r="A1693" s="13"/>
      <c r="B1693" s="13"/>
    </row>
    <row r="1694" spans="1:2" x14ac:dyDescent="0.25">
      <c r="A1694" s="13"/>
      <c r="B1694" s="13"/>
    </row>
    <row r="1695" spans="1:2" x14ac:dyDescent="0.25">
      <c r="A1695" s="13"/>
      <c r="B1695" s="13"/>
    </row>
    <row r="1696" spans="1:2" x14ac:dyDescent="0.25">
      <c r="A1696" s="13"/>
      <c r="B1696" s="13"/>
    </row>
    <row r="1697" spans="1:2" x14ac:dyDescent="0.25">
      <c r="A1697" s="13"/>
      <c r="B1697" s="13"/>
    </row>
    <row r="1698" spans="1:2" x14ac:dyDescent="0.25">
      <c r="A1698" s="13"/>
      <c r="B1698" s="13"/>
    </row>
    <row r="1699" spans="1:2" x14ac:dyDescent="0.25">
      <c r="A1699" s="13"/>
      <c r="B1699" s="13"/>
    </row>
    <row r="1700" spans="1:2" x14ac:dyDescent="0.25">
      <c r="A1700" s="13"/>
      <c r="B1700" s="13"/>
    </row>
    <row r="1701" spans="1:2" x14ac:dyDescent="0.25">
      <c r="A1701" s="13"/>
      <c r="B1701" s="13"/>
    </row>
    <row r="1702" spans="1:2" x14ac:dyDescent="0.25">
      <c r="A1702" s="13"/>
      <c r="B1702" s="13"/>
    </row>
    <row r="1703" spans="1:2" x14ac:dyDescent="0.25">
      <c r="A1703" s="13"/>
      <c r="B1703" s="13"/>
    </row>
    <row r="1704" spans="1:2" x14ac:dyDescent="0.25">
      <c r="A1704" s="13"/>
      <c r="B1704" s="13"/>
    </row>
    <row r="1705" spans="1:2" x14ac:dyDescent="0.25">
      <c r="A1705" s="13"/>
      <c r="B1705" s="13"/>
    </row>
    <row r="1706" spans="1:2" x14ac:dyDescent="0.25">
      <c r="A1706" s="13"/>
      <c r="B1706" s="13"/>
    </row>
    <row r="1707" spans="1:2" x14ac:dyDescent="0.25">
      <c r="A1707" s="13"/>
      <c r="B1707" s="13"/>
    </row>
    <row r="1708" spans="1:2" x14ac:dyDescent="0.25">
      <c r="A1708" s="13"/>
      <c r="B1708" s="13"/>
    </row>
    <row r="1709" spans="1:2" x14ac:dyDescent="0.25">
      <c r="A1709" s="13"/>
      <c r="B1709" s="13"/>
    </row>
    <row r="1710" spans="1:2" x14ac:dyDescent="0.25">
      <c r="A1710" s="13"/>
      <c r="B1710" s="13"/>
    </row>
    <row r="1711" spans="1:2" x14ac:dyDescent="0.25">
      <c r="A1711" s="13"/>
      <c r="B1711" s="13"/>
    </row>
    <row r="1712" spans="1:2" x14ac:dyDescent="0.25">
      <c r="A1712" s="13"/>
      <c r="B1712" s="13"/>
    </row>
    <row r="1713" spans="1:2" x14ac:dyDescent="0.25">
      <c r="A1713" s="13"/>
      <c r="B1713" s="13"/>
    </row>
    <row r="1714" spans="1:2" x14ac:dyDescent="0.25">
      <c r="A1714" s="13"/>
      <c r="B1714" s="13"/>
    </row>
    <row r="1715" spans="1:2" x14ac:dyDescent="0.25">
      <c r="A1715" s="13"/>
      <c r="B1715" s="13"/>
    </row>
    <row r="1716" spans="1:2" x14ac:dyDescent="0.25">
      <c r="A1716" s="13"/>
      <c r="B1716" s="13"/>
    </row>
    <row r="1717" spans="1:2" x14ac:dyDescent="0.25">
      <c r="A1717" s="13"/>
      <c r="B1717" s="13"/>
    </row>
    <row r="1718" spans="1:2" x14ac:dyDescent="0.25">
      <c r="A1718" s="13"/>
      <c r="B1718" s="13"/>
    </row>
    <row r="1719" spans="1:2" x14ac:dyDescent="0.25">
      <c r="A1719" s="13"/>
      <c r="B1719" s="13"/>
    </row>
    <row r="1720" spans="1:2" x14ac:dyDescent="0.25">
      <c r="A1720" s="13"/>
      <c r="B1720" s="13"/>
    </row>
    <row r="1721" spans="1:2" x14ac:dyDescent="0.25">
      <c r="A1721" s="13"/>
      <c r="B1721" s="13"/>
    </row>
    <row r="1722" spans="1:2" x14ac:dyDescent="0.25">
      <c r="A1722" s="13"/>
      <c r="B1722" s="13"/>
    </row>
    <row r="1723" spans="1:2" x14ac:dyDescent="0.25">
      <c r="A1723" s="13"/>
      <c r="B1723" s="13"/>
    </row>
    <row r="1724" spans="1:2" x14ac:dyDescent="0.25">
      <c r="A1724" s="13"/>
      <c r="B1724" s="13"/>
    </row>
    <row r="1725" spans="1:2" x14ac:dyDescent="0.25">
      <c r="A1725" s="13"/>
      <c r="B1725" s="13"/>
    </row>
    <row r="1726" spans="1:2" x14ac:dyDescent="0.25">
      <c r="A1726" s="13"/>
      <c r="B1726" s="13"/>
    </row>
    <row r="1727" spans="1:2" x14ac:dyDescent="0.25">
      <c r="A1727" s="13"/>
      <c r="B1727" s="13"/>
    </row>
    <row r="1728" spans="1:2" x14ac:dyDescent="0.25">
      <c r="A1728" s="13"/>
      <c r="B1728" s="13"/>
    </row>
    <row r="1729" spans="1:2" x14ac:dyDescent="0.25">
      <c r="A1729" s="13"/>
      <c r="B1729" s="13"/>
    </row>
    <row r="1730" spans="1:2" x14ac:dyDescent="0.25">
      <c r="A1730" s="13"/>
      <c r="B1730" s="13"/>
    </row>
    <row r="1731" spans="1:2" x14ac:dyDescent="0.25">
      <c r="A1731" s="13"/>
      <c r="B1731" s="13"/>
    </row>
    <row r="1732" spans="1:2" x14ac:dyDescent="0.25">
      <c r="A1732" s="13"/>
      <c r="B1732" s="13"/>
    </row>
    <row r="1733" spans="1:2" x14ac:dyDescent="0.25">
      <c r="A1733" s="13"/>
      <c r="B1733" s="13"/>
    </row>
    <row r="1734" spans="1:2" x14ac:dyDescent="0.25">
      <c r="A1734" s="13"/>
      <c r="B1734" s="13"/>
    </row>
    <row r="1735" spans="1:2" x14ac:dyDescent="0.25">
      <c r="A1735" s="13"/>
      <c r="B1735" s="13"/>
    </row>
    <row r="1736" spans="1:2" x14ac:dyDescent="0.25">
      <c r="A1736" s="13"/>
      <c r="B1736" s="13"/>
    </row>
    <row r="1737" spans="1:2" x14ac:dyDescent="0.25">
      <c r="A1737" s="13"/>
      <c r="B1737" s="13"/>
    </row>
    <row r="1738" spans="1:2" x14ac:dyDescent="0.25">
      <c r="A1738" s="13"/>
      <c r="B1738" s="13"/>
    </row>
    <row r="1739" spans="1:2" x14ac:dyDescent="0.25">
      <c r="A1739" s="13"/>
      <c r="B1739" s="13"/>
    </row>
    <row r="1740" spans="1:2" x14ac:dyDescent="0.25">
      <c r="A1740" s="13"/>
      <c r="B1740" s="13"/>
    </row>
    <row r="1741" spans="1:2" x14ac:dyDescent="0.25">
      <c r="A1741" s="13"/>
      <c r="B1741" s="13"/>
    </row>
    <row r="1742" spans="1:2" x14ac:dyDescent="0.25">
      <c r="A1742" s="13"/>
      <c r="B1742" s="13"/>
    </row>
    <row r="1743" spans="1:2" x14ac:dyDescent="0.25">
      <c r="A1743" s="13"/>
      <c r="B1743" s="13"/>
    </row>
    <row r="1744" spans="1:2" x14ac:dyDescent="0.25">
      <c r="A1744" s="13"/>
      <c r="B1744" s="13"/>
    </row>
    <row r="1745" spans="1:2" x14ac:dyDescent="0.25">
      <c r="A1745" s="13"/>
      <c r="B1745" s="13"/>
    </row>
    <row r="1746" spans="1:2" x14ac:dyDescent="0.25">
      <c r="A1746" s="13"/>
      <c r="B1746" s="13"/>
    </row>
    <row r="1747" spans="1:2" x14ac:dyDescent="0.25">
      <c r="A1747" s="13"/>
      <c r="B1747" s="13"/>
    </row>
    <row r="1748" spans="1:2" x14ac:dyDescent="0.25">
      <c r="A1748" s="13"/>
      <c r="B1748" s="13"/>
    </row>
    <row r="1749" spans="1:2" x14ac:dyDescent="0.25">
      <c r="A1749" s="13"/>
      <c r="B1749" s="13"/>
    </row>
    <row r="1750" spans="1:2" x14ac:dyDescent="0.25">
      <c r="A1750" s="13"/>
      <c r="B1750" s="13"/>
    </row>
    <row r="1751" spans="1:2" x14ac:dyDescent="0.25">
      <c r="A1751" s="13"/>
      <c r="B1751" s="13"/>
    </row>
    <row r="1752" spans="1:2" x14ac:dyDescent="0.25">
      <c r="A1752" s="13"/>
      <c r="B1752" s="13"/>
    </row>
    <row r="1753" spans="1:2" x14ac:dyDescent="0.25">
      <c r="A1753" s="13"/>
      <c r="B1753" s="13"/>
    </row>
    <row r="1754" spans="1:2" x14ac:dyDescent="0.25">
      <c r="A1754" s="13"/>
      <c r="B1754" s="13"/>
    </row>
    <row r="1755" spans="1:2" x14ac:dyDescent="0.25">
      <c r="A1755" s="13"/>
      <c r="B1755" s="13"/>
    </row>
    <row r="1756" spans="1:2" x14ac:dyDescent="0.25">
      <c r="A1756" s="13"/>
      <c r="B1756" s="13"/>
    </row>
    <row r="1757" spans="1:2" x14ac:dyDescent="0.25">
      <c r="A1757" s="13"/>
      <c r="B1757" s="13"/>
    </row>
    <row r="1758" spans="1:2" x14ac:dyDescent="0.25">
      <c r="A1758" s="13"/>
      <c r="B1758" s="13"/>
    </row>
    <row r="1759" spans="1:2" x14ac:dyDescent="0.25">
      <c r="A1759" s="13"/>
      <c r="B1759" s="13"/>
    </row>
    <row r="1760" spans="1:2" x14ac:dyDescent="0.25">
      <c r="A1760" s="13"/>
      <c r="B1760" s="13"/>
    </row>
    <row r="1761" spans="1:2" x14ac:dyDescent="0.25">
      <c r="A1761" s="13"/>
      <c r="B1761" s="13"/>
    </row>
    <row r="1762" spans="1:2" x14ac:dyDescent="0.25">
      <c r="A1762" s="13"/>
      <c r="B1762" s="13"/>
    </row>
    <row r="1763" spans="1:2" x14ac:dyDescent="0.25">
      <c r="A1763" s="13"/>
      <c r="B1763" s="13"/>
    </row>
    <row r="1764" spans="1:2" x14ac:dyDescent="0.25">
      <c r="A1764" s="13"/>
      <c r="B1764" s="13"/>
    </row>
    <row r="1765" spans="1:2" x14ac:dyDescent="0.25">
      <c r="A1765" s="13"/>
      <c r="B1765" s="13"/>
    </row>
    <row r="1766" spans="1:2" x14ac:dyDescent="0.25">
      <c r="A1766" s="13"/>
      <c r="B1766" s="13"/>
    </row>
    <row r="1767" spans="1:2" x14ac:dyDescent="0.25">
      <c r="A1767" s="13"/>
      <c r="B1767" s="13"/>
    </row>
    <row r="1768" spans="1:2" x14ac:dyDescent="0.25">
      <c r="A1768" s="13"/>
      <c r="B1768" s="13"/>
    </row>
    <row r="1769" spans="1:2" x14ac:dyDescent="0.25">
      <c r="A1769" s="13"/>
      <c r="B1769" s="13"/>
    </row>
    <row r="1770" spans="1:2" x14ac:dyDescent="0.25">
      <c r="A1770" s="13"/>
      <c r="B1770" s="13"/>
    </row>
    <row r="1771" spans="1:2" x14ac:dyDescent="0.25">
      <c r="A1771" s="13"/>
      <c r="B1771" s="13"/>
    </row>
    <row r="1772" spans="1:2" x14ac:dyDescent="0.25">
      <c r="A1772" s="13"/>
      <c r="B1772" s="13"/>
    </row>
    <row r="1773" spans="1:2" x14ac:dyDescent="0.25">
      <c r="A1773" s="13"/>
      <c r="B1773" s="13"/>
    </row>
    <row r="1774" spans="1:2" x14ac:dyDescent="0.25">
      <c r="A1774" s="13"/>
      <c r="B1774" s="13"/>
    </row>
    <row r="1775" spans="1:2" x14ac:dyDescent="0.25">
      <c r="A1775" s="13"/>
      <c r="B1775" s="13"/>
    </row>
    <row r="1776" spans="1:2" x14ac:dyDescent="0.25">
      <c r="A1776" s="13"/>
      <c r="B1776" s="13"/>
    </row>
    <row r="1777" spans="1:2" x14ac:dyDescent="0.25">
      <c r="A1777" s="13"/>
      <c r="B1777" s="13"/>
    </row>
    <row r="1778" spans="1:2" x14ac:dyDescent="0.25">
      <c r="A1778" s="13"/>
      <c r="B1778" s="13"/>
    </row>
    <row r="1779" spans="1:2" x14ac:dyDescent="0.25">
      <c r="A1779" s="13"/>
      <c r="B1779" s="13"/>
    </row>
    <row r="1780" spans="1:2" x14ac:dyDescent="0.25">
      <c r="A1780" s="13"/>
      <c r="B1780" s="13"/>
    </row>
    <row r="1781" spans="1:2" x14ac:dyDescent="0.25">
      <c r="A1781" s="13"/>
      <c r="B1781" s="13"/>
    </row>
    <row r="1782" spans="1:2" x14ac:dyDescent="0.25">
      <c r="A1782" s="13"/>
      <c r="B1782" s="13"/>
    </row>
    <row r="1783" spans="1:2" x14ac:dyDescent="0.25">
      <c r="A1783" s="13"/>
      <c r="B1783" s="13"/>
    </row>
    <row r="1784" spans="1:2" x14ac:dyDescent="0.25">
      <c r="A1784" s="13"/>
      <c r="B1784" s="13"/>
    </row>
    <row r="1785" spans="1:2" x14ac:dyDescent="0.25">
      <c r="A1785" s="13"/>
      <c r="B1785" s="13"/>
    </row>
    <row r="1786" spans="1:2" x14ac:dyDescent="0.25">
      <c r="A1786" s="13"/>
      <c r="B1786" s="13"/>
    </row>
    <row r="1787" spans="1:2" x14ac:dyDescent="0.25">
      <c r="A1787" s="13"/>
      <c r="B1787" s="13"/>
    </row>
    <row r="1788" spans="1:2" x14ac:dyDescent="0.25">
      <c r="A1788" s="13"/>
      <c r="B1788" s="13"/>
    </row>
    <row r="1789" spans="1:2" x14ac:dyDescent="0.25">
      <c r="A1789" s="13"/>
      <c r="B1789" s="13"/>
    </row>
    <row r="1790" spans="1:2" x14ac:dyDescent="0.25">
      <c r="A1790" s="13"/>
      <c r="B1790" s="13"/>
    </row>
    <row r="1791" spans="1:2" x14ac:dyDescent="0.25">
      <c r="A1791" s="13"/>
      <c r="B1791" s="13"/>
    </row>
    <row r="1792" spans="1:2" x14ac:dyDescent="0.25">
      <c r="A1792" s="13"/>
      <c r="B1792" s="13"/>
    </row>
    <row r="1793" spans="1:2" x14ac:dyDescent="0.25">
      <c r="A1793" s="13"/>
      <c r="B1793" s="13"/>
    </row>
    <row r="1794" spans="1:2" x14ac:dyDescent="0.25">
      <c r="A1794" s="13"/>
      <c r="B1794" s="13"/>
    </row>
    <row r="1795" spans="1:2" x14ac:dyDescent="0.25">
      <c r="A1795" s="13"/>
      <c r="B1795" s="13"/>
    </row>
    <row r="1796" spans="1:2" x14ac:dyDescent="0.25">
      <c r="A1796" s="13"/>
      <c r="B1796" s="13"/>
    </row>
    <row r="1797" spans="1:2" x14ac:dyDescent="0.25">
      <c r="A1797" s="13"/>
      <c r="B1797" s="13"/>
    </row>
    <row r="1798" spans="1:2" x14ac:dyDescent="0.25">
      <c r="A1798" s="13"/>
      <c r="B1798" s="13"/>
    </row>
    <row r="1799" spans="1:2" x14ac:dyDescent="0.25">
      <c r="A1799" s="13"/>
      <c r="B1799" s="13"/>
    </row>
    <row r="1800" spans="1:2" x14ac:dyDescent="0.25">
      <c r="A1800" s="13"/>
      <c r="B1800" s="13"/>
    </row>
    <row r="1801" spans="1:2" x14ac:dyDescent="0.25">
      <c r="A1801" s="13"/>
      <c r="B1801" s="13"/>
    </row>
    <row r="1802" spans="1:2" x14ac:dyDescent="0.25">
      <c r="A1802" s="13"/>
      <c r="B1802" s="13"/>
    </row>
    <row r="1803" spans="1:2" x14ac:dyDescent="0.25">
      <c r="A1803" s="13"/>
      <c r="B1803" s="13"/>
    </row>
    <row r="1804" spans="1:2" x14ac:dyDescent="0.25">
      <c r="A1804" s="13"/>
      <c r="B1804" s="13"/>
    </row>
    <row r="1805" spans="1:2" x14ac:dyDescent="0.25">
      <c r="A1805" s="13"/>
      <c r="B1805" s="13"/>
    </row>
    <row r="1806" spans="1:2" x14ac:dyDescent="0.25">
      <c r="A1806" s="13"/>
      <c r="B1806" s="13"/>
    </row>
    <row r="1807" spans="1:2" x14ac:dyDescent="0.25">
      <c r="A1807" s="13"/>
      <c r="B1807" s="13"/>
    </row>
    <row r="1808" spans="1:2" x14ac:dyDescent="0.25">
      <c r="A1808" s="13"/>
      <c r="B1808" s="13"/>
    </row>
    <row r="1809" spans="1:2" x14ac:dyDescent="0.25">
      <c r="A1809" s="13"/>
      <c r="B1809" s="13"/>
    </row>
    <row r="1810" spans="1:2" x14ac:dyDescent="0.25">
      <c r="A1810" s="13"/>
      <c r="B1810" s="13"/>
    </row>
    <row r="1811" spans="1:2" x14ac:dyDescent="0.25">
      <c r="A1811" s="13"/>
      <c r="B1811" s="13"/>
    </row>
    <row r="1812" spans="1:2" x14ac:dyDescent="0.25">
      <c r="A1812" s="13"/>
      <c r="B1812" s="13"/>
    </row>
    <row r="1813" spans="1:2" x14ac:dyDescent="0.25">
      <c r="A1813" s="13"/>
      <c r="B1813" s="13"/>
    </row>
    <row r="1814" spans="1:2" x14ac:dyDescent="0.25">
      <c r="A1814" s="13"/>
      <c r="B1814" s="13"/>
    </row>
    <row r="1815" spans="1:2" x14ac:dyDescent="0.25">
      <c r="A1815" s="13"/>
      <c r="B1815" s="13"/>
    </row>
    <row r="1816" spans="1:2" x14ac:dyDescent="0.25">
      <c r="A1816" s="13"/>
      <c r="B1816" s="13"/>
    </row>
    <row r="1817" spans="1:2" x14ac:dyDescent="0.25">
      <c r="A1817" s="13"/>
      <c r="B1817" s="13"/>
    </row>
    <row r="1818" spans="1:2" x14ac:dyDescent="0.25">
      <c r="A1818" s="13"/>
      <c r="B1818" s="13"/>
    </row>
    <row r="1819" spans="1:2" x14ac:dyDescent="0.25">
      <c r="A1819" s="13"/>
      <c r="B1819" s="13"/>
    </row>
    <row r="1820" spans="1:2" x14ac:dyDescent="0.25">
      <c r="A1820" s="13"/>
      <c r="B1820" s="13"/>
    </row>
    <row r="1821" spans="1:2" x14ac:dyDescent="0.25">
      <c r="A1821" s="13"/>
      <c r="B1821" s="13"/>
    </row>
    <row r="1822" spans="1:2" x14ac:dyDescent="0.25">
      <c r="A1822" s="13"/>
      <c r="B1822" s="13"/>
    </row>
    <row r="1823" spans="1:2" x14ac:dyDescent="0.25">
      <c r="A1823" s="13"/>
      <c r="B1823" s="13"/>
    </row>
    <row r="1824" spans="1:2" x14ac:dyDescent="0.25">
      <c r="A1824" s="13"/>
      <c r="B1824" s="13"/>
    </row>
    <row r="1825" spans="1:2" x14ac:dyDescent="0.25">
      <c r="A1825" s="13"/>
      <c r="B1825" s="13"/>
    </row>
    <row r="1826" spans="1:2" x14ac:dyDescent="0.25">
      <c r="A1826" s="13"/>
      <c r="B1826" s="13"/>
    </row>
    <row r="1827" spans="1:2" x14ac:dyDescent="0.25">
      <c r="A1827" s="13"/>
      <c r="B1827" s="13"/>
    </row>
    <row r="1828" spans="1:2" x14ac:dyDescent="0.25">
      <c r="A1828" s="13"/>
      <c r="B1828" s="13"/>
    </row>
    <row r="1829" spans="1:2" x14ac:dyDescent="0.25">
      <c r="A1829" s="13"/>
      <c r="B1829" s="13"/>
    </row>
    <row r="1830" spans="1:2" x14ac:dyDescent="0.25">
      <c r="A1830" s="13"/>
      <c r="B1830" s="13"/>
    </row>
    <row r="1831" spans="1:2" x14ac:dyDescent="0.25">
      <c r="A1831" s="13"/>
      <c r="B1831" s="13"/>
    </row>
    <row r="1832" spans="1:2" x14ac:dyDescent="0.25">
      <c r="A1832" s="13"/>
      <c r="B1832" s="13"/>
    </row>
    <row r="1833" spans="1:2" x14ac:dyDescent="0.25">
      <c r="A1833" s="13"/>
      <c r="B1833" s="13"/>
    </row>
    <row r="1834" spans="1:2" x14ac:dyDescent="0.25">
      <c r="A1834" s="13"/>
      <c r="B1834" s="13"/>
    </row>
    <row r="1835" spans="1:2" x14ac:dyDescent="0.25">
      <c r="A1835" s="13"/>
      <c r="B1835" s="13"/>
    </row>
    <row r="1836" spans="1:2" x14ac:dyDescent="0.25">
      <c r="A1836" s="13"/>
      <c r="B1836" s="13"/>
    </row>
    <row r="1837" spans="1:2" x14ac:dyDescent="0.25">
      <c r="A1837" s="13"/>
      <c r="B1837" s="13"/>
    </row>
    <row r="1838" spans="1:2" x14ac:dyDescent="0.25">
      <c r="A1838" s="13"/>
      <c r="B1838" s="13"/>
    </row>
    <row r="1839" spans="1:2" x14ac:dyDescent="0.25">
      <c r="A1839" s="13"/>
      <c r="B1839" s="13"/>
    </row>
    <row r="1840" spans="1:2" x14ac:dyDescent="0.25">
      <c r="A1840" s="13"/>
      <c r="B1840" s="13"/>
    </row>
    <row r="1841" spans="1:2" x14ac:dyDescent="0.25">
      <c r="A1841" s="13"/>
      <c r="B1841" s="13"/>
    </row>
    <row r="1842" spans="1:2" x14ac:dyDescent="0.25">
      <c r="A1842" s="13"/>
      <c r="B1842" s="13"/>
    </row>
    <row r="1843" spans="1:2" x14ac:dyDescent="0.25">
      <c r="A1843" s="13"/>
      <c r="B1843" s="13"/>
    </row>
    <row r="1844" spans="1:2" x14ac:dyDescent="0.25">
      <c r="A1844" s="13"/>
      <c r="B1844" s="13"/>
    </row>
    <row r="1845" spans="1:2" x14ac:dyDescent="0.25">
      <c r="A1845" s="13"/>
      <c r="B1845" s="13"/>
    </row>
    <row r="1846" spans="1:2" x14ac:dyDescent="0.25">
      <c r="A1846" s="13"/>
      <c r="B1846" s="13"/>
    </row>
    <row r="1847" spans="1:2" x14ac:dyDescent="0.25">
      <c r="A1847" s="13"/>
      <c r="B1847" s="13"/>
    </row>
    <row r="1848" spans="1:2" x14ac:dyDescent="0.25">
      <c r="A1848" s="13"/>
      <c r="B1848" s="13"/>
    </row>
    <row r="1849" spans="1:2" x14ac:dyDescent="0.25">
      <c r="A1849" s="13"/>
      <c r="B1849" s="13"/>
    </row>
    <row r="1850" spans="1:2" x14ac:dyDescent="0.25">
      <c r="A1850" s="13"/>
      <c r="B1850" s="13"/>
    </row>
    <row r="1851" spans="1:2" x14ac:dyDescent="0.25">
      <c r="A1851" s="13"/>
      <c r="B1851" s="13"/>
    </row>
    <row r="1852" spans="1:2" x14ac:dyDescent="0.25">
      <c r="A1852" s="13"/>
      <c r="B1852" s="13"/>
    </row>
    <row r="1853" spans="1:2" x14ac:dyDescent="0.25">
      <c r="A1853" s="13"/>
      <c r="B1853" s="13"/>
    </row>
    <row r="1854" spans="1:2" x14ac:dyDescent="0.25">
      <c r="A1854" s="13"/>
      <c r="B1854" s="13"/>
    </row>
    <row r="1855" spans="1:2" x14ac:dyDescent="0.25">
      <c r="A1855" s="13"/>
      <c r="B1855" s="13"/>
    </row>
    <row r="1856" spans="1:2" x14ac:dyDescent="0.25">
      <c r="A1856" s="13"/>
      <c r="B1856" s="13"/>
    </row>
    <row r="1857" spans="1:2" x14ac:dyDescent="0.25">
      <c r="A1857" s="13"/>
      <c r="B1857" s="13"/>
    </row>
    <row r="1858" spans="1:2" x14ac:dyDescent="0.25">
      <c r="A1858" s="13"/>
      <c r="B1858" s="13"/>
    </row>
    <row r="1859" spans="1:2" x14ac:dyDescent="0.25">
      <c r="A1859" s="13"/>
      <c r="B1859" s="13"/>
    </row>
    <row r="1860" spans="1:2" x14ac:dyDescent="0.25">
      <c r="A1860" s="13"/>
      <c r="B1860" s="13"/>
    </row>
    <row r="1861" spans="1:2" x14ac:dyDescent="0.25">
      <c r="A1861" s="13"/>
      <c r="B1861" s="13"/>
    </row>
    <row r="1862" spans="1:2" x14ac:dyDescent="0.25">
      <c r="A1862" s="13"/>
      <c r="B1862" s="13"/>
    </row>
    <row r="1863" spans="1:2" x14ac:dyDescent="0.25">
      <c r="A1863" s="13"/>
      <c r="B1863" s="13"/>
    </row>
    <row r="1864" spans="1:2" x14ac:dyDescent="0.25">
      <c r="A1864" s="13"/>
      <c r="B1864" s="13"/>
    </row>
    <row r="1865" spans="1:2" x14ac:dyDescent="0.25">
      <c r="A1865" s="13"/>
      <c r="B1865" s="13"/>
    </row>
    <row r="1866" spans="1:2" x14ac:dyDescent="0.25">
      <c r="A1866" s="13"/>
      <c r="B1866" s="13"/>
    </row>
    <row r="1867" spans="1:2" x14ac:dyDescent="0.25">
      <c r="A1867" s="13"/>
      <c r="B1867" s="13"/>
    </row>
    <row r="1868" spans="1:2" x14ac:dyDescent="0.25">
      <c r="A1868" s="13"/>
      <c r="B1868" s="13"/>
    </row>
    <row r="1869" spans="1:2" x14ac:dyDescent="0.25">
      <c r="A1869" s="13"/>
      <c r="B1869" s="13"/>
    </row>
    <row r="1870" spans="1:2" x14ac:dyDescent="0.25">
      <c r="A1870" s="13"/>
      <c r="B1870" s="13"/>
    </row>
    <row r="1871" spans="1:2" x14ac:dyDescent="0.25">
      <c r="A1871" s="13"/>
      <c r="B1871" s="13"/>
    </row>
    <row r="1872" spans="1:2" x14ac:dyDescent="0.25">
      <c r="A1872" s="13"/>
      <c r="B1872" s="13"/>
    </row>
    <row r="1873" spans="1:2" x14ac:dyDescent="0.25">
      <c r="A1873" s="13"/>
      <c r="B1873" s="13"/>
    </row>
    <row r="1874" spans="1:2" x14ac:dyDescent="0.25">
      <c r="A1874" s="13"/>
      <c r="B1874" s="13"/>
    </row>
    <row r="1875" spans="1:2" x14ac:dyDescent="0.25">
      <c r="A1875" s="13"/>
      <c r="B1875" s="13"/>
    </row>
    <row r="1876" spans="1:2" x14ac:dyDescent="0.25">
      <c r="A1876" s="13"/>
      <c r="B1876" s="13"/>
    </row>
    <row r="1877" spans="1:2" x14ac:dyDescent="0.25">
      <c r="A1877" s="13"/>
      <c r="B1877" s="13"/>
    </row>
    <row r="1878" spans="1:2" x14ac:dyDescent="0.25">
      <c r="A1878" s="13"/>
      <c r="B1878" s="13"/>
    </row>
    <row r="1879" spans="1:2" x14ac:dyDescent="0.25">
      <c r="A1879" s="13"/>
      <c r="B1879" s="13"/>
    </row>
    <row r="1880" spans="1:2" x14ac:dyDescent="0.25">
      <c r="A1880" s="13"/>
      <c r="B1880" s="13"/>
    </row>
    <row r="1881" spans="1:2" x14ac:dyDescent="0.25">
      <c r="A1881" s="13"/>
      <c r="B1881" s="13"/>
    </row>
    <row r="1882" spans="1:2" x14ac:dyDescent="0.25">
      <c r="A1882" s="13"/>
      <c r="B1882" s="13"/>
    </row>
    <row r="1883" spans="1:2" x14ac:dyDescent="0.25">
      <c r="A1883" s="13"/>
      <c r="B1883" s="13"/>
    </row>
    <row r="1884" spans="1:2" x14ac:dyDescent="0.25">
      <c r="A1884" s="13"/>
      <c r="B1884" s="13"/>
    </row>
    <row r="1885" spans="1:2" x14ac:dyDescent="0.25">
      <c r="A1885" s="13"/>
      <c r="B1885" s="13"/>
    </row>
    <row r="1886" spans="1:2" x14ac:dyDescent="0.25">
      <c r="A1886" s="13"/>
      <c r="B1886" s="13"/>
    </row>
    <row r="1887" spans="1:2" x14ac:dyDescent="0.25">
      <c r="A1887" s="13"/>
      <c r="B1887" s="13"/>
    </row>
    <row r="1888" spans="1:2" x14ac:dyDescent="0.25">
      <c r="A1888" s="13"/>
      <c r="B1888" s="13"/>
    </row>
    <row r="1889" spans="1:2" x14ac:dyDescent="0.25">
      <c r="A1889" s="13"/>
      <c r="B1889" s="13"/>
    </row>
    <row r="1890" spans="1:2" x14ac:dyDescent="0.25">
      <c r="A1890" s="13"/>
      <c r="B1890" s="13"/>
    </row>
    <row r="1891" spans="1:2" x14ac:dyDescent="0.25">
      <c r="A1891" s="13"/>
      <c r="B1891" s="13"/>
    </row>
    <row r="1892" spans="1:2" x14ac:dyDescent="0.25">
      <c r="A1892" s="13"/>
      <c r="B1892" s="13"/>
    </row>
    <row r="1893" spans="1:2" x14ac:dyDescent="0.25">
      <c r="A1893" s="13"/>
      <c r="B1893" s="13"/>
    </row>
    <row r="1894" spans="1:2" x14ac:dyDescent="0.25">
      <c r="A1894" s="13"/>
      <c r="B1894" s="13"/>
    </row>
    <row r="1895" spans="1:2" x14ac:dyDescent="0.25">
      <c r="A1895" s="13"/>
      <c r="B1895" s="13"/>
    </row>
    <row r="1896" spans="1:2" x14ac:dyDescent="0.25">
      <c r="A1896" s="13"/>
      <c r="B1896" s="13"/>
    </row>
    <row r="1897" spans="1:2" x14ac:dyDescent="0.25">
      <c r="A1897" s="13"/>
      <c r="B1897" s="13"/>
    </row>
    <row r="1898" spans="1:2" x14ac:dyDescent="0.25">
      <c r="A1898" s="13"/>
      <c r="B1898" s="13"/>
    </row>
    <row r="1899" spans="1:2" x14ac:dyDescent="0.25">
      <c r="A1899" s="13"/>
      <c r="B1899" s="13"/>
    </row>
    <row r="1900" spans="1:2" x14ac:dyDescent="0.25">
      <c r="A1900" s="13"/>
      <c r="B1900" s="13"/>
    </row>
    <row r="1901" spans="1:2" x14ac:dyDescent="0.25">
      <c r="A1901" s="13"/>
      <c r="B1901" s="13"/>
    </row>
    <row r="1902" spans="1:2" x14ac:dyDescent="0.25">
      <c r="A1902" s="13"/>
      <c r="B1902" s="13"/>
    </row>
    <row r="1903" spans="1:2" x14ac:dyDescent="0.25">
      <c r="A1903" s="13"/>
      <c r="B1903" s="13"/>
    </row>
    <row r="1904" spans="1:2" x14ac:dyDescent="0.25">
      <c r="A1904" s="13"/>
      <c r="B1904" s="13"/>
    </row>
    <row r="1905" spans="1:2" x14ac:dyDescent="0.25">
      <c r="A1905" s="13"/>
      <c r="B1905" s="13"/>
    </row>
    <row r="1906" spans="1:2" x14ac:dyDescent="0.25">
      <c r="A1906" s="13"/>
      <c r="B1906" s="13"/>
    </row>
    <row r="1907" spans="1:2" x14ac:dyDescent="0.25">
      <c r="A1907" s="13"/>
      <c r="B1907" s="13"/>
    </row>
    <row r="1908" spans="1:2" x14ac:dyDescent="0.25">
      <c r="A1908" s="13"/>
      <c r="B1908" s="13"/>
    </row>
    <row r="1909" spans="1:2" x14ac:dyDescent="0.25">
      <c r="A1909" s="13"/>
      <c r="B1909" s="13"/>
    </row>
    <row r="1910" spans="1:2" x14ac:dyDescent="0.25">
      <c r="A1910" s="13"/>
      <c r="B1910" s="13"/>
    </row>
    <row r="1911" spans="1:2" x14ac:dyDescent="0.25">
      <c r="A1911" s="13"/>
      <c r="B1911" s="13"/>
    </row>
    <row r="1912" spans="1:2" x14ac:dyDescent="0.25">
      <c r="A1912" s="13"/>
      <c r="B1912" s="13"/>
    </row>
    <row r="1913" spans="1:2" x14ac:dyDescent="0.25">
      <c r="A1913" s="13"/>
      <c r="B1913" s="13"/>
    </row>
    <row r="1914" spans="1:2" x14ac:dyDescent="0.25">
      <c r="A1914" s="13"/>
      <c r="B1914" s="13"/>
    </row>
    <row r="1915" spans="1:2" x14ac:dyDescent="0.25">
      <c r="A1915" s="13"/>
      <c r="B1915" s="13"/>
    </row>
    <row r="1916" spans="1:2" x14ac:dyDescent="0.25">
      <c r="A1916" s="13"/>
      <c r="B1916" s="13"/>
    </row>
    <row r="1917" spans="1:2" x14ac:dyDescent="0.25">
      <c r="A1917" s="13"/>
      <c r="B1917" s="13"/>
    </row>
    <row r="1918" spans="1:2" x14ac:dyDescent="0.25">
      <c r="A1918" s="13"/>
      <c r="B1918" s="13"/>
    </row>
    <row r="1919" spans="1:2" x14ac:dyDescent="0.25">
      <c r="A1919" s="13"/>
      <c r="B1919" s="13"/>
    </row>
    <row r="1920" spans="1:2" x14ac:dyDescent="0.25">
      <c r="A1920" s="13"/>
      <c r="B1920" s="13"/>
    </row>
    <row r="1921" spans="1:2" x14ac:dyDescent="0.25">
      <c r="A1921" s="13"/>
      <c r="B1921" s="13"/>
    </row>
    <row r="1922" spans="1:2" x14ac:dyDescent="0.25">
      <c r="A1922" s="13"/>
      <c r="B1922" s="13"/>
    </row>
    <row r="1923" spans="1:2" x14ac:dyDescent="0.25">
      <c r="A1923" s="13"/>
      <c r="B1923" s="13"/>
    </row>
    <row r="1924" spans="1:2" x14ac:dyDescent="0.25">
      <c r="A1924" s="13"/>
      <c r="B1924" s="13"/>
    </row>
    <row r="1925" spans="1:2" x14ac:dyDescent="0.25">
      <c r="A1925" s="13"/>
      <c r="B1925" s="13"/>
    </row>
    <row r="1926" spans="1:2" x14ac:dyDescent="0.25">
      <c r="A1926" s="13"/>
      <c r="B1926" s="13"/>
    </row>
    <row r="1927" spans="1:2" x14ac:dyDescent="0.25">
      <c r="A1927" s="13"/>
      <c r="B1927" s="13"/>
    </row>
    <row r="1928" spans="1:2" x14ac:dyDescent="0.25">
      <c r="A1928" s="13"/>
      <c r="B1928" s="13"/>
    </row>
    <row r="1929" spans="1:2" x14ac:dyDescent="0.25">
      <c r="A1929" s="13"/>
      <c r="B1929" s="13"/>
    </row>
    <row r="1930" spans="1:2" x14ac:dyDescent="0.25">
      <c r="A1930" s="13"/>
      <c r="B1930" s="13"/>
    </row>
    <row r="1931" spans="1:2" x14ac:dyDescent="0.25">
      <c r="A1931" s="13"/>
      <c r="B1931" s="13"/>
    </row>
    <row r="1932" spans="1:2" x14ac:dyDescent="0.25">
      <c r="A1932" s="13"/>
      <c r="B1932" s="13"/>
    </row>
    <row r="1933" spans="1:2" x14ac:dyDescent="0.25">
      <c r="A1933" s="13"/>
      <c r="B1933" s="13"/>
    </row>
    <row r="1934" spans="1:2" x14ac:dyDescent="0.25">
      <c r="A1934" s="13"/>
      <c r="B1934" s="13"/>
    </row>
    <row r="1935" spans="1:2" x14ac:dyDescent="0.25">
      <c r="A1935" s="13"/>
      <c r="B1935" s="13"/>
    </row>
    <row r="1936" spans="1:2" x14ac:dyDescent="0.25">
      <c r="A1936" s="13"/>
      <c r="B1936" s="13"/>
    </row>
    <row r="1937" spans="1:2" x14ac:dyDescent="0.25">
      <c r="A1937" s="13"/>
      <c r="B1937" s="13"/>
    </row>
    <row r="1938" spans="1:2" x14ac:dyDescent="0.25">
      <c r="A1938" s="13"/>
      <c r="B1938" s="13"/>
    </row>
    <row r="1939" spans="1:2" x14ac:dyDescent="0.25">
      <c r="A1939" s="13"/>
      <c r="B1939" s="13"/>
    </row>
    <row r="1940" spans="1:2" x14ac:dyDescent="0.25">
      <c r="A1940" s="13"/>
      <c r="B1940" s="13"/>
    </row>
    <row r="1941" spans="1:2" x14ac:dyDescent="0.25">
      <c r="A1941" s="13"/>
      <c r="B1941" s="13"/>
    </row>
    <row r="1942" spans="1:2" x14ac:dyDescent="0.25">
      <c r="A1942" s="13"/>
      <c r="B1942" s="13"/>
    </row>
    <row r="1943" spans="1:2" x14ac:dyDescent="0.25">
      <c r="A1943" s="13"/>
      <c r="B1943" s="13"/>
    </row>
    <row r="1944" spans="1:2" x14ac:dyDescent="0.25">
      <c r="A1944" s="13"/>
      <c r="B1944" s="13"/>
    </row>
    <row r="1945" spans="1:2" x14ac:dyDescent="0.25">
      <c r="A1945" s="13"/>
      <c r="B1945" s="13"/>
    </row>
    <row r="1946" spans="1:2" x14ac:dyDescent="0.25">
      <c r="A1946" s="13"/>
      <c r="B1946" s="13"/>
    </row>
    <row r="1947" spans="1:2" x14ac:dyDescent="0.25">
      <c r="A1947" s="13"/>
      <c r="B1947" s="13"/>
    </row>
    <row r="1948" spans="1:2" x14ac:dyDescent="0.25">
      <c r="A1948" s="13"/>
      <c r="B1948" s="13"/>
    </row>
    <row r="1949" spans="1:2" x14ac:dyDescent="0.25">
      <c r="A1949" s="13"/>
      <c r="B1949" s="13"/>
    </row>
    <row r="1950" spans="1:2" x14ac:dyDescent="0.25">
      <c r="A1950" s="13"/>
      <c r="B1950" s="13"/>
    </row>
    <row r="1951" spans="1:2" x14ac:dyDescent="0.25">
      <c r="A1951" s="13"/>
      <c r="B1951" s="13"/>
    </row>
    <row r="1952" spans="1:2" x14ac:dyDescent="0.25">
      <c r="A1952" s="13"/>
      <c r="B1952" s="13"/>
    </row>
    <row r="1953" spans="1:2" x14ac:dyDescent="0.25">
      <c r="A1953" s="13"/>
      <c r="B1953" s="13"/>
    </row>
    <row r="1954" spans="1:2" x14ac:dyDescent="0.25">
      <c r="A1954" s="13"/>
      <c r="B1954" s="13"/>
    </row>
    <row r="1955" spans="1:2" x14ac:dyDescent="0.25">
      <c r="A1955" s="13"/>
      <c r="B1955" s="13"/>
    </row>
    <row r="1956" spans="1:2" x14ac:dyDescent="0.25">
      <c r="A1956" s="13"/>
      <c r="B1956" s="13"/>
    </row>
    <row r="1957" spans="1:2" x14ac:dyDescent="0.25">
      <c r="A1957" s="13"/>
      <c r="B1957" s="13"/>
    </row>
    <row r="1958" spans="1:2" x14ac:dyDescent="0.25">
      <c r="A1958" s="13"/>
      <c r="B1958" s="13"/>
    </row>
    <row r="1959" spans="1:2" x14ac:dyDescent="0.25">
      <c r="A1959" s="13"/>
      <c r="B1959" s="13"/>
    </row>
    <row r="1960" spans="1:2" x14ac:dyDescent="0.25">
      <c r="A1960" s="13"/>
      <c r="B1960" s="13"/>
    </row>
    <row r="1961" spans="1:2" x14ac:dyDescent="0.25">
      <c r="A1961" s="13"/>
      <c r="B1961" s="13"/>
    </row>
    <row r="1962" spans="1:2" x14ac:dyDescent="0.25">
      <c r="A1962" s="13"/>
      <c r="B1962" s="13"/>
    </row>
    <row r="1963" spans="1:2" x14ac:dyDescent="0.25">
      <c r="A1963" s="13"/>
      <c r="B1963" s="13"/>
    </row>
    <row r="1964" spans="1:2" x14ac:dyDescent="0.25">
      <c r="A1964" s="13"/>
      <c r="B1964" s="13"/>
    </row>
    <row r="1965" spans="1:2" x14ac:dyDescent="0.25">
      <c r="A1965" s="13"/>
      <c r="B1965" s="13"/>
    </row>
    <row r="1966" spans="1:2" x14ac:dyDescent="0.25">
      <c r="A1966" s="13"/>
      <c r="B1966" s="13"/>
    </row>
    <row r="1967" spans="1:2" x14ac:dyDescent="0.25">
      <c r="A1967" s="13"/>
      <c r="B1967" s="13"/>
    </row>
    <row r="1968" spans="1:2" x14ac:dyDescent="0.25">
      <c r="A1968" s="13"/>
      <c r="B1968" s="13"/>
    </row>
    <row r="1969" spans="1:2" x14ac:dyDescent="0.25">
      <c r="A1969" s="13"/>
      <c r="B1969" s="13"/>
    </row>
    <row r="1970" spans="1:2" x14ac:dyDescent="0.25">
      <c r="A1970" s="13"/>
      <c r="B1970" s="13"/>
    </row>
    <row r="1971" spans="1:2" x14ac:dyDescent="0.25">
      <c r="A1971" s="13"/>
      <c r="B1971" s="13"/>
    </row>
    <row r="1972" spans="1:2" x14ac:dyDescent="0.25">
      <c r="A1972" s="13"/>
      <c r="B1972" s="13"/>
    </row>
    <row r="1973" spans="1:2" x14ac:dyDescent="0.25">
      <c r="A1973" s="13"/>
      <c r="B1973" s="13"/>
    </row>
    <row r="1974" spans="1:2" x14ac:dyDescent="0.25">
      <c r="A1974" s="13"/>
      <c r="B1974" s="13"/>
    </row>
    <row r="1975" spans="1:2" x14ac:dyDescent="0.25">
      <c r="A1975" s="13"/>
      <c r="B1975" s="13"/>
    </row>
    <row r="1976" spans="1:2" x14ac:dyDescent="0.25">
      <c r="A1976" s="13"/>
      <c r="B1976" s="13"/>
    </row>
    <row r="1977" spans="1:2" x14ac:dyDescent="0.25">
      <c r="A1977" s="13"/>
      <c r="B1977" s="13"/>
    </row>
    <row r="1978" spans="1:2" x14ac:dyDescent="0.25">
      <c r="A1978" s="13"/>
      <c r="B1978" s="13"/>
    </row>
    <row r="1979" spans="1:2" x14ac:dyDescent="0.25">
      <c r="A1979" s="13"/>
      <c r="B1979" s="13"/>
    </row>
    <row r="1980" spans="1:2" x14ac:dyDescent="0.25">
      <c r="A1980" s="13"/>
      <c r="B1980" s="13"/>
    </row>
    <row r="1981" spans="1:2" x14ac:dyDescent="0.25">
      <c r="A1981" s="13"/>
      <c r="B1981" s="13"/>
    </row>
    <row r="1982" spans="1:2" x14ac:dyDescent="0.25">
      <c r="A1982" s="13"/>
      <c r="B1982" s="13"/>
    </row>
    <row r="1983" spans="1:2" x14ac:dyDescent="0.25">
      <c r="A1983" s="13"/>
      <c r="B1983" s="13"/>
    </row>
    <row r="1984" spans="1:2" x14ac:dyDescent="0.25">
      <c r="A1984" s="13"/>
      <c r="B1984" s="13"/>
    </row>
    <row r="1985" spans="1:2" x14ac:dyDescent="0.25">
      <c r="A1985" s="13"/>
      <c r="B1985" s="13"/>
    </row>
    <row r="1986" spans="1:2" x14ac:dyDescent="0.25">
      <c r="A1986" s="13"/>
      <c r="B1986" s="13"/>
    </row>
    <row r="1987" spans="1:2" x14ac:dyDescent="0.25">
      <c r="A1987" s="13"/>
      <c r="B1987" s="13"/>
    </row>
    <row r="1988" spans="1:2" x14ac:dyDescent="0.25">
      <c r="A1988" s="13"/>
      <c r="B1988" s="13"/>
    </row>
    <row r="1989" spans="1:2" x14ac:dyDescent="0.25">
      <c r="A1989" s="13"/>
      <c r="B1989" s="13"/>
    </row>
    <row r="1990" spans="1:2" x14ac:dyDescent="0.25">
      <c r="A1990" s="13"/>
      <c r="B1990" s="13"/>
    </row>
    <row r="1991" spans="1:2" x14ac:dyDescent="0.25">
      <c r="A1991" s="13"/>
      <c r="B1991" s="13"/>
    </row>
    <row r="1992" spans="1:2" x14ac:dyDescent="0.25">
      <c r="A1992" s="13"/>
      <c r="B1992" s="13"/>
    </row>
    <row r="1993" spans="1:2" x14ac:dyDescent="0.25">
      <c r="A1993" s="13"/>
      <c r="B1993" s="13"/>
    </row>
    <row r="1994" spans="1:2" x14ac:dyDescent="0.25">
      <c r="A1994" s="13"/>
      <c r="B1994" s="13"/>
    </row>
    <row r="1995" spans="1:2" x14ac:dyDescent="0.25">
      <c r="A1995" s="13"/>
      <c r="B1995" s="13"/>
    </row>
    <row r="1996" spans="1:2" x14ac:dyDescent="0.25">
      <c r="A1996" s="13"/>
      <c r="B1996" s="13"/>
    </row>
    <row r="1997" spans="1:2" x14ac:dyDescent="0.25">
      <c r="A1997" s="13"/>
      <c r="B1997" s="13"/>
    </row>
    <row r="1998" spans="1:2" x14ac:dyDescent="0.25">
      <c r="A1998" s="13"/>
      <c r="B1998" s="13"/>
    </row>
    <row r="1999" spans="1:2" x14ac:dyDescent="0.25">
      <c r="A1999" s="13"/>
      <c r="B1999" s="13"/>
    </row>
  </sheetData>
  <mergeCells count="8">
    <mergeCell ref="A19:B19"/>
    <mergeCell ref="A5:B5"/>
    <mergeCell ref="A17:B17"/>
    <mergeCell ref="A7:B7"/>
    <mergeCell ref="A9:B9"/>
    <mergeCell ref="A11:B11"/>
    <mergeCell ref="A13:B13"/>
    <mergeCell ref="A15:B15"/>
  </mergeCells>
  <phoneticPr fontId="1" type="noConversion"/>
  <conditionalFormatting sqref="AB1:AB3 AB5:AB1048576">
    <cfRule type="cellIs" dxfId="3" priority="1" operator="equal">
      <formula>"D2C Codes &gt; 1"</formula>
    </cfRule>
    <cfRule type="cellIs" dxfId="2" priority="2" operator="equal">
      <formula>"No D2C Code"</formula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F6E4420-BC81-45B2-8A1A-105B08111564}">
          <x14:formula1>
            <xm:f>Controls!$P8:$P16</xm:f>
          </x14:formula1>
          <xm:sqref>AF2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1C935-86C1-441D-A6BA-988A4D8C6502}">
  <sheetPr codeName="log">
    <tabColor rgb="FF00B050"/>
  </sheetPr>
  <dimension ref="A1:BZ1999"/>
  <sheetViews>
    <sheetView showGridLines="0" showRowColHeaders="0" workbookViewId="0">
      <selection activeCell="A37" sqref="A37"/>
    </sheetView>
  </sheetViews>
  <sheetFormatPr defaultRowHeight="15" x14ac:dyDescent="0.25"/>
  <cols>
    <col min="1" max="1" width="5" customWidth="1"/>
    <col min="2" max="2" width="13.28515625" customWidth="1"/>
    <col min="3" max="4" width="3.7109375" customWidth="1"/>
    <col min="5" max="5" width="15.5703125" bestFit="1" customWidth="1"/>
    <col min="6" max="9" width="9.140625" customWidth="1"/>
    <col min="10" max="11" width="3.7109375" customWidth="1"/>
    <col min="12" max="12" width="10.7109375" style="51" bestFit="1" customWidth="1"/>
    <col min="13" max="13" width="8.140625" style="51" bestFit="1" customWidth="1"/>
    <col min="14" max="14" width="27.85546875" style="51" bestFit="1" customWidth="1"/>
    <col min="15" max="15" width="18.5703125" style="51" bestFit="1" customWidth="1"/>
    <col min="16" max="17" width="64.28515625" style="51" bestFit="1" customWidth="1"/>
    <col min="18" max="18" width="8.7109375" style="51" bestFit="1" customWidth="1"/>
    <col min="19" max="19" width="13.5703125" style="51" bestFit="1" customWidth="1"/>
    <col min="20" max="20" width="9.140625" customWidth="1"/>
    <col min="28" max="30" width="9.140625" customWidth="1"/>
    <col min="31" max="31" width="9.140625" customWidth="1" collapsed="1"/>
    <col min="32" max="41" width="9.140625" customWidth="1"/>
  </cols>
  <sheetData>
    <row r="1" spans="1:78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50"/>
      <c r="M1" s="50"/>
      <c r="N1" s="50"/>
      <c r="O1" s="50"/>
      <c r="P1" s="50"/>
      <c r="Q1" s="50"/>
      <c r="R1" s="50"/>
      <c r="S1" s="50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</row>
    <row r="2" spans="1:78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50"/>
      <c r="M2" s="50"/>
      <c r="N2" s="50"/>
      <c r="O2" s="50"/>
      <c r="P2" s="50"/>
      <c r="Q2" s="50"/>
      <c r="R2" s="50"/>
      <c r="S2" s="50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</row>
    <row r="3" spans="1:78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50"/>
      <c r="M3" s="50"/>
      <c r="N3" s="50"/>
      <c r="O3" s="50"/>
      <c r="P3" s="50"/>
      <c r="Q3" s="50"/>
      <c r="R3" s="50"/>
      <c r="S3" s="50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</row>
    <row r="4" spans="1:78" ht="15.75" thickBot="1" x14ac:dyDescent="0.3">
      <c r="A4" s="13"/>
      <c r="B4" s="14"/>
      <c r="D4" s="9" t="s">
        <v>72</v>
      </c>
      <c r="AL4" s="2"/>
    </row>
    <row r="5" spans="1:78" x14ac:dyDescent="0.25">
      <c r="A5" s="71" t="str">
        <f>HYPERLINK("#'Controls'!d4", "Controls")</f>
        <v>Controls</v>
      </c>
      <c r="B5" s="71"/>
      <c r="D5" s="3"/>
      <c r="E5" s="7"/>
      <c r="F5" s="7"/>
      <c r="G5" s="7"/>
      <c r="H5" s="7"/>
      <c r="I5" s="7"/>
      <c r="J5" s="8"/>
      <c r="L5" s="51" t="s">
        <v>66</v>
      </c>
      <c r="M5" s="51" t="s">
        <v>67</v>
      </c>
      <c r="N5" s="51" t="s">
        <v>69</v>
      </c>
      <c r="O5" s="51" t="s">
        <v>79</v>
      </c>
      <c r="P5" s="51" t="s">
        <v>70</v>
      </c>
      <c r="Q5" s="51" t="s">
        <v>68</v>
      </c>
      <c r="R5" s="51" t="s">
        <v>77</v>
      </c>
      <c r="S5" s="51" t="s">
        <v>71</v>
      </c>
    </row>
    <row r="6" spans="1:78" x14ac:dyDescent="0.25">
      <c r="A6" s="33"/>
      <c r="B6" s="34"/>
      <c r="D6" s="4"/>
      <c r="E6" s="35" t="s">
        <v>74</v>
      </c>
      <c r="F6" s="80">
        <v>45762.468958333331</v>
      </c>
      <c r="G6" s="81"/>
      <c r="H6" s="81"/>
      <c r="I6" s="82"/>
      <c r="J6" s="5"/>
      <c r="L6" s="52">
        <v>45762</v>
      </c>
      <c r="M6" s="53">
        <v>0.46895833333333331</v>
      </c>
      <c r="O6" s="51" t="s">
        <v>1</v>
      </c>
      <c r="Q6" s="51" t="s">
        <v>329</v>
      </c>
      <c r="R6" s="51" t="s">
        <v>78</v>
      </c>
    </row>
    <row r="7" spans="1:78" x14ac:dyDescent="0.25">
      <c r="A7" s="71" t="str">
        <f>HYPERLINK("#'Line List'!d4", "Line List")</f>
        <v>Line List</v>
      </c>
      <c r="B7" s="71"/>
      <c r="D7" s="4"/>
      <c r="J7" s="5"/>
      <c r="L7" s="52">
        <v>45762</v>
      </c>
      <c r="M7" s="53">
        <v>0.46903935185185186</v>
      </c>
      <c r="O7" s="51" t="s">
        <v>1</v>
      </c>
      <c r="Q7" s="51" t="s">
        <v>330</v>
      </c>
      <c r="R7" s="51" t="s">
        <v>78</v>
      </c>
    </row>
    <row r="8" spans="1:78" x14ac:dyDescent="0.25">
      <c r="A8" s="33"/>
      <c r="B8" s="34"/>
      <c r="D8" s="4"/>
      <c r="E8" s="35" t="s">
        <v>75</v>
      </c>
      <c r="F8" s="80">
        <v>45762.469733796293</v>
      </c>
      <c r="G8" s="81"/>
      <c r="H8" s="81"/>
      <c r="I8" s="82"/>
      <c r="J8" s="5"/>
      <c r="L8" s="52">
        <v>45762</v>
      </c>
      <c r="M8" s="53">
        <v>0.46903935185185186</v>
      </c>
      <c r="O8" s="51" t="s">
        <v>1</v>
      </c>
      <c r="Q8" s="51" t="s">
        <v>130</v>
      </c>
      <c r="R8" s="51" t="s">
        <v>78</v>
      </c>
    </row>
    <row r="9" spans="1:78" x14ac:dyDescent="0.25">
      <c r="A9" s="71" t="str">
        <f>HYPERLINK("#'Image Data'!D4", "Img Data")</f>
        <v>Img Data</v>
      </c>
      <c r="B9" s="71"/>
      <c r="D9" s="4"/>
      <c r="J9" s="5"/>
      <c r="L9" s="52">
        <v>45762</v>
      </c>
      <c r="M9" s="53">
        <v>0.46903935185185186</v>
      </c>
      <c r="N9" s="51" t="s">
        <v>138</v>
      </c>
      <c r="O9" s="51" t="s">
        <v>1</v>
      </c>
      <c r="P9" s="51" t="s">
        <v>331</v>
      </c>
      <c r="Q9" s="51" t="s">
        <v>80</v>
      </c>
      <c r="R9" s="51" t="s">
        <v>78</v>
      </c>
    </row>
    <row r="10" spans="1:78" x14ac:dyDescent="0.25">
      <c r="A10" s="33"/>
      <c r="B10" s="34"/>
      <c r="D10" s="4"/>
      <c r="E10" s="35" t="s">
        <v>76</v>
      </c>
      <c r="F10" s="83">
        <f>End_Timestamp - Start_Timestamp</f>
        <v>7.7546296233776957E-4</v>
      </c>
      <c r="G10" s="84"/>
      <c r="H10" s="84"/>
      <c r="I10" s="85"/>
      <c r="J10" s="5"/>
      <c r="L10" s="52">
        <v>45762</v>
      </c>
      <c r="M10" s="53">
        <v>0.46903935185185186</v>
      </c>
      <c r="N10" s="51" t="s">
        <v>139</v>
      </c>
      <c r="O10" s="51" t="s">
        <v>1</v>
      </c>
      <c r="P10" s="51" t="s">
        <v>332</v>
      </c>
      <c r="Q10" s="51" t="s">
        <v>80</v>
      </c>
      <c r="R10" s="51" t="s">
        <v>78</v>
      </c>
    </row>
    <row r="11" spans="1:78" x14ac:dyDescent="0.25">
      <c r="A11" s="71" t="str">
        <f>HYPERLINK("#'Image Syle Not in Line List'!D4", "Img Style!=")</f>
        <v>Img Style!=</v>
      </c>
      <c r="B11" s="71"/>
      <c r="D11" s="4"/>
      <c r="J11" s="5"/>
      <c r="L11" s="52">
        <v>45762</v>
      </c>
      <c r="M11" s="53">
        <v>0.46903935185185186</v>
      </c>
      <c r="N11" s="51" t="s">
        <v>140</v>
      </c>
      <c r="O11" s="51" t="s">
        <v>1</v>
      </c>
      <c r="P11" s="51" t="s">
        <v>333</v>
      </c>
      <c r="Q11" s="51" t="s">
        <v>80</v>
      </c>
      <c r="R11" s="51" t="s">
        <v>78</v>
      </c>
    </row>
    <row r="12" spans="1:78" ht="15" customHeight="1" x14ac:dyDescent="0.25">
      <c r="A12" s="33"/>
      <c r="B12" s="34"/>
      <c r="D12" s="4"/>
      <c r="E12" s="35" t="s">
        <v>133</v>
      </c>
      <c r="F12" s="86">
        <f>COUNTIFS(Execution_Log[Action], "Copied &amp; renamed file.", Execution_Log[Status], "Success")</f>
        <v>1150</v>
      </c>
      <c r="G12" s="87"/>
      <c r="H12" s="87"/>
      <c r="I12" s="88"/>
      <c r="J12" s="5"/>
      <c r="L12" s="52">
        <v>45762</v>
      </c>
      <c r="M12" s="53">
        <v>0.46903935185185186</v>
      </c>
      <c r="N12" s="51" t="s">
        <v>141</v>
      </c>
      <c r="O12" s="51" t="s">
        <v>1</v>
      </c>
      <c r="P12" s="51" t="s">
        <v>334</v>
      </c>
      <c r="Q12" s="51" t="s">
        <v>80</v>
      </c>
      <c r="R12" s="51" t="s">
        <v>78</v>
      </c>
    </row>
    <row r="13" spans="1:78" x14ac:dyDescent="0.25">
      <c r="A13" s="71" t="str">
        <f>HYPERLINK("#'Images Not in Line List'!D4", "Img != List")</f>
        <v>Img != List</v>
      </c>
      <c r="B13" s="71"/>
      <c r="D13" s="4"/>
      <c r="J13" s="5"/>
      <c r="L13" s="52">
        <v>45762</v>
      </c>
      <c r="M13" s="53">
        <v>0.46903935185185186</v>
      </c>
      <c r="N13" s="51" t="s">
        <v>142</v>
      </c>
      <c r="O13" s="51" t="s">
        <v>1</v>
      </c>
      <c r="P13" s="51" t="s">
        <v>335</v>
      </c>
      <c r="Q13" s="51" t="s">
        <v>80</v>
      </c>
      <c r="R13" s="51" t="s">
        <v>78</v>
      </c>
    </row>
    <row r="14" spans="1:78" x14ac:dyDescent="0.25">
      <c r="A14" s="33"/>
      <c r="B14" s="34"/>
      <c r="D14" s="4"/>
      <c r="E14" s="35" t="s">
        <v>134</v>
      </c>
      <c r="F14" s="86">
        <f>COUNTIFS(Execution_Log[Status], "Error")</f>
        <v>0</v>
      </c>
      <c r="G14" s="87"/>
      <c r="H14" s="87"/>
      <c r="I14" s="88"/>
      <c r="J14" s="5"/>
      <c r="L14" s="52">
        <v>45762</v>
      </c>
      <c r="M14" s="53">
        <v>0.46903935185185186</v>
      </c>
      <c r="N14" s="51" t="s">
        <v>143</v>
      </c>
      <c r="O14" s="51" t="s">
        <v>1</v>
      </c>
      <c r="P14" s="51" t="s">
        <v>336</v>
      </c>
      <c r="Q14" s="51" t="s">
        <v>80</v>
      </c>
      <c r="R14" s="51" t="s">
        <v>78</v>
      </c>
    </row>
    <row r="15" spans="1:78" ht="15" customHeight="1" x14ac:dyDescent="0.25">
      <c r="A15" s="71" t="str">
        <f>HYPERLINK("#'Line List Not in Images'!D4", "List != Img")</f>
        <v>List != Img</v>
      </c>
      <c r="B15" s="71"/>
      <c r="D15" s="4"/>
      <c r="J15" s="5"/>
      <c r="L15" s="52">
        <v>45762</v>
      </c>
      <c r="M15" s="53">
        <v>0.46903935185185186</v>
      </c>
      <c r="N15" s="51" t="s">
        <v>144</v>
      </c>
      <c r="O15" s="51" t="s">
        <v>1</v>
      </c>
      <c r="P15" s="51" t="s">
        <v>337</v>
      </c>
      <c r="Q15" s="51" t="s">
        <v>80</v>
      </c>
      <c r="R15" s="51" t="s">
        <v>78</v>
      </c>
    </row>
    <row r="16" spans="1:78" x14ac:dyDescent="0.25">
      <c r="A16" s="33"/>
      <c r="B16" s="34"/>
      <c r="D16" s="4"/>
      <c r="E16" s="72" t="s">
        <v>32</v>
      </c>
      <c r="F16" s="74" t="s">
        <v>135</v>
      </c>
      <c r="G16" s="75"/>
      <c r="H16" s="75"/>
      <c r="I16" s="76"/>
      <c r="J16" s="5"/>
      <c r="L16" s="52">
        <v>45762</v>
      </c>
      <c r="M16" s="53">
        <v>0.46903935185185186</v>
      </c>
      <c r="N16" s="51" t="s">
        <v>145</v>
      </c>
      <c r="O16" s="51" t="s">
        <v>1</v>
      </c>
      <c r="P16" s="51" t="s">
        <v>338</v>
      </c>
      <c r="Q16" s="51" t="s">
        <v>80</v>
      </c>
      <c r="R16" s="51" t="s">
        <v>78</v>
      </c>
    </row>
    <row r="17" spans="1:18" ht="15" customHeight="1" x14ac:dyDescent="0.25">
      <c r="A17" s="71" t="str">
        <f>HYPERLINK("#'Renaming Data'!D4", "Renaming")</f>
        <v>Renaming</v>
      </c>
      <c r="B17" s="71"/>
      <c r="D17" s="4"/>
      <c r="E17" s="73"/>
      <c r="F17" s="77"/>
      <c r="G17" s="78"/>
      <c r="H17" s="78"/>
      <c r="I17" s="79"/>
      <c r="J17" s="5"/>
      <c r="L17" s="52">
        <v>45762</v>
      </c>
      <c r="M17" s="53">
        <v>0.46903935185185186</v>
      </c>
      <c r="N17" s="51" t="s">
        <v>146</v>
      </c>
      <c r="O17" s="51" t="s">
        <v>1</v>
      </c>
      <c r="P17" s="51" t="s">
        <v>339</v>
      </c>
      <c r="Q17" s="51" t="s">
        <v>80</v>
      </c>
      <c r="R17" s="51" t="s">
        <v>78</v>
      </c>
    </row>
    <row r="18" spans="1:18" x14ac:dyDescent="0.25">
      <c r="A18" s="33"/>
      <c r="B18" s="34"/>
      <c r="D18" s="4"/>
      <c r="J18" s="5"/>
      <c r="L18" s="52">
        <v>45762</v>
      </c>
      <c r="M18" s="53">
        <v>0.46903935185185186</v>
      </c>
      <c r="N18" s="51" t="s">
        <v>147</v>
      </c>
      <c r="O18" s="51" t="s">
        <v>1</v>
      </c>
      <c r="P18" s="51" t="s">
        <v>340</v>
      </c>
      <c r="Q18" s="51" t="s">
        <v>80</v>
      </c>
      <c r="R18" s="51" t="s">
        <v>78</v>
      </c>
    </row>
    <row r="19" spans="1:18" x14ac:dyDescent="0.25">
      <c r="A19" s="71" t="str">
        <f>HYPERLINK("#'Execution Log'!D4", "Exec Log")</f>
        <v>Exec Log</v>
      </c>
      <c r="B19" s="71"/>
      <c r="D19" s="4"/>
      <c r="E19" s="72" t="s">
        <v>73</v>
      </c>
      <c r="F19" s="74" t="s">
        <v>136</v>
      </c>
      <c r="G19" s="75"/>
      <c r="H19" s="75"/>
      <c r="I19" s="76"/>
      <c r="J19" s="5"/>
      <c r="L19" s="52">
        <v>45762</v>
      </c>
      <c r="M19" s="53">
        <v>0.46903935185185186</v>
      </c>
      <c r="N19" s="51" t="s">
        <v>148</v>
      </c>
      <c r="O19" s="51" t="s">
        <v>1</v>
      </c>
      <c r="P19" s="51" t="s">
        <v>341</v>
      </c>
      <c r="Q19" s="51" t="s">
        <v>80</v>
      </c>
      <c r="R19" s="51" t="s">
        <v>78</v>
      </c>
    </row>
    <row r="20" spans="1:18" x14ac:dyDescent="0.25">
      <c r="A20" s="13"/>
      <c r="B20" s="13"/>
      <c r="D20" s="4"/>
      <c r="E20" s="73"/>
      <c r="F20" s="77"/>
      <c r="G20" s="78"/>
      <c r="H20" s="78"/>
      <c r="I20" s="79"/>
      <c r="J20" s="5"/>
      <c r="L20" s="52">
        <v>45762</v>
      </c>
      <c r="M20" s="53">
        <v>0.46903935185185186</v>
      </c>
      <c r="N20" s="51" t="s">
        <v>149</v>
      </c>
      <c r="O20" s="51" t="s">
        <v>1</v>
      </c>
      <c r="P20" s="51" t="s">
        <v>342</v>
      </c>
      <c r="Q20" s="51" t="s">
        <v>80</v>
      </c>
      <c r="R20" s="51" t="s">
        <v>78</v>
      </c>
    </row>
    <row r="21" spans="1:18" x14ac:dyDescent="0.25">
      <c r="A21" s="13"/>
      <c r="B21" s="13"/>
      <c r="D21" s="4"/>
      <c r="J21" s="5"/>
      <c r="L21" s="52">
        <v>45762</v>
      </c>
      <c r="M21" s="53">
        <v>0.46903935185185186</v>
      </c>
      <c r="N21" s="51" t="s">
        <v>150</v>
      </c>
      <c r="O21" s="51" t="s">
        <v>1</v>
      </c>
      <c r="P21" s="51" t="s">
        <v>343</v>
      </c>
      <c r="Q21" s="51" t="s">
        <v>80</v>
      </c>
      <c r="R21" s="51" t="s">
        <v>78</v>
      </c>
    </row>
    <row r="22" spans="1:18" ht="15" customHeight="1" x14ac:dyDescent="0.25">
      <c r="A22" s="13"/>
      <c r="B22" s="13"/>
      <c r="D22" s="4"/>
      <c r="E22" s="72" t="s">
        <v>31</v>
      </c>
      <c r="F22" s="74" t="s">
        <v>136</v>
      </c>
      <c r="G22" s="75"/>
      <c r="H22" s="75"/>
      <c r="I22" s="76"/>
      <c r="J22" s="5"/>
      <c r="L22" s="52">
        <v>45762</v>
      </c>
      <c r="M22" s="53">
        <v>0.46903935185185186</v>
      </c>
      <c r="N22" s="51" t="s">
        <v>151</v>
      </c>
      <c r="O22" s="51" t="s">
        <v>1</v>
      </c>
      <c r="P22" s="51" t="s">
        <v>344</v>
      </c>
      <c r="Q22" s="51" t="s">
        <v>80</v>
      </c>
      <c r="R22" s="51" t="s">
        <v>78</v>
      </c>
    </row>
    <row r="23" spans="1:18" x14ac:dyDescent="0.25">
      <c r="A23" s="13"/>
      <c r="B23" s="13"/>
      <c r="D23" s="4"/>
      <c r="E23" s="73"/>
      <c r="F23" s="77"/>
      <c r="G23" s="78"/>
      <c r="H23" s="78"/>
      <c r="I23" s="79"/>
      <c r="J23" s="5"/>
      <c r="L23" s="52">
        <v>45762</v>
      </c>
      <c r="M23" s="53">
        <v>0.46903935185185186</v>
      </c>
      <c r="N23" s="51" t="s">
        <v>152</v>
      </c>
      <c r="O23" s="51" t="s">
        <v>1</v>
      </c>
      <c r="P23" s="51" t="s">
        <v>345</v>
      </c>
      <c r="Q23" s="51" t="s">
        <v>80</v>
      </c>
      <c r="R23" s="51" t="s">
        <v>78</v>
      </c>
    </row>
    <row r="24" spans="1:18" ht="15.75" thickBot="1" x14ac:dyDescent="0.3">
      <c r="A24" s="13"/>
      <c r="B24" s="13"/>
      <c r="D24" s="6"/>
      <c r="E24" s="10"/>
      <c r="F24" s="10"/>
      <c r="G24" s="10"/>
      <c r="H24" s="10"/>
      <c r="I24" s="10"/>
      <c r="J24" s="11"/>
      <c r="L24" s="52">
        <v>45762</v>
      </c>
      <c r="M24" s="53">
        <v>0.46903935185185186</v>
      </c>
      <c r="N24" s="51" t="s">
        <v>153</v>
      </c>
      <c r="O24" s="51" t="s">
        <v>1</v>
      </c>
      <c r="P24" s="51" t="s">
        <v>346</v>
      </c>
      <c r="Q24" s="51" t="s">
        <v>80</v>
      </c>
      <c r="R24" s="51" t="s">
        <v>78</v>
      </c>
    </row>
    <row r="25" spans="1:18" x14ac:dyDescent="0.25">
      <c r="A25" s="13"/>
      <c r="B25" s="13"/>
      <c r="L25" s="52">
        <v>45762</v>
      </c>
      <c r="M25" s="53">
        <v>0.46903935185185186</v>
      </c>
      <c r="N25" s="51" t="s">
        <v>154</v>
      </c>
      <c r="O25" s="51" t="s">
        <v>1</v>
      </c>
      <c r="P25" s="51" t="s">
        <v>347</v>
      </c>
      <c r="Q25" s="51" t="s">
        <v>80</v>
      </c>
      <c r="R25" s="51" t="s">
        <v>78</v>
      </c>
    </row>
    <row r="26" spans="1:18" x14ac:dyDescent="0.25">
      <c r="A26" s="13"/>
      <c r="B26" s="13"/>
      <c r="L26" s="52">
        <v>45762</v>
      </c>
      <c r="M26" s="53">
        <v>0.46903935185185186</v>
      </c>
      <c r="N26" s="51" t="s">
        <v>155</v>
      </c>
      <c r="O26" s="51" t="s">
        <v>1</v>
      </c>
      <c r="P26" s="51" t="s">
        <v>348</v>
      </c>
      <c r="Q26" s="51" t="s">
        <v>80</v>
      </c>
      <c r="R26" s="51" t="s">
        <v>78</v>
      </c>
    </row>
    <row r="27" spans="1:18" x14ac:dyDescent="0.25">
      <c r="A27" s="13"/>
      <c r="B27" s="13"/>
      <c r="L27" s="52">
        <v>45762</v>
      </c>
      <c r="M27" s="53">
        <v>0.46903935185185186</v>
      </c>
      <c r="N27" s="51" t="s">
        <v>156</v>
      </c>
      <c r="O27" s="51" t="s">
        <v>1</v>
      </c>
      <c r="P27" s="51" t="s">
        <v>349</v>
      </c>
      <c r="Q27" s="51" t="s">
        <v>80</v>
      </c>
      <c r="R27" s="51" t="s">
        <v>78</v>
      </c>
    </row>
    <row r="28" spans="1:18" x14ac:dyDescent="0.25">
      <c r="A28" s="13"/>
      <c r="B28" s="13"/>
      <c r="L28" s="52">
        <v>45762</v>
      </c>
      <c r="M28" s="53">
        <v>0.46903935185185186</v>
      </c>
      <c r="N28" s="51" t="s">
        <v>157</v>
      </c>
      <c r="O28" s="51" t="s">
        <v>1</v>
      </c>
      <c r="P28" s="51" t="s">
        <v>350</v>
      </c>
      <c r="Q28" s="51" t="s">
        <v>80</v>
      </c>
      <c r="R28" s="51" t="s">
        <v>78</v>
      </c>
    </row>
    <row r="29" spans="1:18" x14ac:dyDescent="0.25">
      <c r="A29" s="13"/>
      <c r="B29" s="13"/>
      <c r="L29" s="52">
        <v>45762</v>
      </c>
      <c r="M29" s="53">
        <v>0.46903935185185186</v>
      </c>
      <c r="N29" s="51" t="s">
        <v>158</v>
      </c>
      <c r="O29" s="51" t="s">
        <v>1</v>
      </c>
      <c r="P29" s="51" t="s">
        <v>351</v>
      </c>
      <c r="Q29" s="51" t="s">
        <v>80</v>
      </c>
      <c r="R29" s="51" t="s">
        <v>78</v>
      </c>
    </row>
    <row r="30" spans="1:18" x14ac:dyDescent="0.25">
      <c r="A30" s="13"/>
      <c r="B30" s="13"/>
      <c r="L30" s="52">
        <v>45762</v>
      </c>
      <c r="M30" s="53">
        <v>0.46903935185185186</v>
      </c>
      <c r="N30" s="51" t="s">
        <v>159</v>
      </c>
      <c r="O30" s="51" t="s">
        <v>1</v>
      </c>
      <c r="P30" s="51" t="s">
        <v>352</v>
      </c>
      <c r="Q30" s="51" t="s">
        <v>80</v>
      </c>
      <c r="R30" s="51" t="s">
        <v>78</v>
      </c>
    </row>
    <row r="31" spans="1:18" x14ac:dyDescent="0.25">
      <c r="A31" s="13"/>
      <c r="B31" s="13"/>
      <c r="L31" s="52">
        <v>45762</v>
      </c>
      <c r="M31" s="53">
        <v>0.46903935185185186</v>
      </c>
      <c r="N31" s="51" t="s">
        <v>160</v>
      </c>
      <c r="O31" s="51" t="s">
        <v>1</v>
      </c>
      <c r="P31" s="51" t="s">
        <v>353</v>
      </c>
      <c r="Q31" s="51" t="s">
        <v>80</v>
      </c>
      <c r="R31" s="51" t="s">
        <v>78</v>
      </c>
    </row>
    <row r="32" spans="1:18" x14ac:dyDescent="0.25">
      <c r="A32" s="13"/>
      <c r="B32" s="13"/>
      <c r="L32" s="52">
        <v>45762</v>
      </c>
      <c r="M32" s="53">
        <v>0.46903935185185186</v>
      </c>
      <c r="N32" s="51" t="s">
        <v>161</v>
      </c>
      <c r="O32" s="51" t="s">
        <v>1</v>
      </c>
      <c r="P32" s="51" t="s">
        <v>354</v>
      </c>
      <c r="Q32" s="51" t="s">
        <v>80</v>
      </c>
      <c r="R32" s="51" t="s">
        <v>78</v>
      </c>
    </row>
    <row r="33" spans="1:18" x14ac:dyDescent="0.25">
      <c r="A33" s="13"/>
      <c r="B33" s="13"/>
      <c r="L33" s="52">
        <v>45762</v>
      </c>
      <c r="M33" s="53">
        <v>0.46903935185185186</v>
      </c>
      <c r="N33" s="51" t="s">
        <v>162</v>
      </c>
      <c r="O33" s="51" t="s">
        <v>1</v>
      </c>
      <c r="P33" s="51" t="s">
        <v>355</v>
      </c>
      <c r="Q33" s="51" t="s">
        <v>80</v>
      </c>
      <c r="R33" s="51" t="s">
        <v>78</v>
      </c>
    </row>
    <row r="34" spans="1:18" x14ac:dyDescent="0.25">
      <c r="A34" s="13"/>
      <c r="B34" s="13"/>
      <c r="L34" s="52">
        <v>45762</v>
      </c>
      <c r="M34" s="53">
        <v>0.46903935185185186</v>
      </c>
      <c r="N34" s="51" t="s">
        <v>163</v>
      </c>
      <c r="O34" s="51" t="s">
        <v>1</v>
      </c>
      <c r="P34" s="51" t="s">
        <v>356</v>
      </c>
      <c r="Q34" s="51" t="s">
        <v>80</v>
      </c>
      <c r="R34" s="51" t="s">
        <v>78</v>
      </c>
    </row>
    <row r="35" spans="1:18" x14ac:dyDescent="0.25">
      <c r="A35" s="13"/>
      <c r="B35" s="13"/>
      <c r="L35" s="52">
        <v>45762</v>
      </c>
      <c r="M35" s="53">
        <v>0.46903935185185186</v>
      </c>
      <c r="N35" s="51" t="s">
        <v>164</v>
      </c>
      <c r="O35" s="51" t="s">
        <v>1</v>
      </c>
      <c r="P35" s="51" t="s">
        <v>357</v>
      </c>
      <c r="Q35" s="51" t="s">
        <v>80</v>
      </c>
      <c r="R35" s="51" t="s">
        <v>78</v>
      </c>
    </row>
    <row r="36" spans="1:18" x14ac:dyDescent="0.25">
      <c r="A36" s="13"/>
      <c r="B36" s="13"/>
      <c r="L36" s="52">
        <v>45762</v>
      </c>
      <c r="M36" s="53">
        <v>0.46903935185185186</v>
      </c>
      <c r="N36" s="51" t="s">
        <v>165</v>
      </c>
      <c r="O36" s="51" t="s">
        <v>1</v>
      </c>
      <c r="P36" s="51" t="s">
        <v>358</v>
      </c>
      <c r="Q36" s="51" t="s">
        <v>80</v>
      </c>
      <c r="R36" s="51" t="s">
        <v>78</v>
      </c>
    </row>
    <row r="37" spans="1:18" x14ac:dyDescent="0.25">
      <c r="A37" s="13"/>
      <c r="B37" s="13"/>
      <c r="L37" s="52">
        <v>45762</v>
      </c>
      <c r="M37" s="53">
        <v>0.46903935185185186</v>
      </c>
      <c r="N37" s="51" t="s">
        <v>166</v>
      </c>
      <c r="O37" s="51" t="s">
        <v>1</v>
      </c>
      <c r="P37" s="51" t="s">
        <v>359</v>
      </c>
      <c r="Q37" s="51" t="s">
        <v>80</v>
      </c>
      <c r="R37" s="51" t="s">
        <v>78</v>
      </c>
    </row>
    <row r="38" spans="1:18" x14ac:dyDescent="0.25">
      <c r="A38" s="13"/>
      <c r="B38" s="13"/>
      <c r="L38" s="52">
        <v>45762</v>
      </c>
      <c r="M38" s="53">
        <v>0.46903935185185186</v>
      </c>
      <c r="N38" s="51" t="s">
        <v>167</v>
      </c>
      <c r="O38" s="51" t="s">
        <v>1</v>
      </c>
      <c r="P38" s="51" t="s">
        <v>360</v>
      </c>
      <c r="Q38" s="51" t="s">
        <v>80</v>
      </c>
      <c r="R38" s="51" t="s">
        <v>78</v>
      </c>
    </row>
    <row r="39" spans="1:18" x14ac:dyDescent="0.25">
      <c r="A39" s="13"/>
      <c r="B39" s="13"/>
      <c r="L39" s="52">
        <v>45762</v>
      </c>
      <c r="M39" s="53">
        <v>0.46903935185185186</v>
      </c>
      <c r="N39" s="51" t="s">
        <v>168</v>
      </c>
      <c r="O39" s="51" t="s">
        <v>1</v>
      </c>
      <c r="P39" s="51" t="s">
        <v>361</v>
      </c>
      <c r="Q39" s="51" t="s">
        <v>80</v>
      </c>
      <c r="R39" s="51" t="s">
        <v>78</v>
      </c>
    </row>
    <row r="40" spans="1:18" x14ac:dyDescent="0.25">
      <c r="A40" s="13"/>
      <c r="B40" s="13"/>
      <c r="L40" s="52">
        <v>45762</v>
      </c>
      <c r="M40" s="53">
        <v>0.46903935185185186</v>
      </c>
      <c r="N40" s="51" t="s">
        <v>169</v>
      </c>
      <c r="O40" s="51" t="s">
        <v>1</v>
      </c>
      <c r="P40" s="51" t="s">
        <v>362</v>
      </c>
      <c r="Q40" s="51" t="s">
        <v>80</v>
      </c>
      <c r="R40" s="51" t="s">
        <v>78</v>
      </c>
    </row>
    <row r="41" spans="1:18" x14ac:dyDescent="0.25">
      <c r="A41" s="13"/>
      <c r="B41" s="13"/>
      <c r="L41" s="52">
        <v>45762</v>
      </c>
      <c r="M41" s="53">
        <v>0.46903935185185186</v>
      </c>
      <c r="N41" s="51" t="s">
        <v>170</v>
      </c>
      <c r="O41" s="51" t="s">
        <v>1</v>
      </c>
      <c r="P41" s="51" t="s">
        <v>363</v>
      </c>
      <c r="Q41" s="51" t="s">
        <v>80</v>
      </c>
      <c r="R41" s="51" t="s">
        <v>78</v>
      </c>
    </row>
    <row r="42" spans="1:18" x14ac:dyDescent="0.25">
      <c r="A42" s="13"/>
      <c r="B42" s="13"/>
      <c r="L42" s="52">
        <v>45762</v>
      </c>
      <c r="M42" s="53">
        <v>0.46903935185185186</v>
      </c>
      <c r="N42" s="51" t="s">
        <v>171</v>
      </c>
      <c r="O42" s="51" t="s">
        <v>1</v>
      </c>
      <c r="P42" s="51" t="s">
        <v>364</v>
      </c>
      <c r="Q42" s="51" t="s">
        <v>80</v>
      </c>
      <c r="R42" s="51" t="s">
        <v>78</v>
      </c>
    </row>
    <row r="43" spans="1:18" x14ac:dyDescent="0.25">
      <c r="A43" s="13"/>
      <c r="B43" s="13"/>
      <c r="L43" s="52">
        <v>45762</v>
      </c>
      <c r="M43" s="53">
        <v>0.46903935185185186</v>
      </c>
      <c r="N43" s="51" t="s">
        <v>172</v>
      </c>
      <c r="O43" s="51" t="s">
        <v>1</v>
      </c>
      <c r="P43" s="51" t="s">
        <v>365</v>
      </c>
      <c r="Q43" s="51" t="s">
        <v>80</v>
      </c>
      <c r="R43" s="51" t="s">
        <v>78</v>
      </c>
    </row>
    <row r="44" spans="1:18" x14ac:dyDescent="0.25">
      <c r="A44" s="13"/>
      <c r="B44" s="13"/>
      <c r="L44" s="52">
        <v>45762</v>
      </c>
      <c r="M44" s="53">
        <v>0.46903935185185186</v>
      </c>
      <c r="N44" s="51" t="s">
        <v>173</v>
      </c>
      <c r="O44" s="51" t="s">
        <v>1</v>
      </c>
      <c r="P44" s="51" t="s">
        <v>366</v>
      </c>
      <c r="Q44" s="51" t="s">
        <v>80</v>
      </c>
      <c r="R44" s="51" t="s">
        <v>78</v>
      </c>
    </row>
    <row r="45" spans="1:18" x14ac:dyDescent="0.25">
      <c r="A45" s="13"/>
      <c r="B45" s="13"/>
      <c r="L45" s="52">
        <v>45762</v>
      </c>
      <c r="M45" s="53">
        <v>0.46903935185185186</v>
      </c>
      <c r="N45" s="51" t="s">
        <v>174</v>
      </c>
      <c r="O45" s="51" t="s">
        <v>1</v>
      </c>
      <c r="P45" s="51" t="s">
        <v>367</v>
      </c>
      <c r="Q45" s="51" t="s">
        <v>80</v>
      </c>
      <c r="R45" s="51" t="s">
        <v>78</v>
      </c>
    </row>
    <row r="46" spans="1:18" x14ac:dyDescent="0.25">
      <c r="A46" s="13"/>
      <c r="B46" s="13"/>
      <c r="L46" s="52">
        <v>45762</v>
      </c>
      <c r="M46" s="53">
        <v>0.46903935185185186</v>
      </c>
      <c r="N46" s="51" t="s">
        <v>175</v>
      </c>
      <c r="O46" s="51" t="s">
        <v>1</v>
      </c>
      <c r="P46" s="51" t="s">
        <v>368</v>
      </c>
      <c r="Q46" s="51" t="s">
        <v>80</v>
      </c>
      <c r="R46" s="51" t="s">
        <v>78</v>
      </c>
    </row>
    <row r="47" spans="1:18" x14ac:dyDescent="0.25">
      <c r="A47" s="13"/>
      <c r="B47" s="13"/>
      <c r="L47" s="52">
        <v>45762</v>
      </c>
      <c r="M47" s="53">
        <v>0.46903935185185186</v>
      </c>
      <c r="N47" s="51" t="s">
        <v>176</v>
      </c>
      <c r="O47" s="51" t="s">
        <v>1</v>
      </c>
      <c r="P47" s="51" t="s">
        <v>369</v>
      </c>
      <c r="Q47" s="51" t="s">
        <v>80</v>
      </c>
      <c r="R47" s="51" t="s">
        <v>78</v>
      </c>
    </row>
    <row r="48" spans="1:18" x14ac:dyDescent="0.25">
      <c r="A48" s="13"/>
      <c r="B48" s="13"/>
      <c r="L48" s="52">
        <v>45762</v>
      </c>
      <c r="M48" s="53">
        <v>0.46903935185185186</v>
      </c>
      <c r="N48" s="51" t="s">
        <v>177</v>
      </c>
      <c r="O48" s="51" t="s">
        <v>1</v>
      </c>
      <c r="P48" s="51" t="s">
        <v>81</v>
      </c>
      <c r="Q48" s="51" t="s">
        <v>80</v>
      </c>
      <c r="R48" s="51" t="s">
        <v>78</v>
      </c>
    </row>
    <row r="49" spans="1:18" x14ac:dyDescent="0.25">
      <c r="A49" s="13"/>
      <c r="B49" s="13"/>
      <c r="L49" s="52">
        <v>45762</v>
      </c>
      <c r="M49" s="53">
        <v>0.46903935185185186</v>
      </c>
      <c r="N49" s="51" t="s">
        <v>177</v>
      </c>
      <c r="O49" s="51" t="s">
        <v>1</v>
      </c>
      <c r="P49" s="51" t="s">
        <v>81</v>
      </c>
      <c r="Q49" s="51" t="s">
        <v>80</v>
      </c>
      <c r="R49" s="51" t="s">
        <v>78</v>
      </c>
    </row>
    <row r="50" spans="1:18" x14ac:dyDescent="0.25">
      <c r="A50" s="13"/>
      <c r="B50" s="13"/>
      <c r="L50" s="52">
        <v>45762</v>
      </c>
      <c r="M50" s="53">
        <v>0.46903935185185186</v>
      </c>
      <c r="N50" s="51" t="s">
        <v>178</v>
      </c>
      <c r="O50" s="51" t="s">
        <v>1</v>
      </c>
      <c r="P50" s="51" t="s">
        <v>370</v>
      </c>
      <c r="Q50" s="51" t="s">
        <v>80</v>
      </c>
      <c r="R50" s="51" t="s">
        <v>78</v>
      </c>
    </row>
    <row r="51" spans="1:18" x14ac:dyDescent="0.25">
      <c r="A51" s="13"/>
      <c r="B51" s="13"/>
      <c r="L51" s="52">
        <v>45762</v>
      </c>
      <c r="M51" s="53">
        <v>0.46903935185185186</v>
      </c>
      <c r="N51" s="51" t="s">
        <v>178</v>
      </c>
      <c r="O51" s="51" t="s">
        <v>1</v>
      </c>
      <c r="P51" s="51" t="s">
        <v>370</v>
      </c>
      <c r="Q51" s="51" t="s">
        <v>80</v>
      </c>
      <c r="R51" s="51" t="s">
        <v>78</v>
      </c>
    </row>
    <row r="52" spans="1:18" x14ac:dyDescent="0.25">
      <c r="A52" s="13"/>
      <c r="B52" s="13"/>
      <c r="L52" s="52">
        <v>45762</v>
      </c>
      <c r="M52" s="53">
        <v>0.46903935185185186</v>
      </c>
      <c r="N52" s="51" t="s">
        <v>179</v>
      </c>
      <c r="O52" s="51" t="s">
        <v>1</v>
      </c>
      <c r="P52" s="51" t="s">
        <v>82</v>
      </c>
      <c r="Q52" s="51" t="s">
        <v>80</v>
      </c>
      <c r="R52" s="51" t="s">
        <v>78</v>
      </c>
    </row>
    <row r="53" spans="1:18" x14ac:dyDescent="0.25">
      <c r="A53" s="13"/>
      <c r="B53" s="13"/>
      <c r="L53" s="52">
        <v>45762</v>
      </c>
      <c r="M53" s="53">
        <v>0.46903935185185186</v>
      </c>
      <c r="N53" s="51" t="s">
        <v>180</v>
      </c>
      <c r="O53" s="51" t="s">
        <v>1</v>
      </c>
      <c r="P53" s="51" t="s">
        <v>371</v>
      </c>
      <c r="Q53" s="51" t="s">
        <v>80</v>
      </c>
      <c r="R53" s="51" t="s">
        <v>78</v>
      </c>
    </row>
    <row r="54" spans="1:18" x14ac:dyDescent="0.25">
      <c r="A54" s="13"/>
      <c r="B54" s="13"/>
      <c r="L54" s="52">
        <v>45762</v>
      </c>
      <c r="M54" s="53">
        <v>0.46903935185185186</v>
      </c>
      <c r="N54" s="51" t="s">
        <v>181</v>
      </c>
      <c r="O54" s="51" t="s">
        <v>1</v>
      </c>
      <c r="P54" s="51" t="s">
        <v>372</v>
      </c>
      <c r="Q54" s="51" t="s">
        <v>80</v>
      </c>
      <c r="R54" s="51" t="s">
        <v>78</v>
      </c>
    </row>
    <row r="55" spans="1:18" x14ac:dyDescent="0.25">
      <c r="A55" s="13"/>
      <c r="B55" s="13"/>
      <c r="L55" s="52">
        <v>45762</v>
      </c>
      <c r="M55" s="53">
        <v>0.46903935185185186</v>
      </c>
      <c r="N55" s="51" t="s">
        <v>182</v>
      </c>
      <c r="O55" s="51" t="s">
        <v>1</v>
      </c>
      <c r="P55" s="51" t="s">
        <v>373</v>
      </c>
      <c r="Q55" s="51" t="s">
        <v>80</v>
      </c>
      <c r="R55" s="51" t="s">
        <v>78</v>
      </c>
    </row>
    <row r="56" spans="1:18" x14ac:dyDescent="0.25">
      <c r="A56" s="13"/>
      <c r="B56" s="13"/>
      <c r="L56" s="52">
        <v>45762</v>
      </c>
      <c r="M56" s="53">
        <v>0.46903935185185186</v>
      </c>
      <c r="N56" s="51" t="s">
        <v>183</v>
      </c>
      <c r="O56" s="51" t="s">
        <v>1</v>
      </c>
      <c r="P56" s="51" t="s">
        <v>374</v>
      </c>
      <c r="Q56" s="51" t="s">
        <v>80</v>
      </c>
      <c r="R56" s="51" t="s">
        <v>78</v>
      </c>
    </row>
    <row r="57" spans="1:18" x14ac:dyDescent="0.25">
      <c r="A57" s="13"/>
      <c r="B57" s="13"/>
      <c r="L57" s="52">
        <v>45762</v>
      </c>
      <c r="M57" s="53">
        <v>0.46903935185185186</v>
      </c>
      <c r="N57" s="51" t="s">
        <v>184</v>
      </c>
      <c r="O57" s="51" t="s">
        <v>1</v>
      </c>
      <c r="P57" s="51" t="s">
        <v>375</v>
      </c>
      <c r="Q57" s="51" t="s">
        <v>80</v>
      </c>
      <c r="R57" s="51" t="s">
        <v>78</v>
      </c>
    </row>
    <row r="58" spans="1:18" x14ac:dyDescent="0.25">
      <c r="A58" s="13"/>
      <c r="B58" s="13"/>
      <c r="L58" s="52">
        <v>45762</v>
      </c>
      <c r="M58" s="53">
        <v>0.46903935185185186</v>
      </c>
      <c r="N58" s="51" t="s">
        <v>185</v>
      </c>
      <c r="O58" s="51" t="s">
        <v>1</v>
      </c>
      <c r="P58" s="51" t="s">
        <v>376</v>
      </c>
      <c r="Q58" s="51" t="s">
        <v>80</v>
      </c>
      <c r="R58" s="51" t="s">
        <v>78</v>
      </c>
    </row>
    <row r="59" spans="1:18" x14ac:dyDescent="0.25">
      <c r="A59" s="13"/>
      <c r="B59" s="13"/>
      <c r="L59" s="52">
        <v>45762</v>
      </c>
      <c r="M59" s="53">
        <v>0.46903935185185186</v>
      </c>
      <c r="N59" s="51" t="s">
        <v>186</v>
      </c>
      <c r="O59" s="51" t="s">
        <v>1</v>
      </c>
      <c r="P59" s="51" t="s">
        <v>377</v>
      </c>
      <c r="Q59" s="51" t="s">
        <v>80</v>
      </c>
      <c r="R59" s="51" t="s">
        <v>78</v>
      </c>
    </row>
    <row r="60" spans="1:18" x14ac:dyDescent="0.25">
      <c r="A60" s="13"/>
      <c r="B60" s="13"/>
      <c r="L60" s="52">
        <v>45762</v>
      </c>
      <c r="M60" s="53">
        <v>0.46903935185185186</v>
      </c>
      <c r="N60" s="51" t="s">
        <v>187</v>
      </c>
      <c r="O60" s="51" t="s">
        <v>1</v>
      </c>
      <c r="P60" s="51" t="s">
        <v>378</v>
      </c>
      <c r="Q60" s="51" t="s">
        <v>80</v>
      </c>
      <c r="R60" s="51" t="s">
        <v>78</v>
      </c>
    </row>
    <row r="61" spans="1:18" x14ac:dyDescent="0.25">
      <c r="A61" s="13"/>
      <c r="B61" s="13"/>
      <c r="L61" s="52">
        <v>45762</v>
      </c>
      <c r="M61" s="53">
        <v>0.46903935185185186</v>
      </c>
      <c r="N61" s="51" t="s">
        <v>188</v>
      </c>
      <c r="O61" s="51" t="s">
        <v>1</v>
      </c>
      <c r="P61" s="51" t="s">
        <v>379</v>
      </c>
      <c r="Q61" s="51" t="s">
        <v>80</v>
      </c>
      <c r="R61" s="51" t="s">
        <v>78</v>
      </c>
    </row>
    <row r="62" spans="1:18" x14ac:dyDescent="0.25">
      <c r="A62" s="13"/>
      <c r="B62" s="13"/>
      <c r="L62" s="52">
        <v>45762</v>
      </c>
      <c r="M62" s="53">
        <v>0.46903935185185186</v>
      </c>
      <c r="N62" s="51" t="s">
        <v>189</v>
      </c>
      <c r="O62" s="51" t="s">
        <v>1</v>
      </c>
      <c r="P62" s="51" t="s">
        <v>380</v>
      </c>
      <c r="Q62" s="51" t="s">
        <v>80</v>
      </c>
      <c r="R62" s="51" t="s">
        <v>78</v>
      </c>
    </row>
    <row r="63" spans="1:18" x14ac:dyDescent="0.25">
      <c r="A63" s="13"/>
      <c r="B63" s="13"/>
      <c r="L63" s="52">
        <v>45762</v>
      </c>
      <c r="M63" s="53">
        <v>0.46903935185185186</v>
      </c>
      <c r="N63" s="51" t="s">
        <v>190</v>
      </c>
      <c r="O63" s="51" t="s">
        <v>1</v>
      </c>
      <c r="P63" s="51" t="s">
        <v>381</v>
      </c>
      <c r="Q63" s="51" t="s">
        <v>80</v>
      </c>
      <c r="R63" s="51" t="s">
        <v>78</v>
      </c>
    </row>
    <row r="64" spans="1:18" x14ac:dyDescent="0.25">
      <c r="A64" s="13"/>
      <c r="B64" s="13"/>
      <c r="L64" s="52">
        <v>45762</v>
      </c>
      <c r="M64" s="53">
        <v>0.46903935185185186</v>
      </c>
      <c r="N64" s="51" t="s">
        <v>191</v>
      </c>
      <c r="O64" s="51" t="s">
        <v>1</v>
      </c>
      <c r="P64" s="51" t="s">
        <v>382</v>
      </c>
      <c r="Q64" s="51" t="s">
        <v>80</v>
      </c>
      <c r="R64" s="51" t="s">
        <v>78</v>
      </c>
    </row>
    <row r="65" spans="1:18" x14ac:dyDescent="0.25">
      <c r="A65" s="13"/>
      <c r="B65" s="13"/>
      <c r="L65" s="52">
        <v>45762</v>
      </c>
      <c r="M65" s="53">
        <v>0.46903935185185186</v>
      </c>
      <c r="N65" s="51" t="s">
        <v>192</v>
      </c>
      <c r="O65" s="51" t="s">
        <v>1</v>
      </c>
      <c r="P65" s="51" t="s">
        <v>383</v>
      </c>
      <c r="Q65" s="51" t="s">
        <v>80</v>
      </c>
      <c r="R65" s="51" t="s">
        <v>78</v>
      </c>
    </row>
    <row r="66" spans="1:18" x14ac:dyDescent="0.25">
      <c r="A66" s="13"/>
      <c r="B66" s="13"/>
      <c r="L66" s="52">
        <v>45762</v>
      </c>
      <c r="M66" s="53">
        <v>0.46903935185185186</v>
      </c>
      <c r="N66" s="51" t="s">
        <v>193</v>
      </c>
      <c r="O66" s="51" t="s">
        <v>1</v>
      </c>
      <c r="P66" s="51" t="s">
        <v>384</v>
      </c>
      <c r="Q66" s="51" t="s">
        <v>80</v>
      </c>
      <c r="R66" s="51" t="s">
        <v>78</v>
      </c>
    </row>
    <row r="67" spans="1:18" x14ac:dyDescent="0.25">
      <c r="A67" s="13"/>
      <c r="B67" s="13"/>
      <c r="L67" s="52">
        <v>45762</v>
      </c>
      <c r="M67" s="53">
        <v>0.46903935185185186</v>
      </c>
      <c r="N67" s="51" t="s">
        <v>194</v>
      </c>
      <c r="O67" s="51" t="s">
        <v>1</v>
      </c>
      <c r="P67" s="51" t="s">
        <v>385</v>
      </c>
      <c r="Q67" s="51" t="s">
        <v>80</v>
      </c>
      <c r="R67" s="51" t="s">
        <v>78</v>
      </c>
    </row>
    <row r="68" spans="1:18" x14ac:dyDescent="0.25">
      <c r="A68" s="13"/>
      <c r="B68" s="13"/>
      <c r="L68" s="52">
        <v>45762</v>
      </c>
      <c r="M68" s="53">
        <v>0.46903935185185186</v>
      </c>
      <c r="N68" s="51" t="s">
        <v>195</v>
      </c>
      <c r="O68" s="51" t="s">
        <v>1</v>
      </c>
      <c r="P68" s="51" t="s">
        <v>386</v>
      </c>
      <c r="Q68" s="51" t="s">
        <v>80</v>
      </c>
      <c r="R68" s="51" t="s">
        <v>78</v>
      </c>
    </row>
    <row r="69" spans="1:18" x14ac:dyDescent="0.25">
      <c r="A69" s="13"/>
      <c r="B69" s="13"/>
      <c r="L69" s="52">
        <v>45762</v>
      </c>
      <c r="M69" s="53">
        <v>0.46903935185185186</v>
      </c>
      <c r="N69" s="51" t="s">
        <v>196</v>
      </c>
      <c r="O69" s="51" t="s">
        <v>1</v>
      </c>
      <c r="P69" s="51" t="s">
        <v>387</v>
      </c>
      <c r="Q69" s="51" t="s">
        <v>80</v>
      </c>
      <c r="R69" s="51" t="s">
        <v>78</v>
      </c>
    </row>
    <row r="70" spans="1:18" x14ac:dyDescent="0.25">
      <c r="A70" s="13"/>
      <c r="B70" s="13"/>
      <c r="L70" s="52">
        <v>45762</v>
      </c>
      <c r="M70" s="53">
        <v>0.46903935185185186</v>
      </c>
      <c r="N70" s="51" t="s">
        <v>197</v>
      </c>
      <c r="O70" s="51" t="s">
        <v>1</v>
      </c>
      <c r="P70" s="51" t="s">
        <v>388</v>
      </c>
      <c r="Q70" s="51" t="s">
        <v>80</v>
      </c>
      <c r="R70" s="51" t="s">
        <v>78</v>
      </c>
    </row>
    <row r="71" spans="1:18" x14ac:dyDescent="0.25">
      <c r="A71" s="13"/>
      <c r="B71" s="13"/>
      <c r="L71" s="52">
        <v>45762</v>
      </c>
      <c r="M71" s="53">
        <v>0.46903935185185186</v>
      </c>
      <c r="N71" s="51" t="s">
        <v>198</v>
      </c>
      <c r="O71" s="51" t="s">
        <v>1</v>
      </c>
      <c r="P71" s="51" t="s">
        <v>88</v>
      </c>
      <c r="Q71" s="51" t="s">
        <v>80</v>
      </c>
      <c r="R71" s="51" t="s">
        <v>78</v>
      </c>
    </row>
    <row r="72" spans="1:18" x14ac:dyDescent="0.25">
      <c r="A72" s="13"/>
      <c r="B72" s="13"/>
      <c r="L72" s="52">
        <v>45762</v>
      </c>
      <c r="M72" s="53">
        <v>0.46903935185185186</v>
      </c>
      <c r="N72" s="51" t="s">
        <v>199</v>
      </c>
      <c r="O72" s="51" t="s">
        <v>1</v>
      </c>
      <c r="P72" s="51" t="s">
        <v>389</v>
      </c>
      <c r="Q72" s="51" t="s">
        <v>80</v>
      </c>
      <c r="R72" s="51" t="s">
        <v>78</v>
      </c>
    </row>
    <row r="73" spans="1:18" x14ac:dyDescent="0.25">
      <c r="A73" s="13"/>
      <c r="B73" s="13"/>
      <c r="L73" s="52">
        <v>45762</v>
      </c>
      <c r="M73" s="53">
        <v>0.46903935185185186</v>
      </c>
      <c r="N73" s="51" t="s">
        <v>200</v>
      </c>
      <c r="O73" s="51" t="s">
        <v>1</v>
      </c>
      <c r="P73" s="51" t="s">
        <v>390</v>
      </c>
      <c r="Q73" s="51" t="s">
        <v>80</v>
      </c>
      <c r="R73" s="51" t="s">
        <v>78</v>
      </c>
    </row>
    <row r="74" spans="1:18" x14ac:dyDescent="0.25">
      <c r="A74" s="13"/>
      <c r="B74" s="13"/>
      <c r="L74" s="52">
        <v>45762</v>
      </c>
      <c r="M74" s="53">
        <v>0.46903935185185186</v>
      </c>
      <c r="N74" s="51" t="s">
        <v>201</v>
      </c>
      <c r="O74" s="51" t="s">
        <v>1</v>
      </c>
      <c r="P74" s="51" t="s">
        <v>391</v>
      </c>
      <c r="Q74" s="51" t="s">
        <v>80</v>
      </c>
      <c r="R74" s="51" t="s">
        <v>78</v>
      </c>
    </row>
    <row r="75" spans="1:18" x14ac:dyDescent="0.25">
      <c r="A75" s="13"/>
      <c r="B75" s="13"/>
      <c r="L75" s="52">
        <v>45762</v>
      </c>
      <c r="M75" s="53">
        <v>0.46903935185185186</v>
      </c>
      <c r="N75" s="51" t="s">
        <v>202</v>
      </c>
      <c r="O75" s="51" t="s">
        <v>1</v>
      </c>
      <c r="P75" s="51" t="s">
        <v>392</v>
      </c>
      <c r="Q75" s="51" t="s">
        <v>80</v>
      </c>
      <c r="R75" s="51" t="s">
        <v>78</v>
      </c>
    </row>
    <row r="76" spans="1:18" x14ac:dyDescent="0.25">
      <c r="A76" s="13"/>
      <c r="B76" s="13"/>
      <c r="L76" s="52">
        <v>45762</v>
      </c>
      <c r="M76" s="53">
        <v>0.46903935185185186</v>
      </c>
      <c r="N76" s="51" t="s">
        <v>203</v>
      </c>
      <c r="O76" s="51" t="s">
        <v>1</v>
      </c>
      <c r="P76" s="51" t="s">
        <v>393</v>
      </c>
      <c r="Q76" s="51" t="s">
        <v>80</v>
      </c>
      <c r="R76" s="51" t="s">
        <v>78</v>
      </c>
    </row>
    <row r="77" spans="1:18" x14ac:dyDescent="0.25">
      <c r="A77" s="13"/>
      <c r="B77" s="13"/>
      <c r="L77" s="52">
        <v>45762</v>
      </c>
      <c r="M77" s="53">
        <v>0.46903935185185186</v>
      </c>
      <c r="N77" s="51" t="s">
        <v>204</v>
      </c>
      <c r="O77" s="51" t="s">
        <v>1</v>
      </c>
      <c r="P77" s="51" t="s">
        <v>394</v>
      </c>
      <c r="Q77" s="51" t="s">
        <v>80</v>
      </c>
      <c r="R77" s="51" t="s">
        <v>78</v>
      </c>
    </row>
    <row r="78" spans="1:18" x14ac:dyDescent="0.25">
      <c r="A78" s="13"/>
      <c r="B78" s="13"/>
      <c r="L78" s="52">
        <v>45762</v>
      </c>
      <c r="M78" s="53">
        <v>0.4690509259259259</v>
      </c>
      <c r="N78" s="51" t="s">
        <v>205</v>
      </c>
      <c r="O78" s="51" t="s">
        <v>1</v>
      </c>
      <c r="P78" s="51" t="s">
        <v>395</v>
      </c>
      <c r="Q78" s="51" t="s">
        <v>80</v>
      </c>
      <c r="R78" s="51" t="s">
        <v>78</v>
      </c>
    </row>
    <row r="79" spans="1:18" x14ac:dyDescent="0.25">
      <c r="A79" s="13"/>
      <c r="B79" s="13"/>
      <c r="L79" s="52">
        <v>45762</v>
      </c>
      <c r="M79" s="53">
        <v>0.4690509259259259</v>
      </c>
      <c r="N79" s="51" t="s">
        <v>206</v>
      </c>
      <c r="O79" s="51" t="s">
        <v>1</v>
      </c>
      <c r="P79" s="51" t="s">
        <v>396</v>
      </c>
      <c r="Q79" s="51" t="s">
        <v>80</v>
      </c>
      <c r="R79" s="51" t="s">
        <v>78</v>
      </c>
    </row>
    <row r="80" spans="1:18" x14ac:dyDescent="0.25">
      <c r="A80" s="13"/>
      <c r="B80" s="13"/>
      <c r="L80" s="52">
        <v>45762</v>
      </c>
      <c r="M80" s="53">
        <v>0.4690509259259259</v>
      </c>
      <c r="N80" s="51" t="s">
        <v>207</v>
      </c>
      <c r="O80" s="51" t="s">
        <v>1</v>
      </c>
      <c r="P80" s="51" t="s">
        <v>397</v>
      </c>
      <c r="Q80" s="51" t="s">
        <v>80</v>
      </c>
      <c r="R80" s="51" t="s">
        <v>78</v>
      </c>
    </row>
    <row r="81" spans="1:18" x14ac:dyDescent="0.25">
      <c r="A81" s="13"/>
      <c r="B81" s="13"/>
      <c r="L81" s="52">
        <v>45762</v>
      </c>
      <c r="M81" s="53">
        <v>0.4690509259259259</v>
      </c>
      <c r="N81" s="51" t="s">
        <v>208</v>
      </c>
      <c r="O81" s="51" t="s">
        <v>1</v>
      </c>
      <c r="P81" s="51" t="s">
        <v>398</v>
      </c>
      <c r="Q81" s="51" t="s">
        <v>80</v>
      </c>
      <c r="R81" s="51" t="s">
        <v>78</v>
      </c>
    </row>
    <row r="82" spans="1:18" x14ac:dyDescent="0.25">
      <c r="A82" s="13"/>
      <c r="B82" s="13"/>
      <c r="L82" s="52">
        <v>45762</v>
      </c>
      <c r="M82" s="53">
        <v>0.4690509259259259</v>
      </c>
      <c r="N82" s="51" t="s">
        <v>209</v>
      </c>
      <c r="O82" s="51" t="s">
        <v>1</v>
      </c>
      <c r="P82" s="51" t="s">
        <v>399</v>
      </c>
      <c r="Q82" s="51" t="s">
        <v>80</v>
      </c>
      <c r="R82" s="51" t="s">
        <v>78</v>
      </c>
    </row>
    <row r="83" spans="1:18" x14ac:dyDescent="0.25">
      <c r="A83" s="13"/>
      <c r="B83" s="13"/>
      <c r="L83" s="52">
        <v>45762</v>
      </c>
      <c r="M83" s="53">
        <v>0.4690509259259259</v>
      </c>
      <c r="N83" s="51" t="s">
        <v>210</v>
      </c>
      <c r="O83" s="51" t="s">
        <v>1</v>
      </c>
      <c r="P83" s="51" t="s">
        <v>400</v>
      </c>
      <c r="Q83" s="51" t="s">
        <v>80</v>
      </c>
      <c r="R83" s="51" t="s">
        <v>78</v>
      </c>
    </row>
    <row r="84" spans="1:18" x14ac:dyDescent="0.25">
      <c r="A84" s="13"/>
      <c r="B84" s="13"/>
      <c r="L84" s="52">
        <v>45762</v>
      </c>
      <c r="M84" s="53">
        <v>0.4690509259259259</v>
      </c>
      <c r="N84" s="51" t="s">
        <v>211</v>
      </c>
      <c r="O84" s="51" t="s">
        <v>1</v>
      </c>
      <c r="P84" s="51" t="s">
        <v>83</v>
      </c>
      <c r="Q84" s="51" t="s">
        <v>80</v>
      </c>
      <c r="R84" s="51" t="s">
        <v>78</v>
      </c>
    </row>
    <row r="85" spans="1:18" x14ac:dyDescent="0.25">
      <c r="A85" s="13"/>
      <c r="B85" s="13"/>
      <c r="L85" s="52">
        <v>45762</v>
      </c>
      <c r="M85" s="53">
        <v>0.4690509259259259</v>
      </c>
      <c r="N85" s="51" t="s">
        <v>212</v>
      </c>
      <c r="O85" s="51" t="s">
        <v>1</v>
      </c>
      <c r="P85" s="51" t="s">
        <v>84</v>
      </c>
      <c r="Q85" s="51" t="s">
        <v>80</v>
      </c>
      <c r="R85" s="51" t="s">
        <v>78</v>
      </c>
    </row>
    <row r="86" spans="1:18" x14ac:dyDescent="0.25">
      <c r="A86" s="13"/>
      <c r="B86" s="13"/>
      <c r="L86" s="52">
        <v>45762</v>
      </c>
      <c r="M86" s="53">
        <v>0.4690509259259259</v>
      </c>
      <c r="N86" s="51" t="s">
        <v>213</v>
      </c>
      <c r="O86" s="51" t="s">
        <v>1</v>
      </c>
      <c r="P86" s="51" t="s">
        <v>85</v>
      </c>
      <c r="Q86" s="51" t="s">
        <v>80</v>
      </c>
      <c r="R86" s="51" t="s">
        <v>78</v>
      </c>
    </row>
    <row r="87" spans="1:18" x14ac:dyDescent="0.25">
      <c r="A87" s="13"/>
      <c r="B87" s="13"/>
      <c r="L87" s="52">
        <v>45762</v>
      </c>
      <c r="M87" s="53">
        <v>0.4690509259259259</v>
      </c>
      <c r="N87" s="51" t="s">
        <v>214</v>
      </c>
      <c r="O87" s="51" t="s">
        <v>1</v>
      </c>
      <c r="P87" s="51" t="s">
        <v>86</v>
      </c>
      <c r="Q87" s="51" t="s">
        <v>80</v>
      </c>
      <c r="R87" s="51" t="s">
        <v>78</v>
      </c>
    </row>
    <row r="88" spans="1:18" x14ac:dyDescent="0.25">
      <c r="A88" s="13"/>
      <c r="B88" s="13"/>
      <c r="L88" s="52">
        <v>45762</v>
      </c>
      <c r="M88" s="53">
        <v>0.4690509259259259</v>
      </c>
      <c r="N88" s="51" t="s">
        <v>215</v>
      </c>
      <c r="O88" s="51" t="s">
        <v>1</v>
      </c>
      <c r="P88" s="51" t="s">
        <v>87</v>
      </c>
      <c r="Q88" s="51" t="s">
        <v>80</v>
      </c>
      <c r="R88" s="51" t="s">
        <v>78</v>
      </c>
    </row>
    <row r="89" spans="1:18" x14ac:dyDescent="0.25">
      <c r="A89" s="13"/>
      <c r="B89" s="13"/>
      <c r="L89" s="52">
        <v>45762</v>
      </c>
      <c r="M89" s="53">
        <v>0.4690509259259259</v>
      </c>
      <c r="N89" s="51" t="s">
        <v>216</v>
      </c>
      <c r="O89" s="51" t="s">
        <v>1</v>
      </c>
      <c r="P89" s="51" t="s">
        <v>401</v>
      </c>
      <c r="Q89" s="51" t="s">
        <v>80</v>
      </c>
      <c r="R89" s="51" t="s">
        <v>78</v>
      </c>
    </row>
    <row r="90" spans="1:18" x14ac:dyDescent="0.25">
      <c r="A90" s="13"/>
      <c r="B90" s="13"/>
      <c r="L90" s="52">
        <v>45762</v>
      </c>
      <c r="M90" s="53">
        <v>0.4690509259259259</v>
      </c>
      <c r="N90" s="51" t="s">
        <v>217</v>
      </c>
      <c r="O90" s="51" t="s">
        <v>1</v>
      </c>
      <c r="P90" s="51" t="s">
        <v>402</v>
      </c>
      <c r="Q90" s="51" t="s">
        <v>80</v>
      </c>
      <c r="R90" s="51" t="s">
        <v>78</v>
      </c>
    </row>
    <row r="91" spans="1:18" x14ac:dyDescent="0.25">
      <c r="A91" s="13"/>
      <c r="B91" s="13"/>
      <c r="L91" s="52">
        <v>45762</v>
      </c>
      <c r="M91" s="53">
        <v>0.4690509259259259</v>
      </c>
      <c r="N91" s="51" t="s">
        <v>218</v>
      </c>
      <c r="O91" s="51" t="s">
        <v>1</v>
      </c>
      <c r="P91" s="51" t="s">
        <v>403</v>
      </c>
      <c r="Q91" s="51" t="s">
        <v>80</v>
      </c>
      <c r="R91" s="51" t="s">
        <v>78</v>
      </c>
    </row>
    <row r="92" spans="1:18" x14ac:dyDescent="0.25">
      <c r="A92" s="13"/>
      <c r="B92" s="13"/>
      <c r="L92" s="52">
        <v>45762</v>
      </c>
      <c r="M92" s="53">
        <v>0.4690509259259259</v>
      </c>
      <c r="N92" s="51" t="s">
        <v>219</v>
      </c>
      <c r="O92" s="51" t="s">
        <v>1</v>
      </c>
      <c r="P92" s="51" t="s">
        <v>404</v>
      </c>
      <c r="Q92" s="51" t="s">
        <v>80</v>
      </c>
      <c r="R92" s="51" t="s">
        <v>78</v>
      </c>
    </row>
    <row r="93" spans="1:18" x14ac:dyDescent="0.25">
      <c r="A93" s="13"/>
      <c r="B93" s="13"/>
      <c r="L93" s="52">
        <v>45762</v>
      </c>
      <c r="M93" s="53">
        <v>0.4690509259259259</v>
      </c>
      <c r="N93" s="51" t="s">
        <v>220</v>
      </c>
      <c r="O93" s="51" t="s">
        <v>1</v>
      </c>
      <c r="P93" s="51" t="s">
        <v>405</v>
      </c>
      <c r="Q93" s="51" t="s">
        <v>80</v>
      </c>
      <c r="R93" s="51" t="s">
        <v>78</v>
      </c>
    </row>
    <row r="94" spans="1:18" x14ac:dyDescent="0.25">
      <c r="A94" s="13"/>
      <c r="B94" s="13"/>
      <c r="L94" s="52">
        <v>45762</v>
      </c>
      <c r="M94" s="53">
        <v>0.4690509259259259</v>
      </c>
      <c r="N94" s="51" t="s">
        <v>221</v>
      </c>
      <c r="O94" s="51" t="s">
        <v>1</v>
      </c>
      <c r="P94" s="51" t="s">
        <v>406</v>
      </c>
      <c r="Q94" s="51" t="s">
        <v>80</v>
      </c>
      <c r="R94" s="51" t="s">
        <v>78</v>
      </c>
    </row>
    <row r="95" spans="1:18" x14ac:dyDescent="0.25">
      <c r="A95" s="13"/>
      <c r="B95" s="13"/>
      <c r="L95" s="52">
        <v>45762</v>
      </c>
      <c r="M95" s="53">
        <v>0.4690509259259259</v>
      </c>
      <c r="N95" s="51" t="s">
        <v>222</v>
      </c>
      <c r="O95" s="51" t="s">
        <v>1</v>
      </c>
      <c r="P95" s="51" t="s">
        <v>407</v>
      </c>
      <c r="Q95" s="51" t="s">
        <v>80</v>
      </c>
      <c r="R95" s="51" t="s">
        <v>78</v>
      </c>
    </row>
    <row r="96" spans="1:18" x14ac:dyDescent="0.25">
      <c r="A96" s="13"/>
      <c r="B96" s="13"/>
      <c r="L96" s="52">
        <v>45762</v>
      </c>
      <c r="M96" s="53">
        <v>0.4690509259259259</v>
      </c>
      <c r="N96" s="51" t="s">
        <v>223</v>
      </c>
      <c r="O96" s="51" t="s">
        <v>1</v>
      </c>
      <c r="P96" s="51" t="s">
        <v>408</v>
      </c>
      <c r="Q96" s="51" t="s">
        <v>80</v>
      </c>
      <c r="R96" s="51" t="s">
        <v>78</v>
      </c>
    </row>
    <row r="97" spans="1:18" x14ac:dyDescent="0.25">
      <c r="A97" s="13"/>
      <c r="B97" s="13"/>
      <c r="L97" s="52">
        <v>45762</v>
      </c>
      <c r="M97" s="53">
        <v>0.4690509259259259</v>
      </c>
      <c r="N97" s="51" t="s">
        <v>224</v>
      </c>
      <c r="O97" s="51" t="s">
        <v>1</v>
      </c>
      <c r="P97" s="51" t="s">
        <v>409</v>
      </c>
      <c r="Q97" s="51" t="s">
        <v>80</v>
      </c>
      <c r="R97" s="51" t="s">
        <v>78</v>
      </c>
    </row>
    <row r="98" spans="1:18" x14ac:dyDescent="0.25">
      <c r="A98" s="13"/>
      <c r="B98" s="13"/>
      <c r="L98" s="52">
        <v>45762</v>
      </c>
      <c r="M98" s="53">
        <v>0.4690509259259259</v>
      </c>
      <c r="N98" s="51" t="s">
        <v>225</v>
      </c>
      <c r="O98" s="51" t="s">
        <v>1</v>
      </c>
      <c r="P98" s="51" t="s">
        <v>410</v>
      </c>
      <c r="Q98" s="51" t="s">
        <v>80</v>
      </c>
      <c r="R98" s="51" t="s">
        <v>78</v>
      </c>
    </row>
    <row r="99" spans="1:18" x14ac:dyDescent="0.25">
      <c r="A99" s="13"/>
      <c r="B99" s="13"/>
      <c r="L99" s="52">
        <v>45762</v>
      </c>
      <c r="M99" s="53">
        <v>0.4690509259259259</v>
      </c>
      <c r="N99" s="51" t="s">
        <v>226</v>
      </c>
      <c r="O99" s="51" t="s">
        <v>1</v>
      </c>
      <c r="P99" s="51" t="s">
        <v>411</v>
      </c>
      <c r="Q99" s="51" t="s">
        <v>80</v>
      </c>
      <c r="R99" s="51" t="s">
        <v>78</v>
      </c>
    </row>
    <row r="100" spans="1:18" x14ac:dyDescent="0.25">
      <c r="A100" s="13"/>
      <c r="B100" s="13"/>
      <c r="L100" s="52">
        <v>45762</v>
      </c>
      <c r="M100" s="53">
        <v>0.4690509259259259</v>
      </c>
      <c r="N100" s="51" t="s">
        <v>227</v>
      </c>
      <c r="O100" s="51" t="s">
        <v>1</v>
      </c>
      <c r="P100" s="51" t="s">
        <v>412</v>
      </c>
      <c r="Q100" s="51" t="s">
        <v>80</v>
      </c>
      <c r="R100" s="51" t="s">
        <v>78</v>
      </c>
    </row>
    <row r="101" spans="1:18" x14ac:dyDescent="0.25">
      <c r="A101" s="13"/>
      <c r="B101" s="13"/>
      <c r="L101" s="52">
        <v>45762</v>
      </c>
      <c r="M101" s="53">
        <v>0.4690509259259259</v>
      </c>
      <c r="N101" s="51" t="s">
        <v>228</v>
      </c>
      <c r="O101" s="51" t="s">
        <v>1</v>
      </c>
      <c r="P101" s="51" t="s">
        <v>413</v>
      </c>
      <c r="Q101" s="51" t="s">
        <v>80</v>
      </c>
      <c r="R101" s="51" t="s">
        <v>78</v>
      </c>
    </row>
    <row r="102" spans="1:18" x14ac:dyDescent="0.25">
      <c r="A102" s="13"/>
      <c r="B102" s="13"/>
      <c r="L102" s="52">
        <v>45762</v>
      </c>
      <c r="M102" s="53">
        <v>0.4690509259259259</v>
      </c>
      <c r="N102" s="51" t="s">
        <v>229</v>
      </c>
      <c r="O102" s="51" t="s">
        <v>1</v>
      </c>
      <c r="P102" s="51" t="s">
        <v>414</v>
      </c>
      <c r="Q102" s="51" t="s">
        <v>80</v>
      </c>
      <c r="R102" s="51" t="s">
        <v>78</v>
      </c>
    </row>
    <row r="103" spans="1:18" x14ac:dyDescent="0.25">
      <c r="A103" s="13"/>
      <c r="B103" s="13"/>
      <c r="L103" s="52">
        <v>45762</v>
      </c>
      <c r="M103" s="53">
        <v>0.4690509259259259</v>
      </c>
      <c r="N103" s="51" t="s">
        <v>230</v>
      </c>
      <c r="O103" s="51" t="s">
        <v>1</v>
      </c>
      <c r="P103" s="51" t="s">
        <v>415</v>
      </c>
      <c r="Q103" s="51" t="s">
        <v>80</v>
      </c>
      <c r="R103" s="51" t="s">
        <v>78</v>
      </c>
    </row>
    <row r="104" spans="1:18" x14ac:dyDescent="0.25">
      <c r="A104" s="13"/>
      <c r="B104" s="13"/>
      <c r="L104" s="52">
        <v>45762</v>
      </c>
      <c r="M104" s="53">
        <v>0.4690509259259259</v>
      </c>
      <c r="N104" s="51" t="s">
        <v>231</v>
      </c>
      <c r="O104" s="51" t="s">
        <v>1</v>
      </c>
      <c r="P104" s="51" t="s">
        <v>416</v>
      </c>
      <c r="Q104" s="51" t="s">
        <v>80</v>
      </c>
      <c r="R104" s="51" t="s">
        <v>78</v>
      </c>
    </row>
    <row r="105" spans="1:18" x14ac:dyDescent="0.25">
      <c r="A105" s="13"/>
      <c r="B105" s="13"/>
      <c r="L105" s="52">
        <v>45762</v>
      </c>
      <c r="M105" s="53">
        <v>0.4690509259259259</v>
      </c>
      <c r="N105" s="51" t="s">
        <v>232</v>
      </c>
      <c r="O105" s="51" t="s">
        <v>1</v>
      </c>
      <c r="P105" s="51" t="s">
        <v>417</v>
      </c>
      <c r="Q105" s="51" t="s">
        <v>80</v>
      </c>
      <c r="R105" s="51" t="s">
        <v>78</v>
      </c>
    </row>
    <row r="106" spans="1:18" x14ac:dyDescent="0.25">
      <c r="A106" s="13"/>
      <c r="B106" s="13"/>
      <c r="L106" s="52">
        <v>45762</v>
      </c>
      <c r="M106" s="53">
        <v>0.4690509259259259</v>
      </c>
      <c r="N106" s="51" t="s">
        <v>233</v>
      </c>
      <c r="O106" s="51" t="s">
        <v>1</v>
      </c>
      <c r="P106" s="51" t="s">
        <v>418</v>
      </c>
      <c r="Q106" s="51" t="s">
        <v>80</v>
      </c>
      <c r="R106" s="51" t="s">
        <v>78</v>
      </c>
    </row>
    <row r="107" spans="1:18" x14ac:dyDescent="0.25">
      <c r="A107" s="13"/>
      <c r="B107" s="13"/>
      <c r="L107" s="52">
        <v>45762</v>
      </c>
      <c r="M107" s="53">
        <v>0.4690509259259259</v>
      </c>
      <c r="N107" s="51" t="s">
        <v>234</v>
      </c>
      <c r="O107" s="51" t="s">
        <v>1</v>
      </c>
      <c r="P107" s="51" t="s">
        <v>419</v>
      </c>
      <c r="Q107" s="51" t="s">
        <v>80</v>
      </c>
      <c r="R107" s="51" t="s">
        <v>78</v>
      </c>
    </row>
    <row r="108" spans="1:18" x14ac:dyDescent="0.25">
      <c r="A108" s="13"/>
      <c r="B108" s="13"/>
      <c r="L108" s="52">
        <v>45762</v>
      </c>
      <c r="M108" s="53">
        <v>0.4690509259259259</v>
      </c>
      <c r="N108" s="51" t="s">
        <v>235</v>
      </c>
      <c r="O108" s="51" t="s">
        <v>1</v>
      </c>
      <c r="P108" s="51" t="s">
        <v>420</v>
      </c>
      <c r="Q108" s="51" t="s">
        <v>80</v>
      </c>
      <c r="R108" s="51" t="s">
        <v>78</v>
      </c>
    </row>
    <row r="109" spans="1:18" x14ac:dyDescent="0.25">
      <c r="A109" s="13"/>
      <c r="B109" s="13"/>
      <c r="L109" s="52">
        <v>45762</v>
      </c>
      <c r="M109" s="53">
        <v>0.4690509259259259</v>
      </c>
      <c r="N109" s="51" t="s">
        <v>236</v>
      </c>
      <c r="O109" s="51" t="s">
        <v>1</v>
      </c>
      <c r="P109" s="51" t="s">
        <v>421</v>
      </c>
      <c r="Q109" s="51" t="s">
        <v>80</v>
      </c>
      <c r="R109" s="51" t="s">
        <v>78</v>
      </c>
    </row>
    <row r="110" spans="1:18" x14ac:dyDescent="0.25">
      <c r="A110" s="13"/>
      <c r="B110" s="13"/>
      <c r="L110" s="52">
        <v>45762</v>
      </c>
      <c r="M110" s="53">
        <v>0.4690509259259259</v>
      </c>
      <c r="N110" s="51" t="s">
        <v>237</v>
      </c>
      <c r="O110" s="51" t="s">
        <v>1</v>
      </c>
      <c r="P110" s="51" t="s">
        <v>422</v>
      </c>
      <c r="Q110" s="51" t="s">
        <v>80</v>
      </c>
      <c r="R110" s="51" t="s">
        <v>78</v>
      </c>
    </row>
    <row r="111" spans="1:18" x14ac:dyDescent="0.25">
      <c r="A111" s="13"/>
      <c r="B111" s="13"/>
      <c r="L111" s="52">
        <v>45762</v>
      </c>
      <c r="M111" s="53">
        <v>0.4690509259259259</v>
      </c>
      <c r="N111" s="51" t="s">
        <v>238</v>
      </c>
      <c r="O111" s="51" t="s">
        <v>1</v>
      </c>
      <c r="P111" s="51" t="s">
        <v>423</v>
      </c>
      <c r="Q111" s="51" t="s">
        <v>80</v>
      </c>
      <c r="R111" s="51" t="s">
        <v>78</v>
      </c>
    </row>
    <row r="112" spans="1:18" x14ac:dyDescent="0.25">
      <c r="A112" s="13"/>
      <c r="B112" s="13"/>
      <c r="L112" s="52">
        <v>45762</v>
      </c>
      <c r="M112" s="53">
        <v>0.4690509259259259</v>
      </c>
      <c r="N112" s="51" t="s">
        <v>239</v>
      </c>
      <c r="O112" s="51" t="s">
        <v>1</v>
      </c>
      <c r="P112" s="51" t="s">
        <v>424</v>
      </c>
      <c r="Q112" s="51" t="s">
        <v>80</v>
      </c>
      <c r="R112" s="51" t="s">
        <v>78</v>
      </c>
    </row>
    <row r="113" spans="1:18" x14ac:dyDescent="0.25">
      <c r="A113" s="13"/>
      <c r="B113" s="13"/>
      <c r="L113" s="52">
        <v>45762</v>
      </c>
      <c r="M113" s="53">
        <v>0.4690509259259259</v>
      </c>
      <c r="N113" s="51" t="s">
        <v>240</v>
      </c>
      <c r="O113" s="51" t="s">
        <v>1</v>
      </c>
      <c r="P113" s="51" t="s">
        <v>425</v>
      </c>
      <c r="Q113" s="51" t="s">
        <v>80</v>
      </c>
      <c r="R113" s="51" t="s">
        <v>78</v>
      </c>
    </row>
    <row r="114" spans="1:18" x14ac:dyDescent="0.25">
      <c r="A114" s="13"/>
      <c r="B114" s="13"/>
      <c r="L114" s="52">
        <v>45762</v>
      </c>
      <c r="M114" s="53">
        <v>0.4690509259259259</v>
      </c>
      <c r="N114" s="51" t="s">
        <v>241</v>
      </c>
      <c r="O114" s="51" t="s">
        <v>1</v>
      </c>
      <c r="P114" s="51" t="s">
        <v>426</v>
      </c>
      <c r="Q114" s="51" t="s">
        <v>80</v>
      </c>
      <c r="R114" s="51" t="s">
        <v>78</v>
      </c>
    </row>
    <row r="115" spans="1:18" x14ac:dyDescent="0.25">
      <c r="A115" s="13"/>
      <c r="B115" s="13"/>
      <c r="L115" s="52">
        <v>45762</v>
      </c>
      <c r="M115" s="53">
        <v>0.4690509259259259</v>
      </c>
      <c r="N115" s="51" t="s">
        <v>242</v>
      </c>
      <c r="O115" s="51" t="s">
        <v>1</v>
      </c>
      <c r="P115" s="51" t="s">
        <v>427</v>
      </c>
      <c r="Q115" s="51" t="s">
        <v>80</v>
      </c>
      <c r="R115" s="51" t="s">
        <v>78</v>
      </c>
    </row>
    <row r="116" spans="1:18" x14ac:dyDescent="0.25">
      <c r="A116" s="13"/>
      <c r="B116" s="13"/>
      <c r="L116" s="52">
        <v>45762</v>
      </c>
      <c r="M116" s="53">
        <v>0.4690509259259259</v>
      </c>
      <c r="N116" s="51" t="s">
        <v>243</v>
      </c>
      <c r="O116" s="51" t="s">
        <v>1</v>
      </c>
      <c r="P116" s="51" t="s">
        <v>428</v>
      </c>
      <c r="Q116" s="51" t="s">
        <v>80</v>
      </c>
      <c r="R116" s="51" t="s">
        <v>78</v>
      </c>
    </row>
    <row r="117" spans="1:18" x14ac:dyDescent="0.25">
      <c r="A117" s="13"/>
      <c r="B117" s="13"/>
      <c r="L117" s="52">
        <v>45762</v>
      </c>
      <c r="M117" s="53">
        <v>0.4690509259259259</v>
      </c>
      <c r="N117" s="51" t="s">
        <v>244</v>
      </c>
      <c r="O117" s="51" t="s">
        <v>1</v>
      </c>
      <c r="P117" s="51" t="s">
        <v>429</v>
      </c>
      <c r="Q117" s="51" t="s">
        <v>80</v>
      </c>
      <c r="R117" s="51" t="s">
        <v>78</v>
      </c>
    </row>
    <row r="118" spans="1:18" x14ac:dyDescent="0.25">
      <c r="A118" s="13"/>
      <c r="B118" s="13"/>
      <c r="L118" s="52">
        <v>45762</v>
      </c>
      <c r="M118" s="53">
        <v>0.4690509259259259</v>
      </c>
      <c r="N118" s="51" t="s">
        <v>245</v>
      </c>
      <c r="O118" s="51" t="s">
        <v>1</v>
      </c>
      <c r="P118" s="51" t="s">
        <v>430</v>
      </c>
      <c r="Q118" s="51" t="s">
        <v>80</v>
      </c>
      <c r="R118" s="51" t="s">
        <v>78</v>
      </c>
    </row>
    <row r="119" spans="1:18" x14ac:dyDescent="0.25">
      <c r="A119" s="13"/>
      <c r="B119" s="13"/>
      <c r="L119" s="52">
        <v>45762</v>
      </c>
      <c r="M119" s="53">
        <v>0.4690509259259259</v>
      </c>
      <c r="N119" s="51" t="s">
        <v>246</v>
      </c>
      <c r="O119" s="51" t="s">
        <v>1</v>
      </c>
      <c r="P119" s="51" t="s">
        <v>431</v>
      </c>
      <c r="Q119" s="51" t="s">
        <v>80</v>
      </c>
      <c r="R119" s="51" t="s">
        <v>78</v>
      </c>
    </row>
    <row r="120" spans="1:18" x14ac:dyDescent="0.25">
      <c r="A120" s="13"/>
      <c r="B120" s="13"/>
      <c r="L120" s="52">
        <v>45762</v>
      </c>
      <c r="M120" s="53">
        <v>0.4690509259259259</v>
      </c>
      <c r="N120" s="51" t="s">
        <v>247</v>
      </c>
      <c r="O120" s="51" t="s">
        <v>1</v>
      </c>
      <c r="P120" s="51" t="s">
        <v>432</v>
      </c>
      <c r="Q120" s="51" t="s">
        <v>80</v>
      </c>
      <c r="R120" s="51" t="s">
        <v>78</v>
      </c>
    </row>
    <row r="121" spans="1:18" x14ac:dyDescent="0.25">
      <c r="A121" s="13"/>
      <c r="B121" s="13"/>
      <c r="L121" s="52">
        <v>45762</v>
      </c>
      <c r="M121" s="53">
        <v>0.4690509259259259</v>
      </c>
      <c r="N121" s="51" t="s">
        <v>248</v>
      </c>
      <c r="O121" s="51" t="s">
        <v>1</v>
      </c>
      <c r="P121" s="51" t="s">
        <v>433</v>
      </c>
      <c r="Q121" s="51" t="s">
        <v>80</v>
      </c>
      <c r="R121" s="51" t="s">
        <v>78</v>
      </c>
    </row>
    <row r="122" spans="1:18" x14ac:dyDescent="0.25">
      <c r="A122" s="13"/>
      <c r="B122" s="13"/>
      <c r="L122" s="52">
        <v>45762</v>
      </c>
      <c r="M122" s="53">
        <v>0.4690509259259259</v>
      </c>
      <c r="N122" s="51" t="s">
        <v>249</v>
      </c>
      <c r="O122" s="51" t="s">
        <v>1</v>
      </c>
      <c r="P122" s="51" t="s">
        <v>434</v>
      </c>
      <c r="Q122" s="51" t="s">
        <v>80</v>
      </c>
      <c r="R122" s="51" t="s">
        <v>78</v>
      </c>
    </row>
    <row r="123" spans="1:18" x14ac:dyDescent="0.25">
      <c r="A123" s="13"/>
      <c r="B123" s="13"/>
      <c r="L123" s="52">
        <v>45762</v>
      </c>
      <c r="M123" s="53">
        <v>0.4690509259259259</v>
      </c>
      <c r="N123" s="51" t="s">
        <v>250</v>
      </c>
      <c r="O123" s="51" t="s">
        <v>1</v>
      </c>
      <c r="P123" s="51" t="s">
        <v>435</v>
      </c>
      <c r="Q123" s="51" t="s">
        <v>80</v>
      </c>
      <c r="R123" s="51" t="s">
        <v>78</v>
      </c>
    </row>
    <row r="124" spans="1:18" x14ac:dyDescent="0.25">
      <c r="A124" s="13"/>
      <c r="B124" s="13"/>
      <c r="L124" s="52">
        <v>45762</v>
      </c>
      <c r="M124" s="53">
        <v>0.4690509259259259</v>
      </c>
      <c r="N124" s="51" t="s">
        <v>251</v>
      </c>
      <c r="O124" s="51" t="s">
        <v>1</v>
      </c>
      <c r="P124" s="51" t="s">
        <v>436</v>
      </c>
      <c r="Q124" s="51" t="s">
        <v>80</v>
      </c>
      <c r="R124" s="51" t="s">
        <v>78</v>
      </c>
    </row>
    <row r="125" spans="1:18" x14ac:dyDescent="0.25">
      <c r="A125" s="13"/>
      <c r="B125" s="13"/>
      <c r="L125" s="52">
        <v>45762</v>
      </c>
      <c r="M125" s="53">
        <v>0.4690509259259259</v>
      </c>
      <c r="N125" s="51" t="s">
        <v>252</v>
      </c>
      <c r="O125" s="51" t="s">
        <v>1</v>
      </c>
      <c r="P125" s="51" t="s">
        <v>437</v>
      </c>
      <c r="Q125" s="51" t="s">
        <v>80</v>
      </c>
      <c r="R125" s="51" t="s">
        <v>78</v>
      </c>
    </row>
    <row r="126" spans="1:18" x14ac:dyDescent="0.25">
      <c r="A126" s="13"/>
      <c r="B126" s="13"/>
      <c r="L126" s="52">
        <v>45762</v>
      </c>
      <c r="M126" s="53">
        <v>0.4690509259259259</v>
      </c>
      <c r="N126" s="51" t="s">
        <v>253</v>
      </c>
      <c r="O126" s="51" t="s">
        <v>1</v>
      </c>
      <c r="P126" s="51" t="s">
        <v>438</v>
      </c>
      <c r="Q126" s="51" t="s">
        <v>80</v>
      </c>
      <c r="R126" s="51" t="s">
        <v>78</v>
      </c>
    </row>
    <row r="127" spans="1:18" x14ac:dyDescent="0.25">
      <c r="A127" s="13"/>
      <c r="B127" s="13"/>
      <c r="L127" s="52">
        <v>45762</v>
      </c>
      <c r="M127" s="53">
        <v>0.4690509259259259</v>
      </c>
      <c r="N127" s="51" t="s">
        <v>254</v>
      </c>
      <c r="O127" s="51" t="s">
        <v>1</v>
      </c>
      <c r="P127" s="51" t="s">
        <v>439</v>
      </c>
      <c r="Q127" s="51" t="s">
        <v>80</v>
      </c>
      <c r="R127" s="51" t="s">
        <v>78</v>
      </c>
    </row>
    <row r="128" spans="1:18" x14ac:dyDescent="0.25">
      <c r="A128" s="13"/>
      <c r="B128" s="13"/>
      <c r="L128" s="52">
        <v>45762</v>
      </c>
      <c r="M128" s="53">
        <v>0.4690509259259259</v>
      </c>
      <c r="N128" s="51" t="s">
        <v>255</v>
      </c>
      <c r="O128" s="51" t="s">
        <v>1</v>
      </c>
      <c r="P128" s="51" t="s">
        <v>440</v>
      </c>
      <c r="Q128" s="51" t="s">
        <v>80</v>
      </c>
      <c r="R128" s="51" t="s">
        <v>78</v>
      </c>
    </row>
    <row r="129" spans="1:18" x14ac:dyDescent="0.25">
      <c r="A129" s="13"/>
      <c r="B129" s="13"/>
      <c r="L129" s="52">
        <v>45762</v>
      </c>
      <c r="M129" s="53">
        <v>0.4690509259259259</v>
      </c>
      <c r="N129" s="51" t="s">
        <v>256</v>
      </c>
      <c r="O129" s="51" t="s">
        <v>1</v>
      </c>
      <c r="P129" s="51" t="s">
        <v>441</v>
      </c>
      <c r="Q129" s="51" t="s">
        <v>80</v>
      </c>
      <c r="R129" s="51" t="s">
        <v>78</v>
      </c>
    </row>
    <row r="130" spans="1:18" x14ac:dyDescent="0.25">
      <c r="A130" s="13"/>
      <c r="B130" s="13"/>
      <c r="L130" s="52">
        <v>45762</v>
      </c>
      <c r="M130" s="53">
        <v>0.4690509259259259</v>
      </c>
      <c r="N130" s="51" t="s">
        <v>257</v>
      </c>
      <c r="O130" s="51" t="s">
        <v>1</v>
      </c>
      <c r="P130" s="51" t="s">
        <v>442</v>
      </c>
      <c r="Q130" s="51" t="s">
        <v>80</v>
      </c>
      <c r="R130" s="51" t="s">
        <v>78</v>
      </c>
    </row>
    <row r="131" spans="1:18" x14ac:dyDescent="0.25">
      <c r="A131" s="13"/>
      <c r="B131" s="13"/>
      <c r="L131" s="52">
        <v>45762</v>
      </c>
      <c r="M131" s="53">
        <v>0.4690509259259259</v>
      </c>
      <c r="N131" s="51" t="s">
        <v>258</v>
      </c>
      <c r="O131" s="51" t="s">
        <v>1</v>
      </c>
      <c r="P131" s="51" t="s">
        <v>443</v>
      </c>
      <c r="Q131" s="51" t="s">
        <v>80</v>
      </c>
      <c r="R131" s="51" t="s">
        <v>78</v>
      </c>
    </row>
    <row r="132" spans="1:18" x14ac:dyDescent="0.25">
      <c r="A132" s="13"/>
      <c r="B132" s="13"/>
      <c r="L132" s="52">
        <v>45762</v>
      </c>
      <c r="M132" s="53">
        <v>0.4690509259259259</v>
      </c>
      <c r="N132" s="51" t="s">
        <v>259</v>
      </c>
      <c r="O132" s="51" t="s">
        <v>1</v>
      </c>
      <c r="P132" s="51" t="s">
        <v>444</v>
      </c>
      <c r="Q132" s="51" t="s">
        <v>80</v>
      </c>
      <c r="R132" s="51" t="s">
        <v>78</v>
      </c>
    </row>
    <row r="133" spans="1:18" x14ac:dyDescent="0.25">
      <c r="A133" s="13"/>
      <c r="B133" s="13"/>
      <c r="L133" s="52">
        <v>45762</v>
      </c>
      <c r="M133" s="53">
        <v>0.4690509259259259</v>
      </c>
      <c r="N133" s="51" t="s">
        <v>260</v>
      </c>
      <c r="O133" s="51" t="s">
        <v>1</v>
      </c>
      <c r="P133" s="51" t="s">
        <v>445</v>
      </c>
      <c r="Q133" s="51" t="s">
        <v>80</v>
      </c>
      <c r="R133" s="51" t="s">
        <v>78</v>
      </c>
    </row>
    <row r="134" spans="1:18" x14ac:dyDescent="0.25">
      <c r="A134" s="13"/>
      <c r="B134" s="13"/>
      <c r="L134" s="52">
        <v>45762</v>
      </c>
      <c r="M134" s="53">
        <v>0.4690509259259259</v>
      </c>
      <c r="N134" s="51" t="s">
        <v>261</v>
      </c>
      <c r="O134" s="51" t="s">
        <v>1</v>
      </c>
      <c r="P134" s="51" t="s">
        <v>446</v>
      </c>
      <c r="Q134" s="51" t="s">
        <v>80</v>
      </c>
      <c r="R134" s="51" t="s">
        <v>78</v>
      </c>
    </row>
    <row r="135" spans="1:18" x14ac:dyDescent="0.25">
      <c r="A135" s="13"/>
      <c r="B135" s="13"/>
      <c r="L135" s="52">
        <v>45762</v>
      </c>
      <c r="M135" s="53">
        <v>0.4690509259259259</v>
      </c>
      <c r="N135" s="51" t="s">
        <v>262</v>
      </c>
      <c r="O135" s="51" t="s">
        <v>1</v>
      </c>
      <c r="P135" s="51" t="s">
        <v>447</v>
      </c>
      <c r="Q135" s="51" t="s">
        <v>80</v>
      </c>
      <c r="R135" s="51" t="s">
        <v>78</v>
      </c>
    </row>
    <row r="136" spans="1:18" x14ac:dyDescent="0.25">
      <c r="A136" s="13"/>
      <c r="B136" s="13"/>
      <c r="L136" s="52">
        <v>45762</v>
      </c>
      <c r="M136" s="53">
        <v>0.4690509259259259</v>
      </c>
      <c r="N136" s="51" t="s">
        <v>263</v>
      </c>
      <c r="O136" s="51" t="s">
        <v>1</v>
      </c>
      <c r="P136" s="51" t="s">
        <v>448</v>
      </c>
      <c r="Q136" s="51" t="s">
        <v>80</v>
      </c>
      <c r="R136" s="51" t="s">
        <v>78</v>
      </c>
    </row>
    <row r="137" spans="1:18" x14ac:dyDescent="0.25">
      <c r="A137" s="13"/>
      <c r="B137" s="13"/>
      <c r="L137" s="52">
        <v>45762</v>
      </c>
      <c r="M137" s="53">
        <v>0.4690509259259259</v>
      </c>
      <c r="N137" s="51" t="s">
        <v>264</v>
      </c>
      <c r="O137" s="51" t="s">
        <v>1</v>
      </c>
      <c r="P137" s="51" t="s">
        <v>449</v>
      </c>
      <c r="Q137" s="51" t="s">
        <v>80</v>
      </c>
      <c r="R137" s="51" t="s">
        <v>78</v>
      </c>
    </row>
    <row r="138" spans="1:18" x14ac:dyDescent="0.25">
      <c r="A138" s="13"/>
      <c r="B138" s="13"/>
      <c r="L138" s="52">
        <v>45762</v>
      </c>
      <c r="M138" s="53">
        <v>0.4690509259259259</v>
      </c>
      <c r="N138" s="51" t="s">
        <v>265</v>
      </c>
      <c r="O138" s="51" t="s">
        <v>1</v>
      </c>
      <c r="P138" s="51" t="s">
        <v>450</v>
      </c>
      <c r="Q138" s="51" t="s">
        <v>80</v>
      </c>
      <c r="R138" s="51" t="s">
        <v>78</v>
      </c>
    </row>
    <row r="139" spans="1:18" x14ac:dyDescent="0.25">
      <c r="A139" s="13"/>
      <c r="B139" s="13"/>
      <c r="L139" s="52">
        <v>45762</v>
      </c>
      <c r="M139" s="53">
        <v>0.4690509259259259</v>
      </c>
      <c r="N139" s="51" t="s">
        <v>266</v>
      </c>
      <c r="O139" s="51" t="s">
        <v>1</v>
      </c>
      <c r="P139" s="51" t="s">
        <v>451</v>
      </c>
      <c r="Q139" s="51" t="s">
        <v>80</v>
      </c>
      <c r="R139" s="51" t="s">
        <v>78</v>
      </c>
    </row>
    <row r="140" spans="1:18" x14ac:dyDescent="0.25">
      <c r="A140" s="13"/>
      <c r="B140" s="13"/>
      <c r="L140" s="52">
        <v>45762</v>
      </c>
      <c r="M140" s="53">
        <v>0.4690509259259259</v>
      </c>
      <c r="N140" s="51" t="s">
        <v>267</v>
      </c>
      <c r="O140" s="51" t="s">
        <v>1</v>
      </c>
      <c r="P140" s="51" t="s">
        <v>452</v>
      </c>
      <c r="Q140" s="51" t="s">
        <v>80</v>
      </c>
      <c r="R140" s="51" t="s">
        <v>78</v>
      </c>
    </row>
    <row r="141" spans="1:18" x14ac:dyDescent="0.25">
      <c r="A141" s="13"/>
      <c r="B141" s="13"/>
      <c r="L141" s="52">
        <v>45762</v>
      </c>
      <c r="M141" s="53">
        <v>0.4690509259259259</v>
      </c>
      <c r="N141" s="51" t="s">
        <v>268</v>
      </c>
      <c r="O141" s="51" t="s">
        <v>1</v>
      </c>
      <c r="P141" s="51" t="s">
        <v>453</v>
      </c>
      <c r="Q141" s="51" t="s">
        <v>80</v>
      </c>
      <c r="R141" s="51" t="s">
        <v>78</v>
      </c>
    </row>
    <row r="142" spans="1:18" x14ac:dyDescent="0.25">
      <c r="A142" s="13"/>
      <c r="B142" s="13"/>
      <c r="L142" s="52">
        <v>45762</v>
      </c>
      <c r="M142" s="53">
        <v>0.4690509259259259</v>
      </c>
      <c r="N142" s="51" t="s">
        <v>269</v>
      </c>
      <c r="O142" s="51" t="s">
        <v>1</v>
      </c>
      <c r="P142" s="51" t="s">
        <v>454</v>
      </c>
      <c r="Q142" s="51" t="s">
        <v>80</v>
      </c>
      <c r="R142" s="51" t="s">
        <v>78</v>
      </c>
    </row>
    <row r="143" spans="1:18" x14ac:dyDescent="0.25">
      <c r="A143" s="13"/>
      <c r="B143" s="13"/>
      <c r="L143" s="52">
        <v>45762</v>
      </c>
      <c r="M143" s="53">
        <v>0.4690509259259259</v>
      </c>
      <c r="N143" s="51" t="s">
        <v>270</v>
      </c>
      <c r="O143" s="51" t="s">
        <v>1</v>
      </c>
      <c r="P143" s="51" t="s">
        <v>455</v>
      </c>
      <c r="Q143" s="51" t="s">
        <v>80</v>
      </c>
      <c r="R143" s="51" t="s">
        <v>78</v>
      </c>
    </row>
    <row r="144" spans="1:18" x14ac:dyDescent="0.25">
      <c r="A144" s="13"/>
      <c r="B144" s="13"/>
      <c r="L144" s="52">
        <v>45762</v>
      </c>
      <c r="M144" s="53">
        <v>0.4690509259259259</v>
      </c>
      <c r="N144" s="51" t="s">
        <v>271</v>
      </c>
      <c r="O144" s="51" t="s">
        <v>1</v>
      </c>
      <c r="P144" s="51" t="s">
        <v>456</v>
      </c>
      <c r="Q144" s="51" t="s">
        <v>80</v>
      </c>
      <c r="R144" s="51" t="s">
        <v>78</v>
      </c>
    </row>
    <row r="145" spans="1:18" x14ac:dyDescent="0.25">
      <c r="A145" s="13"/>
      <c r="B145" s="13"/>
      <c r="L145" s="52">
        <v>45762</v>
      </c>
      <c r="M145" s="53">
        <v>0.4690509259259259</v>
      </c>
      <c r="N145" s="51" t="s">
        <v>272</v>
      </c>
      <c r="O145" s="51" t="s">
        <v>1</v>
      </c>
      <c r="P145" s="51" t="s">
        <v>457</v>
      </c>
      <c r="Q145" s="51" t="s">
        <v>80</v>
      </c>
      <c r="R145" s="51" t="s">
        <v>78</v>
      </c>
    </row>
    <row r="146" spans="1:18" x14ac:dyDescent="0.25">
      <c r="A146" s="13"/>
      <c r="B146" s="13"/>
      <c r="L146" s="52">
        <v>45762</v>
      </c>
      <c r="M146" s="53">
        <v>0.4690509259259259</v>
      </c>
      <c r="N146" s="51" t="s">
        <v>273</v>
      </c>
      <c r="O146" s="51" t="s">
        <v>1</v>
      </c>
      <c r="P146" s="51" t="s">
        <v>458</v>
      </c>
      <c r="Q146" s="51" t="s">
        <v>80</v>
      </c>
      <c r="R146" s="51" t="s">
        <v>78</v>
      </c>
    </row>
    <row r="147" spans="1:18" x14ac:dyDescent="0.25">
      <c r="A147" s="13"/>
      <c r="B147" s="13"/>
      <c r="L147" s="52">
        <v>45762</v>
      </c>
      <c r="M147" s="53">
        <v>0.4690509259259259</v>
      </c>
      <c r="N147" s="51" t="s">
        <v>274</v>
      </c>
      <c r="O147" s="51" t="s">
        <v>1</v>
      </c>
      <c r="P147" s="51" t="s">
        <v>459</v>
      </c>
      <c r="Q147" s="51" t="s">
        <v>80</v>
      </c>
      <c r="R147" s="51" t="s">
        <v>78</v>
      </c>
    </row>
    <row r="148" spans="1:18" x14ac:dyDescent="0.25">
      <c r="A148" s="13"/>
      <c r="B148" s="13"/>
      <c r="L148" s="52">
        <v>45762</v>
      </c>
      <c r="M148" s="53">
        <v>0.4690509259259259</v>
      </c>
      <c r="N148" s="51" t="s">
        <v>275</v>
      </c>
      <c r="O148" s="51" t="s">
        <v>1</v>
      </c>
      <c r="P148" s="51" t="s">
        <v>460</v>
      </c>
      <c r="Q148" s="51" t="s">
        <v>80</v>
      </c>
      <c r="R148" s="51" t="s">
        <v>78</v>
      </c>
    </row>
    <row r="149" spans="1:18" x14ac:dyDescent="0.25">
      <c r="A149" s="13"/>
      <c r="B149" s="13"/>
      <c r="L149" s="52">
        <v>45762</v>
      </c>
      <c r="M149" s="53">
        <v>0.4690509259259259</v>
      </c>
      <c r="N149" s="51" t="s">
        <v>276</v>
      </c>
      <c r="O149" s="51" t="s">
        <v>1</v>
      </c>
      <c r="P149" s="51" t="s">
        <v>461</v>
      </c>
      <c r="Q149" s="51" t="s">
        <v>80</v>
      </c>
      <c r="R149" s="51" t="s">
        <v>78</v>
      </c>
    </row>
    <row r="150" spans="1:18" x14ac:dyDescent="0.25">
      <c r="A150" s="13"/>
      <c r="B150" s="13"/>
      <c r="L150" s="52">
        <v>45762</v>
      </c>
      <c r="M150" s="53">
        <v>0.4690509259259259</v>
      </c>
      <c r="N150" s="51" t="s">
        <v>277</v>
      </c>
      <c r="O150" s="51" t="s">
        <v>1</v>
      </c>
      <c r="P150" s="51" t="s">
        <v>462</v>
      </c>
      <c r="Q150" s="51" t="s">
        <v>80</v>
      </c>
      <c r="R150" s="51" t="s">
        <v>78</v>
      </c>
    </row>
    <row r="151" spans="1:18" x14ac:dyDescent="0.25">
      <c r="A151" s="13"/>
      <c r="B151" s="13"/>
      <c r="L151" s="52">
        <v>45762</v>
      </c>
      <c r="M151" s="53">
        <v>0.4690509259259259</v>
      </c>
      <c r="N151" s="51" t="s">
        <v>278</v>
      </c>
      <c r="O151" s="51" t="s">
        <v>1</v>
      </c>
      <c r="P151" s="51" t="s">
        <v>463</v>
      </c>
      <c r="Q151" s="51" t="s">
        <v>80</v>
      </c>
      <c r="R151" s="51" t="s">
        <v>78</v>
      </c>
    </row>
    <row r="152" spans="1:18" x14ac:dyDescent="0.25">
      <c r="A152" s="13"/>
      <c r="B152" s="13"/>
      <c r="L152" s="52">
        <v>45762</v>
      </c>
      <c r="M152" s="53">
        <v>0.4690509259259259</v>
      </c>
      <c r="N152" s="51" t="s">
        <v>279</v>
      </c>
      <c r="O152" s="51" t="s">
        <v>1</v>
      </c>
      <c r="P152" s="51" t="s">
        <v>464</v>
      </c>
      <c r="Q152" s="51" t="s">
        <v>80</v>
      </c>
      <c r="R152" s="51" t="s">
        <v>78</v>
      </c>
    </row>
    <row r="153" spans="1:18" x14ac:dyDescent="0.25">
      <c r="A153" s="13"/>
      <c r="B153" s="13"/>
      <c r="L153" s="52">
        <v>45762</v>
      </c>
      <c r="M153" s="53">
        <v>0.4690509259259259</v>
      </c>
      <c r="N153" s="51" t="s">
        <v>280</v>
      </c>
      <c r="O153" s="51" t="s">
        <v>1</v>
      </c>
      <c r="P153" s="51" t="s">
        <v>465</v>
      </c>
      <c r="Q153" s="51" t="s">
        <v>80</v>
      </c>
      <c r="R153" s="51" t="s">
        <v>78</v>
      </c>
    </row>
    <row r="154" spans="1:18" x14ac:dyDescent="0.25">
      <c r="A154" s="13"/>
      <c r="B154" s="13"/>
      <c r="L154" s="52">
        <v>45762</v>
      </c>
      <c r="M154" s="53">
        <v>0.4690509259259259</v>
      </c>
      <c r="N154" s="51" t="s">
        <v>281</v>
      </c>
      <c r="O154" s="51" t="s">
        <v>1</v>
      </c>
      <c r="P154" s="51" t="s">
        <v>466</v>
      </c>
      <c r="Q154" s="51" t="s">
        <v>80</v>
      </c>
      <c r="R154" s="51" t="s">
        <v>78</v>
      </c>
    </row>
    <row r="155" spans="1:18" x14ac:dyDescent="0.25">
      <c r="A155" s="13"/>
      <c r="B155" s="13"/>
      <c r="L155" s="52">
        <v>45762</v>
      </c>
      <c r="M155" s="53">
        <v>0.4690509259259259</v>
      </c>
      <c r="N155" s="51" t="s">
        <v>282</v>
      </c>
      <c r="O155" s="51" t="s">
        <v>1</v>
      </c>
      <c r="P155" s="51" t="s">
        <v>89</v>
      </c>
      <c r="Q155" s="51" t="s">
        <v>80</v>
      </c>
      <c r="R155" s="51" t="s">
        <v>78</v>
      </c>
    </row>
    <row r="156" spans="1:18" x14ac:dyDescent="0.25">
      <c r="A156" s="13"/>
      <c r="B156" s="13"/>
      <c r="L156" s="52">
        <v>45762</v>
      </c>
      <c r="M156" s="53">
        <v>0.4690509259259259</v>
      </c>
      <c r="N156" s="51" t="s">
        <v>283</v>
      </c>
      <c r="O156" s="51" t="s">
        <v>1</v>
      </c>
      <c r="P156" s="51" t="s">
        <v>90</v>
      </c>
      <c r="Q156" s="51" t="s">
        <v>80</v>
      </c>
      <c r="R156" s="51" t="s">
        <v>78</v>
      </c>
    </row>
    <row r="157" spans="1:18" x14ac:dyDescent="0.25">
      <c r="A157" s="13"/>
      <c r="B157" s="13"/>
      <c r="L157" s="52">
        <v>45762</v>
      </c>
      <c r="M157" s="53">
        <v>0.4690509259259259</v>
      </c>
      <c r="N157" s="51" t="s">
        <v>284</v>
      </c>
      <c r="O157" s="51" t="s">
        <v>1</v>
      </c>
      <c r="P157" s="51" t="s">
        <v>91</v>
      </c>
      <c r="Q157" s="51" t="s">
        <v>80</v>
      </c>
      <c r="R157" s="51" t="s">
        <v>78</v>
      </c>
    </row>
    <row r="158" spans="1:18" x14ac:dyDescent="0.25">
      <c r="A158" s="13"/>
      <c r="B158" s="13"/>
      <c r="L158" s="52">
        <v>45762</v>
      </c>
      <c r="M158" s="53">
        <v>0.4690509259259259</v>
      </c>
      <c r="N158" s="51" t="s">
        <v>285</v>
      </c>
      <c r="O158" s="51" t="s">
        <v>1</v>
      </c>
      <c r="P158" s="51" t="s">
        <v>467</v>
      </c>
      <c r="Q158" s="51" t="s">
        <v>80</v>
      </c>
      <c r="R158" s="51" t="s">
        <v>78</v>
      </c>
    </row>
    <row r="159" spans="1:18" x14ac:dyDescent="0.25">
      <c r="A159" s="13"/>
      <c r="B159" s="13"/>
      <c r="L159" s="52">
        <v>45762</v>
      </c>
      <c r="M159" s="53">
        <v>0.4690509259259259</v>
      </c>
      <c r="N159" s="51" t="s">
        <v>286</v>
      </c>
      <c r="O159" s="51" t="s">
        <v>1</v>
      </c>
      <c r="P159" s="51" t="s">
        <v>468</v>
      </c>
      <c r="Q159" s="51" t="s">
        <v>80</v>
      </c>
      <c r="R159" s="51" t="s">
        <v>78</v>
      </c>
    </row>
    <row r="160" spans="1:18" x14ac:dyDescent="0.25">
      <c r="A160" s="13"/>
      <c r="B160" s="13"/>
      <c r="L160" s="52">
        <v>45762</v>
      </c>
      <c r="M160" s="53">
        <v>0.4690509259259259</v>
      </c>
      <c r="N160" s="51" t="s">
        <v>287</v>
      </c>
      <c r="O160" s="51" t="s">
        <v>1</v>
      </c>
      <c r="P160" s="51" t="s">
        <v>469</v>
      </c>
      <c r="Q160" s="51" t="s">
        <v>80</v>
      </c>
      <c r="R160" s="51" t="s">
        <v>78</v>
      </c>
    </row>
    <row r="161" spans="1:18" x14ac:dyDescent="0.25">
      <c r="A161" s="13"/>
      <c r="B161" s="13"/>
      <c r="L161" s="52">
        <v>45762</v>
      </c>
      <c r="M161" s="53">
        <v>0.4690509259259259</v>
      </c>
      <c r="N161" s="51" t="s">
        <v>288</v>
      </c>
      <c r="O161" s="51" t="s">
        <v>1</v>
      </c>
      <c r="P161" s="51" t="s">
        <v>470</v>
      </c>
      <c r="Q161" s="51" t="s">
        <v>80</v>
      </c>
      <c r="R161" s="51" t="s">
        <v>78</v>
      </c>
    </row>
    <row r="162" spans="1:18" x14ac:dyDescent="0.25">
      <c r="A162" s="13"/>
      <c r="B162" s="13"/>
      <c r="L162" s="52">
        <v>45762</v>
      </c>
      <c r="M162" s="53">
        <v>0.4690509259259259</v>
      </c>
      <c r="N162" s="51" t="s">
        <v>289</v>
      </c>
      <c r="O162" s="51" t="s">
        <v>1</v>
      </c>
      <c r="P162" s="51" t="s">
        <v>471</v>
      </c>
      <c r="Q162" s="51" t="s">
        <v>80</v>
      </c>
      <c r="R162" s="51" t="s">
        <v>78</v>
      </c>
    </row>
    <row r="163" spans="1:18" x14ac:dyDescent="0.25">
      <c r="A163" s="13"/>
      <c r="B163" s="13"/>
      <c r="L163" s="52">
        <v>45762</v>
      </c>
      <c r="M163" s="53">
        <v>0.4690509259259259</v>
      </c>
      <c r="N163" s="51" t="s">
        <v>290</v>
      </c>
      <c r="O163" s="51" t="s">
        <v>1</v>
      </c>
      <c r="P163" s="51" t="s">
        <v>472</v>
      </c>
      <c r="Q163" s="51" t="s">
        <v>80</v>
      </c>
      <c r="R163" s="51" t="s">
        <v>78</v>
      </c>
    </row>
    <row r="164" spans="1:18" x14ac:dyDescent="0.25">
      <c r="A164" s="13"/>
      <c r="B164" s="13"/>
      <c r="L164" s="52">
        <v>45762</v>
      </c>
      <c r="M164" s="53">
        <v>0.4690509259259259</v>
      </c>
      <c r="N164" s="51" t="s">
        <v>291</v>
      </c>
      <c r="O164" s="51" t="s">
        <v>1</v>
      </c>
      <c r="P164" s="51" t="s">
        <v>473</v>
      </c>
      <c r="Q164" s="51" t="s">
        <v>80</v>
      </c>
      <c r="R164" s="51" t="s">
        <v>78</v>
      </c>
    </row>
    <row r="165" spans="1:18" x14ac:dyDescent="0.25">
      <c r="A165" s="13"/>
      <c r="B165" s="13"/>
      <c r="L165" s="52">
        <v>45762</v>
      </c>
      <c r="M165" s="53">
        <v>0.4690509259259259</v>
      </c>
      <c r="N165" s="51" t="s">
        <v>292</v>
      </c>
      <c r="O165" s="51" t="s">
        <v>1</v>
      </c>
      <c r="P165" s="51" t="s">
        <v>474</v>
      </c>
      <c r="Q165" s="51" t="s">
        <v>80</v>
      </c>
      <c r="R165" s="51" t="s">
        <v>78</v>
      </c>
    </row>
    <row r="166" spans="1:18" x14ac:dyDescent="0.25">
      <c r="A166" s="13"/>
      <c r="B166" s="13"/>
      <c r="L166" s="52">
        <v>45762</v>
      </c>
      <c r="M166" s="53">
        <v>0.4690509259259259</v>
      </c>
      <c r="N166" s="51" t="s">
        <v>293</v>
      </c>
      <c r="O166" s="51" t="s">
        <v>1</v>
      </c>
      <c r="P166" s="51" t="s">
        <v>475</v>
      </c>
      <c r="Q166" s="51" t="s">
        <v>80</v>
      </c>
      <c r="R166" s="51" t="s">
        <v>78</v>
      </c>
    </row>
    <row r="167" spans="1:18" x14ac:dyDescent="0.25">
      <c r="A167" s="13"/>
      <c r="B167" s="13"/>
      <c r="L167" s="52">
        <v>45762</v>
      </c>
      <c r="M167" s="53">
        <v>0.4690509259259259</v>
      </c>
      <c r="N167" s="51" t="s">
        <v>294</v>
      </c>
      <c r="O167" s="51" t="s">
        <v>1</v>
      </c>
      <c r="P167" s="51" t="s">
        <v>476</v>
      </c>
      <c r="Q167" s="51" t="s">
        <v>80</v>
      </c>
      <c r="R167" s="51" t="s">
        <v>78</v>
      </c>
    </row>
    <row r="168" spans="1:18" x14ac:dyDescent="0.25">
      <c r="A168" s="13"/>
      <c r="B168" s="13"/>
      <c r="L168" s="52">
        <v>45762</v>
      </c>
      <c r="M168" s="53">
        <v>0.4690509259259259</v>
      </c>
      <c r="N168" s="51" t="s">
        <v>295</v>
      </c>
      <c r="O168" s="51" t="s">
        <v>1</v>
      </c>
      <c r="P168" s="51" t="s">
        <v>477</v>
      </c>
      <c r="Q168" s="51" t="s">
        <v>80</v>
      </c>
      <c r="R168" s="51" t="s">
        <v>78</v>
      </c>
    </row>
    <row r="169" spans="1:18" x14ac:dyDescent="0.25">
      <c r="A169" s="13"/>
      <c r="B169" s="13"/>
      <c r="L169" s="52">
        <v>45762</v>
      </c>
      <c r="M169" s="53">
        <v>0.4690509259259259</v>
      </c>
      <c r="N169" s="51" t="s">
        <v>296</v>
      </c>
      <c r="O169" s="51" t="s">
        <v>1</v>
      </c>
      <c r="P169" s="51" t="s">
        <v>478</v>
      </c>
      <c r="Q169" s="51" t="s">
        <v>80</v>
      </c>
      <c r="R169" s="51" t="s">
        <v>78</v>
      </c>
    </row>
    <row r="170" spans="1:18" x14ac:dyDescent="0.25">
      <c r="A170" s="13"/>
      <c r="B170" s="13"/>
      <c r="L170" s="52">
        <v>45762</v>
      </c>
      <c r="M170" s="53">
        <v>0.4690509259259259</v>
      </c>
      <c r="N170" s="51" t="s">
        <v>297</v>
      </c>
      <c r="O170" s="51" t="s">
        <v>1</v>
      </c>
      <c r="P170" s="51" t="s">
        <v>479</v>
      </c>
      <c r="Q170" s="51" t="s">
        <v>80</v>
      </c>
      <c r="R170" s="51" t="s">
        <v>78</v>
      </c>
    </row>
    <row r="171" spans="1:18" x14ac:dyDescent="0.25">
      <c r="A171" s="13"/>
      <c r="B171" s="13"/>
      <c r="L171" s="52">
        <v>45762</v>
      </c>
      <c r="M171" s="53">
        <v>0.4690509259259259</v>
      </c>
      <c r="N171" s="51" t="s">
        <v>298</v>
      </c>
      <c r="O171" s="51" t="s">
        <v>1</v>
      </c>
      <c r="P171" s="51" t="s">
        <v>480</v>
      </c>
      <c r="Q171" s="51" t="s">
        <v>80</v>
      </c>
      <c r="R171" s="51" t="s">
        <v>78</v>
      </c>
    </row>
    <row r="172" spans="1:18" x14ac:dyDescent="0.25">
      <c r="A172" s="13"/>
      <c r="B172" s="13"/>
      <c r="L172" s="52">
        <v>45762</v>
      </c>
      <c r="M172" s="53">
        <v>0.4690509259259259</v>
      </c>
      <c r="N172" s="51" t="s">
        <v>299</v>
      </c>
      <c r="O172" s="51" t="s">
        <v>1</v>
      </c>
      <c r="P172" s="51" t="s">
        <v>481</v>
      </c>
      <c r="Q172" s="51" t="s">
        <v>80</v>
      </c>
      <c r="R172" s="51" t="s">
        <v>78</v>
      </c>
    </row>
    <row r="173" spans="1:18" x14ac:dyDescent="0.25">
      <c r="A173" s="13"/>
      <c r="B173" s="13"/>
      <c r="L173" s="52">
        <v>45762</v>
      </c>
      <c r="M173" s="53">
        <v>0.4690509259259259</v>
      </c>
      <c r="N173" s="51" t="s">
        <v>300</v>
      </c>
      <c r="O173" s="51" t="s">
        <v>1</v>
      </c>
      <c r="P173" s="51" t="s">
        <v>482</v>
      </c>
      <c r="Q173" s="51" t="s">
        <v>80</v>
      </c>
      <c r="R173" s="51" t="s">
        <v>78</v>
      </c>
    </row>
    <row r="174" spans="1:18" x14ac:dyDescent="0.25">
      <c r="A174" s="13"/>
      <c r="B174" s="13"/>
      <c r="L174" s="52">
        <v>45762</v>
      </c>
      <c r="M174" s="53">
        <v>0.4690509259259259</v>
      </c>
      <c r="N174" s="51" t="s">
        <v>301</v>
      </c>
      <c r="O174" s="51" t="s">
        <v>1</v>
      </c>
      <c r="P174" s="51" t="s">
        <v>483</v>
      </c>
      <c r="Q174" s="51" t="s">
        <v>80</v>
      </c>
      <c r="R174" s="51" t="s">
        <v>78</v>
      </c>
    </row>
    <row r="175" spans="1:18" x14ac:dyDescent="0.25">
      <c r="A175" s="13"/>
      <c r="B175" s="13"/>
      <c r="L175" s="52">
        <v>45762</v>
      </c>
      <c r="M175" s="53">
        <v>0.4690509259259259</v>
      </c>
      <c r="N175" s="51" t="s">
        <v>302</v>
      </c>
      <c r="O175" s="51" t="s">
        <v>1</v>
      </c>
      <c r="P175" s="51" t="s">
        <v>484</v>
      </c>
      <c r="Q175" s="51" t="s">
        <v>80</v>
      </c>
      <c r="R175" s="51" t="s">
        <v>78</v>
      </c>
    </row>
    <row r="176" spans="1:18" x14ac:dyDescent="0.25">
      <c r="A176" s="13"/>
      <c r="B176" s="13"/>
      <c r="L176" s="52">
        <v>45762</v>
      </c>
      <c r="M176" s="53">
        <v>0.4690509259259259</v>
      </c>
      <c r="N176" s="51" t="s">
        <v>303</v>
      </c>
      <c r="O176" s="51" t="s">
        <v>1</v>
      </c>
      <c r="P176" s="51" t="s">
        <v>485</v>
      </c>
      <c r="Q176" s="51" t="s">
        <v>80</v>
      </c>
      <c r="R176" s="51" t="s">
        <v>78</v>
      </c>
    </row>
    <row r="177" spans="1:18" x14ac:dyDescent="0.25">
      <c r="A177" s="13"/>
      <c r="B177" s="13"/>
      <c r="L177" s="52">
        <v>45762</v>
      </c>
      <c r="M177" s="53">
        <v>0.4690509259259259</v>
      </c>
      <c r="N177" s="51" t="s">
        <v>304</v>
      </c>
      <c r="O177" s="51" t="s">
        <v>1</v>
      </c>
      <c r="P177" s="51" t="s">
        <v>486</v>
      </c>
      <c r="Q177" s="51" t="s">
        <v>80</v>
      </c>
      <c r="R177" s="51" t="s">
        <v>78</v>
      </c>
    </row>
    <row r="178" spans="1:18" x14ac:dyDescent="0.25">
      <c r="A178" s="13"/>
      <c r="B178" s="13"/>
      <c r="L178" s="52">
        <v>45762</v>
      </c>
      <c r="M178" s="53">
        <v>0.4690509259259259</v>
      </c>
      <c r="N178" s="51" t="s">
        <v>305</v>
      </c>
      <c r="O178" s="51" t="s">
        <v>1</v>
      </c>
      <c r="P178" s="51" t="s">
        <v>487</v>
      </c>
      <c r="Q178" s="51" t="s">
        <v>80</v>
      </c>
      <c r="R178" s="51" t="s">
        <v>78</v>
      </c>
    </row>
    <row r="179" spans="1:18" x14ac:dyDescent="0.25">
      <c r="A179" s="13"/>
      <c r="B179" s="13"/>
      <c r="L179" s="52">
        <v>45762</v>
      </c>
      <c r="M179" s="53">
        <v>0.4690509259259259</v>
      </c>
      <c r="N179" s="51" t="s">
        <v>306</v>
      </c>
      <c r="O179" s="51" t="s">
        <v>1</v>
      </c>
      <c r="P179" s="51" t="s">
        <v>488</v>
      </c>
      <c r="Q179" s="51" t="s">
        <v>80</v>
      </c>
      <c r="R179" s="51" t="s">
        <v>78</v>
      </c>
    </row>
    <row r="180" spans="1:18" x14ac:dyDescent="0.25">
      <c r="A180" s="13"/>
      <c r="B180" s="13"/>
      <c r="L180" s="52">
        <v>45762</v>
      </c>
      <c r="M180" s="53">
        <v>0.4690509259259259</v>
      </c>
      <c r="N180" s="51" t="s">
        <v>307</v>
      </c>
      <c r="O180" s="51" t="s">
        <v>1</v>
      </c>
      <c r="P180" s="51" t="s">
        <v>489</v>
      </c>
      <c r="Q180" s="51" t="s">
        <v>80</v>
      </c>
      <c r="R180" s="51" t="s">
        <v>78</v>
      </c>
    </row>
    <row r="181" spans="1:18" x14ac:dyDescent="0.25">
      <c r="A181" s="13"/>
      <c r="B181" s="13"/>
      <c r="L181" s="52">
        <v>45762</v>
      </c>
      <c r="M181" s="53">
        <v>0.4690509259259259</v>
      </c>
      <c r="N181" s="51" t="s">
        <v>308</v>
      </c>
      <c r="O181" s="51" t="s">
        <v>1</v>
      </c>
      <c r="P181" s="51" t="s">
        <v>490</v>
      </c>
      <c r="Q181" s="51" t="s">
        <v>80</v>
      </c>
      <c r="R181" s="51" t="s">
        <v>78</v>
      </c>
    </row>
    <row r="182" spans="1:18" x14ac:dyDescent="0.25">
      <c r="A182" s="13"/>
      <c r="B182" s="13"/>
      <c r="L182" s="52">
        <v>45762</v>
      </c>
      <c r="M182" s="53">
        <v>0.4690509259259259</v>
      </c>
      <c r="N182" s="51" t="s">
        <v>309</v>
      </c>
      <c r="O182" s="51" t="s">
        <v>1</v>
      </c>
      <c r="P182" s="51" t="s">
        <v>491</v>
      </c>
      <c r="Q182" s="51" t="s">
        <v>80</v>
      </c>
      <c r="R182" s="51" t="s">
        <v>78</v>
      </c>
    </row>
    <row r="183" spans="1:18" x14ac:dyDescent="0.25">
      <c r="A183" s="13"/>
      <c r="B183" s="13"/>
      <c r="L183" s="52">
        <v>45762</v>
      </c>
      <c r="M183" s="53">
        <v>0.4690509259259259</v>
      </c>
      <c r="N183" s="51" t="s">
        <v>310</v>
      </c>
      <c r="O183" s="51" t="s">
        <v>1</v>
      </c>
      <c r="P183" s="51" t="s">
        <v>492</v>
      </c>
      <c r="Q183" s="51" t="s">
        <v>80</v>
      </c>
      <c r="R183" s="51" t="s">
        <v>78</v>
      </c>
    </row>
    <row r="184" spans="1:18" x14ac:dyDescent="0.25">
      <c r="A184" s="13"/>
      <c r="B184" s="13"/>
      <c r="L184" s="52">
        <v>45762</v>
      </c>
      <c r="M184" s="53">
        <v>0.4690509259259259</v>
      </c>
      <c r="N184" s="51" t="s">
        <v>311</v>
      </c>
      <c r="O184" s="51" t="s">
        <v>1</v>
      </c>
      <c r="P184" s="51" t="s">
        <v>493</v>
      </c>
      <c r="Q184" s="51" t="s">
        <v>80</v>
      </c>
      <c r="R184" s="51" t="s">
        <v>78</v>
      </c>
    </row>
    <row r="185" spans="1:18" x14ac:dyDescent="0.25">
      <c r="A185" s="13"/>
      <c r="B185" s="13"/>
      <c r="L185" s="52">
        <v>45762</v>
      </c>
      <c r="M185" s="53">
        <v>0.4690509259259259</v>
      </c>
      <c r="N185" s="51" t="s">
        <v>312</v>
      </c>
      <c r="O185" s="51" t="s">
        <v>1</v>
      </c>
      <c r="P185" s="51" t="s">
        <v>494</v>
      </c>
      <c r="Q185" s="51" t="s">
        <v>80</v>
      </c>
      <c r="R185" s="51" t="s">
        <v>78</v>
      </c>
    </row>
    <row r="186" spans="1:18" x14ac:dyDescent="0.25">
      <c r="A186" s="13"/>
      <c r="B186" s="13"/>
      <c r="L186" s="52">
        <v>45762</v>
      </c>
      <c r="M186" s="53">
        <v>0.4690509259259259</v>
      </c>
      <c r="N186" s="51" t="s">
        <v>313</v>
      </c>
      <c r="O186" s="51" t="s">
        <v>1</v>
      </c>
      <c r="P186" s="51" t="s">
        <v>495</v>
      </c>
      <c r="Q186" s="51" t="s">
        <v>80</v>
      </c>
      <c r="R186" s="51" t="s">
        <v>78</v>
      </c>
    </row>
    <row r="187" spans="1:18" x14ac:dyDescent="0.25">
      <c r="A187" s="13"/>
      <c r="B187" s="13"/>
      <c r="L187" s="52">
        <v>45762</v>
      </c>
      <c r="M187" s="53">
        <v>0.4690509259259259</v>
      </c>
      <c r="N187" s="51" t="s">
        <v>314</v>
      </c>
      <c r="O187" s="51" t="s">
        <v>1</v>
      </c>
      <c r="P187" s="51" t="s">
        <v>496</v>
      </c>
      <c r="Q187" s="51" t="s">
        <v>80</v>
      </c>
      <c r="R187" s="51" t="s">
        <v>78</v>
      </c>
    </row>
    <row r="188" spans="1:18" x14ac:dyDescent="0.25">
      <c r="A188" s="13"/>
      <c r="B188" s="13"/>
      <c r="L188" s="52">
        <v>45762</v>
      </c>
      <c r="M188" s="53">
        <v>0.4690509259259259</v>
      </c>
      <c r="N188" s="51" t="s">
        <v>315</v>
      </c>
      <c r="O188" s="51" t="s">
        <v>1</v>
      </c>
      <c r="P188" s="51" t="s">
        <v>497</v>
      </c>
      <c r="Q188" s="51" t="s">
        <v>80</v>
      </c>
      <c r="R188" s="51" t="s">
        <v>78</v>
      </c>
    </row>
    <row r="189" spans="1:18" x14ac:dyDescent="0.25">
      <c r="A189" s="13"/>
      <c r="B189" s="13"/>
      <c r="L189" s="52">
        <v>45762</v>
      </c>
      <c r="M189" s="53">
        <v>0.4690509259259259</v>
      </c>
      <c r="N189" s="51" t="s">
        <v>316</v>
      </c>
      <c r="O189" s="51" t="s">
        <v>1</v>
      </c>
      <c r="P189" s="51" t="s">
        <v>498</v>
      </c>
      <c r="Q189" s="51" t="s">
        <v>80</v>
      </c>
      <c r="R189" s="51" t="s">
        <v>78</v>
      </c>
    </row>
    <row r="190" spans="1:18" x14ac:dyDescent="0.25">
      <c r="A190" s="13"/>
      <c r="B190" s="13"/>
      <c r="L190" s="52">
        <v>45762</v>
      </c>
      <c r="M190" s="53">
        <v>0.4690509259259259</v>
      </c>
      <c r="N190" s="51" t="s">
        <v>317</v>
      </c>
      <c r="O190" s="51" t="s">
        <v>1</v>
      </c>
      <c r="P190" s="51" t="s">
        <v>499</v>
      </c>
      <c r="Q190" s="51" t="s">
        <v>80</v>
      </c>
      <c r="R190" s="51" t="s">
        <v>78</v>
      </c>
    </row>
    <row r="191" spans="1:18" x14ac:dyDescent="0.25">
      <c r="A191" s="13"/>
      <c r="B191" s="13"/>
      <c r="L191" s="52">
        <v>45762</v>
      </c>
      <c r="M191" s="53">
        <v>0.4690509259259259</v>
      </c>
      <c r="N191" s="51" t="s">
        <v>318</v>
      </c>
      <c r="O191" s="51" t="s">
        <v>1</v>
      </c>
      <c r="P191" s="51" t="s">
        <v>500</v>
      </c>
      <c r="Q191" s="51" t="s">
        <v>80</v>
      </c>
      <c r="R191" s="51" t="s">
        <v>78</v>
      </c>
    </row>
    <row r="192" spans="1:18" x14ac:dyDescent="0.25">
      <c r="A192" s="13"/>
      <c r="B192" s="13"/>
      <c r="L192" s="52">
        <v>45762</v>
      </c>
      <c r="M192" s="53">
        <v>0.4690509259259259</v>
      </c>
      <c r="N192" s="51" t="s">
        <v>319</v>
      </c>
      <c r="O192" s="51" t="s">
        <v>1</v>
      </c>
      <c r="P192" s="51" t="s">
        <v>501</v>
      </c>
      <c r="Q192" s="51" t="s">
        <v>80</v>
      </c>
      <c r="R192" s="51" t="s">
        <v>78</v>
      </c>
    </row>
    <row r="193" spans="1:18" x14ac:dyDescent="0.25">
      <c r="A193" s="13"/>
      <c r="B193" s="13"/>
      <c r="L193" s="52">
        <v>45762</v>
      </c>
      <c r="M193" s="53">
        <v>0.4690509259259259</v>
      </c>
      <c r="N193" s="51" t="s">
        <v>320</v>
      </c>
      <c r="O193" s="51" t="s">
        <v>1</v>
      </c>
      <c r="P193" s="51" t="s">
        <v>502</v>
      </c>
      <c r="Q193" s="51" t="s">
        <v>80</v>
      </c>
      <c r="R193" s="51" t="s">
        <v>78</v>
      </c>
    </row>
    <row r="194" spans="1:18" x14ac:dyDescent="0.25">
      <c r="A194" s="13"/>
      <c r="B194" s="13"/>
      <c r="L194" s="52">
        <v>45762</v>
      </c>
      <c r="M194" s="53">
        <v>0.4690509259259259</v>
      </c>
      <c r="N194" s="51" t="s">
        <v>321</v>
      </c>
      <c r="O194" s="51" t="s">
        <v>1</v>
      </c>
      <c r="P194" s="51" t="s">
        <v>503</v>
      </c>
      <c r="Q194" s="51" t="s">
        <v>80</v>
      </c>
      <c r="R194" s="51" t="s">
        <v>78</v>
      </c>
    </row>
    <row r="195" spans="1:18" x14ac:dyDescent="0.25">
      <c r="A195" s="13"/>
      <c r="B195" s="13"/>
      <c r="L195" s="52">
        <v>45762</v>
      </c>
      <c r="M195" s="53">
        <v>0.4690509259259259</v>
      </c>
      <c r="O195" s="51" t="s">
        <v>2</v>
      </c>
      <c r="Q195" s="51" t="s">
        <v>504</v>
      </c>
      <c r="R195" s="51" t="s">
        <v>78</v>
      </c>
    </row>
    <row r="196" spans="1:18" x14ac:dyDescent="0.25">
      <c r="A196" s="13"/>
      <c r="B196" s="13"/>
      <c r="L196" s="52">
        <v>45762</v>
      </c>
      <c r="M196" s="53">
        <v>0.46913194444444445</v>
      </c>
      <c r="O196" s="51" t="s">
        <v>2</v>
      </c>
      <c r="Q196" s="51" t="s">
        <v>330</v>
      </c>
      <c r="R196" s="51" t="s">
        <v>78</v>
      </c>
    </row>
    <row r="197" spans="1:18" x14ac:dyDescent="0.25">
      <c r="A197" s="13"/>
      <c r="B197" s="13"/>
      <c r="L197" s="52">
        <v>45762</v>
      </c>
      <c r="M197" s="53">
        <v>0.46913194444444445</v>
      </c>
      <c r="O197" s="51" t="s">
        <v>2</v>
      </c>
      <c r="Q197" s="51" t="s">
        <v>131</v>
      </c>
      <c r="R197" s="51" t="s">
        <v>78</v>
      </c>
    </row>
    <row r="198" spans="1:18" x14ac:dyDescent="0.25">
      <c r="A198" s="13"/>
      <c r="B198" s="13"/>
      <c r="L198" s="52">
        <v>45762</v>
      </c>
      <c r="M198" s="53">
        <v>0.46913194444444445</v>
      </c>
      <c r="N198" s="51" t="s">
        <v>138</v>
      </c>
      <c r="O198" s="51" t="s">
        <v>2</v>
      </c>
      <c r="P198" s="51" t="s">
        <v>505</v>
      </c>
      <c r="Q198" s="51" t="s">
        <v>80</v>
      </c>
      <c r="R198" s="51" t="s">
        <v>78</v>
      </c>
    </row>
    <row r="199" spans="1:18" x14ac:dyDescent="0.25">
      <c r="A199" s="13"/>
      <c r="B199" s="13"/>
      <c r="L199" s="52">
        <v>45762</v>
      </c>
      <c r="M199" s="53">
        <v>0.46913194444444445</v>
      </c>
      <c r="N199" s="51" t="s">
        <v>139</v>
      </c>
      <c r="O199" s="51" t="s">
        <v>2</v>
      </c>
      <c r="P199" s="51" t="s">
        <v>506</v>
      </c>
      <c r="Q199" s="51" t="s">
        <v>80</v>
      </c>
      <c r="R199" s="51" t="s">
        <v>78</v>
      </c>
    </row>
    <row r="200" spans="1:18" x14ac:dyDescent="0.25">
      <c r="A200" s="13"/>
      <c r="B200" s="13"/>
      <c r="L200" s="52">
        <v>45762</v>
      </c>
      <c r="M200" s="53">
        <v>0.46913194444444445</v>
      </c>
      <c r="N200" s="51" t="s">
        <v>140</v>
      </c>
      <c r="O200" s="51" t="s">
        <v>2</v>
      </c>
      <c r="P200" s="51" t="s">
        <v>507</v>
      </c>
      <c r="Q200" s="51" t="s">
        <v>80</v>
      </c>
      <c r="R200" s="51" t="s">
        <v>78</v>
      </c>
    </row>
    <row r="201" spans="1:18" x14ac:dyDescent="0.25">
      <c r="A201" s="13"/>
      <c r="B201" s="13"/>
      <c r="L201" s="52">
        <v>45762</v>
      </c>
      <c r="M201" s="53">
        <v>0.46913194444444445</v>
      </c>
      <c r="N201" s="51" t="s">
        <v>141</v>
      </c>
      <c r="O201" s="51" t="s">
        <v>2</v>
      </c>
      <c r="P201" s="51" t="s">
        <v>508</v>
      </c>
      <c r="Q201" s="51" t="s">
        <v>80</v>
      </c>
      <c r="R201" s="51" t="s">
        <v>78</v>
      </c>
    </row>
    <row r="202" spans="1:18" x14ac:dyDescent="0.25">
      <c r="A202" s="13"/>
      <c r="B202" s="13"/>
      <c r="L202" s="52">
        <v>45762</v>
      </c>
      <c r="M202" s="53">
        <v>0.46913194444444445</v>
      </c>
      <c r="N202" s="51" t="s">
        <v>142</v>
      </c>
      <c r="O202" s="51" t="s">
        <v>2</v>
      </c>
      <c r="P202" s="51" t="s">
        <v>509</v>
      </c>
      <c r="Q202" s="51" t="s">
        <v>80</v>
      </c>
      <c r="R202" s="51" t="s">
        <v>78</v>
      </c>
    </row>
    <row r="203" spans="1:18" x14ac:dyDescent="0.25">
      <c r="A203" s="13"/>
      <c r="B203" s="13"/>
      <c r="L203" s="52">
        <v>45762</v>
      </c>
      <c r="M203" s="53">
        <v>0.46913194444444445</v>
      </c>
      <c r="N203" s="51" t="s">
        <v>143</v>
      </c>
      <c r="O203" s="51" t="s">
        <v>2</v>
      </c>
      <c r="P203" s="51" t="s">
        <v>510</v>
      </c>
      <c r="Q203" s="51" t="s">
        <v>80</v>
      </c>
      <c r="R203" s="51" t="s">
        <v>78</v>
      </c>
    </row>
    <row r="204" spans="1:18" x14ac:dyDescent="0.25">
      <c r="A204" s="13"/>
      <c r="B204" s="13"/>
      <c r="L204" s="52">
        <v>45762</v>
      </c>
      <c r="M204" s="53">
        <v>0.46913194444444445</v>
      </c>
      <c r="N204" s="51" t="s">
        <v>144</v>
      </c>
      <c r="O204" s="51" t="s">
        <v>2</v>
      </c>
      <c r="P204" s="51" t="s">
        <v>511</v>
      </c>
      <c r="Q204" s="51" t="s">
        <v>80</v>
      </c>
      <c r="R204" s="51" t="s">
        <v>78</v>
      </c>
    </row>
    <row r="205" spans="1:18" x14ac:dyDescent="0.25">
      <c r="A205" s="13"/>
      <c r="B205" s="13"/>
      <c r="L205" s="52">
        <v>45762</v>
      </c>
      <c r="M205" s="53">
        <v>0.46913194444444445</v>
      </c>
      <c r="N205" s="51" t="s">
        <v>145</v>
      </c>
      <c r="O205" s="51" t="s">
        <v>2</v>
      </c>
      <c r="P205" s="51" t="s">
        <v>512</v>
      </c>
      <c r="Q205" s="51" t="s">
        <v>80</v>
      </c>
      <c r="R205" s="51" t="s">
        <v>78</v>
      </c>
    </row>
    <row r="206" spans="1:18" x14ac:dyDescent="0.25">
      <c r="A206" s="13"/>
      <c r="B206" s="13"/>
      <c r="L206" s="52">
        <v>45762</v>
      </c>
      <c r="M206" s="53">
        <v>0.46913194444444445</v>
      </c>
      <c r="N206" s="51" t="s">
        <v>146</v>
      </c>
      <c r="O206" s="51" t="s">
        <v>2</v>
      </c>
      <c r="P206" s="51" t="s">
        <v>513</v>
      </c>
      <c r="Q206" s="51" t="s">
        <v>80</v>
      </c>
      <c r="R206" s="51" t="s">
        <v>78</v>
      </c>
    </row>
    <row r="207" spans="1:18" x14ac:dyDescent="0.25">
      <c r="A207" s="13"/>
      <c r="B207" s="13"/>
      <c r="L207" s="52">
        <v>45762</v>
      </c>
      <c r="M207" s="53">
        <v>0.46913194444444445</v>
      </c>
      <c r="N207" s="51" t="s">
        <v>147</v>
      </c>
      <c r="O207" s="51" t="s">
        <v>2</v>
      </c>
      <c r="P207" s="51" t="s">
        <v>514</v>
      </c>
      <c r="Q207" s="51" t="s">
        <v>80</v>
      </c>
      <c r="R207" s="51" t="s">
        <v>78</v>
      </c>
    </row>
    <row r="208" spans="1:18" x14ac:dyDescent="0.25">
      <c r="A208" s="13"/>
      <c r="B208" s="13"/>
      <c r="L208" s="52">
        <v>45762</v>
      </c>
      <c r="M208" s="53">
        <v>0.46913194444444445</v>
      </c>
      <c r="N208" s="51" t="s">
        <v>148</v>
      </c>
      <c r="O208" s="51" t="s">
        <v>2</v>
      </c>
      <c r="P208" s="51" t="s">
        <v>515</v>
      </c>
      <c r="Q208" s="51" t="s">
        <v>80</v>
      </c>
      <c r="R208" s="51" t="s">
        <v>78</v>
      </c>
    </row>
    <row r="209" spans="1:18" x14ac:dyDescent="0.25">
      <c r="A209" s="13"/>
      <c r="B209" s="13"/>
      <c r="L209" s="52">
        <v>45762</v>
      </c>
      <c r="M209" s="53">
        <v>0.46913194444444445</v>
      </c>
      <c r="N209" s="51" t="s">
        <v>149</v>
      </c>
      <c r="O209" s="51" t="s">
        <v>2</v>
      </c>
      <c r="P209" s="51" t="s">
        <v>516</v>
      </c>
      <c r="Q209" s="51" t="s">
        <v>80</v>
      </c>
      <c r="R209" s="51" t="s">
        <v>78</v>
      </c>
    </row>
    <row r="210" spans="1:18" x14ac:dyDescent="0.25">
      <c r="A210" s="13"/>
      <c r="B210" s="13"/>
      <c r="L210" s="52">
        <v>45762</v>
      </c>
      <c r="M210" s="53">
        <v>0.46913194444444445</v>
      </c>
      <c r="N210" s="51" t="s">
        <v>150</v>
      </c>
      <c r="O210" s="51" t="s">
        <v>2</v>
      </c>
      <c r="P210" s="51" t="s">
        <v>517</v>
      </c>
      <c r="Q210" s="51" t="s">
        <v>80</v>
      </c>
      <c r="R210" s="51" t="s">
        <v>78</v>
      </c>
    </row>
    <row r="211" spans="1:18" x14ac:dyDescent="0.25">
      <c r="A211" s="13"/>
      <c r="B211" s="13"/>
      <c r="L211" s="52">
        <v>45762</v>
      </c>
      <c r="M211" s="53">
        <v>0.46913194444444445</v>
      </c>
      <c r="N211" s="51" t="s">
        <v>151</v>
      </c>
      <c r="O211" s="51" t="s">
        <v>2</v>
      </c>
      <c r="P211" s="51" t="s">
        <v>518</v>
      </c>
      <c r="Q211" s="51" t="s">
        <v>80</v>
      </c>
      <c r="R211" s="51" t="s">
        <v>78</v>
      </c>
    </row>
    <row r="212" spans="1:18" x14ac:dyDescent="0.25">
      <c r="A212" s="13"/>
      <c r="B212" s="13"/>
      <c r="L212" s="52">
        <v>45762</v>
      </c>
      <c r="M212" s="53">
        <v>0.46913194444444445</v>
      </c>
      <c r="N212" s="51" t="s">
        <v>152</v>
      </c>
      <c r="O212" s="51" t="s">
        <v>2</v>
      </c>
      <c r="P212" s="51" t="s">
        <v>519</v>
      </c>
      <c r="Q212" s="51" t="s">
        <v>80</v>
      </c>
      <c r="R212" s="51" t="s">
        <v>78</v>
      </c>
    </row>
    <row r="213" spans="1:18" x14ac:dyDescent="0.25">
      <c r="A213" s="13"/>
      <c r="B213" s="13"/>
      <c r="L213" s="52">
        <v>45762</v>
      </c>
      <c r="M213" s="53">
        <v>0.46913194444444445</v>
      </c>
      <c r="N213" s="51" t="s">
        <v>153</v>
      </c>
      <c r="O213" s="51" t="s">
        <v>2</v>
      </c>
      <c r="P213" s="51" t="s">
        <v>520</v>
      </c>
      <c r="Q213" s="51" t="s">
        <v>80</v>
      </c>
      <c r="R213" s="51" t="s">
        <v>78</v>
      </c>
    </row>
    <row r="214" spans="1:18" x14ac:dyDescent="0.25">
      <c r="A214" s="13"/>
      <c r="B214" s="13"/>
      <c r="L214" s="52">
        <v>45762</v>
      </c>
      <c r="M214" s="53">
        <v>0.46913194444444445</v>
      </c>
      <c r="N214" s="51" t="s">
        <v>154</v>
      </c>
      <c r="O214" s="51" t="s">
        <v>2</v>
      </c>
      <c r="P214" s="51" t="s">
        <v>521</v>
      </c>
      <c r="Q214" s="51" t="s">
        <v>80</v>
      </c>
      <c r="R214" s="51" t="s">
        <v>78</v>
      </c>
    </row>
    <row r="215" spans="1:18" x14ac:dyDescent="0.25">
      <c r="A215" s="13"/>
      <c r="B215" s="13"/>
      <c r="L215" s="52">
        <v>45762</v>
      </c>
      <c r="M215" s="53">
        <v>0.46913194444444445</v>
      </c>
      <c r="N215" s="51" t="s">
        <v>155</v>
      </c>
      <c r="O215" s="51" t="s">
        <v>2</v>
      </c>
      <c r="P215" s="51" t="s">
        <v>522</v>
      </c>
      <c r="Q215" s="51" t="s">
        <v>80</v>
      </c>
      <c r="R215" s="51" t="s">
        <v>78</v>
      </c>
    </row>
    <row r="216" spans="1:18" x14ac:dyDescent="0.25">
      <c r="A216" s="13"/>
      <c r="B216" s="13"/>
      <c r="L216" s="52">
        <v>45762</v>
      </c>
      <c r="M216" s="53">
        <v>0.46913194444444445</v>
      </c>
      <c r="N216" s="51" t="s">
        <v>156</v>
      </c>
      <c r="O216" s="51" t="s">
        <v>2</v>
      </c>
      <c r="P216" s="51" t="s">
        <v>523</v>
      </c>
      <c r="Q216" s="51" t="s">
        <v>80</v>
      </c>
      <c r="R216" s="51" t="s">
        <v>78</v>
      </c>
    </row>
    <row r="217" spans="1:18" x14ac:dyDescent="0.25">
      <c r="A217" s="13"/>
      <c r="B217" s="13"/>
      <c r="L217" s="52">
        <v>45762</v>
      </c>
      <c r="M217" s="53">
        <v>0.46913194444444445</v>
      </c>
      <c r="N217" s="51" t="s">
        <v>157</v>
      </c>
      <c r="O217" s="51" t="s">
        <v>2</v>
      </c>
      <c r="Q217" s="51" t="s">
        <v>524</v>
      </c>
      <c r="R217" s="51" t="s">
        <v>132</v>
      </c>
    </row>
    <row r="218" spans="1:18" x14ac:dyDescent="0.25">
      <c r="A218" s="13"/>
      <c r="B218" s="13"/>
      <c r="L218" s="52">
        <v>45762</v>
      </c>
      <c r="M218" s="53">
        <v>0.46913194444444445</v>
      </c>
      <c r="N218" s="51" t="s">
        <v>158</v>
      </c>
      <c r="O218" s="51" t="s">
        <v>2</v>
      </c>
      <c r="Q218" s="51" t="s">
        <v>524</v>
      </c>
      <c r="R218" s="51" t="s">
        <v>132</v>
      </c>
    </row>
    <row r="219" spans="1:18" x14ac:dyDescent="0.25">
      <c r="A219" s="13"/>
      <c r="B219" s="13"/>
      <c r="L219" s="52">
        <v>45762</v>
      </c>
      <c r="M219" s="53">
        <v>0.46913194444444445</v>
      </c>
      <c r="N219" s="51" t="s">
        <v>159</v>
      </c>
      <c r="O219" s="51" t="s">
        <v>2</v>
      </c>
      <c r="Q219" s="51" t="s">
        <v>524</v>
      </c>
      <c r="R219" s="51" t="s">
        <v>132</v>
      </c>
    </row>
    <row r="220" spans="1:18" x14ac:dyDescent="0.25">
      <c r="A220" s="13"/>
      <c r="B220" s="13"/>
      <c r="L220" s="52">
        <v>45762</v>
      </c>
      <c r="M220" s="53">
        <v>0.46913194444444445</v>
      </c>
      <c r="N220" s="51" t="s">
        <v>160</v>
      </c>
      <c r="O220" s="51" t="s">
        <v>2</v>
      </c>
      <c r="Q220" s="51" t="s">
        <v>524</v>
      </c>
      <c r="R220" s="51" t="s">
        <v>132</v>
      </c>
    </row>
    <row r="221" spans="1:18" x14ac:dyDescent="0.25">
      <c r="A221" s="13"/>
      <c r="B221" s="13"/>
      <c r="L221" s="52">
        <v>45762</v>
      </c>
      <c r="M221" s="53">
        <v>0.46913194444444445</v>
      </c>
      <c r="N221" s="51" t="s">
        <v>161</v>
      </c>
      <c r="O221" s="51" t="s">
        <v>2</v>
      </c>
      <c r="Q221" s="51" t="s">
        <v>524</v>
      </c>
      <c r="R221" s="51" t="s">
        <v>132</v>
      </c>
    </row>
    <row r="222" spans="1:18" x14ac:dyDescent="0.25">
      <c r="A222" s="13"/>
      <c r="B222" s="13"/>
      <c r="L222" s="52">
        <v>45762</v>
      </c>
      <c r="M222" s="53">
        <v>0.46913194444444445</v>
      </c>
      <c r="N222" s="51" t="s">
        <v>162</v>
      </c>
      <c r="O222" s="51" t="s">
        <v>2</v>
      </c>
      <c r="Q222" s="51" t="s">
        <v>524</v>
      </c>
      <c r="R222" s="51" t="s">
        <v>132</v>
      </c>
    </row>
    <row r="223" spans="1:18" x14ac:dyDescent="0.25">
      <c r="A223" s="13"/>
      <c r="B223" s="13"/>
      <c r="L223" s="52">
        <v>45762</v>
      </c>
      <c r="M223" s="53">
        <v>0.46913194444444445</v>
      </c>
      <c r="N223" s="51" t="s">
        <v>163</v>
      </c>
      <c r="O223" s="51" t="s">
        <v>2</v>
      </c>
      <c r="P223" s="51" t="s">
        <v>525</v>
      </c>
      <c r="Q223" s="51" t="s">
        <v>80</v>
      </c>
      <c r="R223" s="51" t="s">
        <v>78</v>
      </c>
    </row>
    <row r="224" spans="1:18" x14ac:dyDescent="0.25">
      <c r="A224" s="13"/>
      <c r="B224" s="13"/>
      <c r="L224" s="52">
        <v>45762</v>
      </c>
      <c r="M224" s="53">
        <v>0.46913194444444445</v>
      </c>
      <c r="N224" s="51" t="s">
        <v>164</v>
      </c>
      <c r="O224" s="51" t="s">
        <v>2</v>
      </c>
      <c r="P224" s="51" t="s">
        <v>526</v>
      </c>
      <c r="Q224" s="51" t="s">
        <v>80</v>
      </c>
      <c r="R224" s="51" t="s">
        <v>78</v>
      </c>
    </row>
    <row r="225" spans="1:18" x14ac:dyDescent="0.25">
      <c r="A225" s="13"/>
      <c r="B225" s="13"/>
      <c r="L225" s="52">
        <v>45762</v>
      </c>
      <c r="M225" s="53">
        <v>0.46913194444444445</v>
      </c>
      <c r="N225" s="51" t="s">
        <v>165</v>
      </c>
      <c r="O225" s="51" t="s">
        <v>2</v>
      </c>
      <c r="P225" s="51" t="s">
        <v>527</v>
      </c>
      <c r="Q225" s="51" t="s">
        <v>80</v>
      </c>
      <c r="R225" s="51" t="s">
        <v>78</v>
      </c>
    </row>
    <row r="226" spans="1:18" x14ac:dyDescent="0.25">
      <c r="A226" s="13"/>
      <c r="B226" s="13"/>
      <c r="L226" s="52">
        <v>45762</v>
      </c>
      <c r="M226" s="53">
        <v>0.46913194444444445</v>
      </c>
      <c r="N226" s="51" t="s">
        <v>166</v>
      </c>
      <c r="O226" s="51" t="s">
        <v>2</v>
      </c>
      <c r="Q226" s="51" t="s">
        <v>524</v>
      </c>
      <c r="R226" s="51" t="s">
        <v>132</v>
      </c>
    </row>
    <row r="227" spans="1:18" x14ac:dyDescent="0.25">
      <c r="A227" s="13"/>
      <c r="B227" s="13"/>
      <c r="L227" s="52">
        <v>45762</v>
      </c>
      <c r="M227" s="53">
        <v>0.46913194444444445</v>
      </c>
      <c r="N227" s="51" t="s">
        <v>167</v>
      </c>
      <c r="O227" s="51" t="s">
        <v>2</v>
      </c>
      <c r="Q227" s="51" t="s">
        <v>524</v>
      </c>
      <c r="R227" s="51" t="s">
        <v>132</v>
      </c>
    </row>
    <row r="228" spans="1:18" x14ac:dyDescent="0.25">
      <c r="A228" s="13"/>
      <c r="B228" s="13"/>
      <c r="L228" s="52">
        <v>45762</v>
      </c>
      <c r="M228" s="53">
        <v>0.46913194444444445</v>
      </c>
      <c r="N228" s="51" t="s">
        <v>168</v>
      </c>
      <c r="O228" s="51" t="s">
        <v>2</v>
      </c>
      <c r="Q228" s="51" t="s">
        <v>524</v>
      </c>
      <c r="R228" s="51" t="s">
        <v>132</v>
      </c>
    </row>
    <row r="229" spans="1:18" x14ac:dyDescent="0.25">
      <c r="A229" s="13"/>
      <c r="B229" s="13"/>
      <c r="L229" s="52">
        <v>45762</v>
      </c>
      <c r="M229" s="53">
        <v>0.46913194444444445</v>
      </c>
      <c r="N229" s="51" t="s">
        <v>169</v>
      </c>
      <c r="O229" s="51" t="s">
        <v>2</v>
      </c>
      <c r="Q229" s="51" t="s">
        <v>524</v>
      </c>
      <c r="R229" s="51" t="s">
        <v>132</v>
      </c>
    </row>
    <row r="230" spans="1:18" x14ac:dyDescent="0.25">
      <c r="A230" s="13"/>
      <c r="B230" s="13"/>
      <c r="L230" s="52">
        <v>45762</v>
      </c>
      <c r="M230" s="53">
        <v>0.46913194444444445</v>
      </c>
      <c r="N230" s="51" t="s">
        <v>170</v>
      </c>
      <c r="O230" s="51" t="s">
        <v>2</v>
      </c>
      <c r="Q230" s="51" t="s">
        <v>524</v>
      </c>
      <c r="R230" s="51" t="s">
        <v>132</v>
      </c>
    </row>
    <row r="231" spans="1:18" x14ac:dyDescent="0.25">
      <c r="A231" s="13"/>
      <c r="B231" s="13"/>
      <c r="L231" s="52">
        <v>45762</v>
      </c>
      <c r="M231" s="53">
        <v>0.46913194444444445</v>
      </c>
      <c r="N231" s="51" t="s">
        <v>171</v>
      </c>
      <c r="O231" s="51" t="s">
        <v>2</v>
      </c>
      <c r="Q231" s="51" t="s">
        <v>524</v>
      </c>
      <c r="R231" s="51" t="s">
        <v>132</v>
      </c>
    </row>
    <row r="232" spans="1:18" x14ac:dyDescent="0.25">
      <c r="A232" s="13"/>
      <c r="B232" s="13"/>
      <c r="L232" s="52">
        <v>45762</v>
      </c>
      <c r="M232" s="53">
        <v>0.46913194444444445</v>
      </c>
      <c r="N232" s="51" t="s">
        <v>172</v>
      </c>
      <c r="O232" s="51" t="s">
        <v>2</v>
      </c>
      <c r="Q232" s="51" t="s">
        <v>524</v>
      </c>
      <c r="R232" s="51" t="s">
        <v>132</v>
      </c>
    </row>
    <row r="233" spans="1:18" x14ac:dyDescent="0.25">
      <c r="A233" s="13"/>
      <c r="B233" s="13"/>
      <c r="L233" s="52">
        <v>45762</v>
      </c>
      <c r="M233" s="53">
        <v>0.46913194444444445</v>
      </c>
      <c r="N233" s="51" t="s">
        <v>173</v>
      </c>
      <c r="O233" s="51" t="s">
        <v>2</v>
      </c>
      <c r="Q233" s="51" t="s">
        <v>524</v>
      </c>
      <c r="R233" s="51" t="s">
        <v>132</v>
      </c>
    </row>
    <row r="234" spans="1:18" x14ac:dyDescent="0.25">
      <c r="A234" s="13"/>
      <c r="B234" s="13"/>
      <c r="L234" s="52">
        <v>45762</v>
      </c>
      <c r="M234" s="53">
        <v>0.46913194444444445</v>
      </c>
      <c r="N234" s="51" t="s">
        <v>174</v>
      </c>
      <c r="O234" s="51" t="s">
        <v>2</v>
      </c>
      <c r="Q234" s="51" t="s">
        <v>524</v>
      </c>
      <c r="R234" s="51" t="s">
        <v>132</v>
      </c>
    </row>
    <row r="235" spans="1:18" x14ac:dyDescent="0.25">
      <c r="A235" s="13"/>
      <c r="B235" s="13"/>
      <c r="L235" s="52">
        <v>45762</v>
      </c>
      <c r="M235" s="53">
        <v>0.46913194444444445</v>
      </c>
      <c r="N235" s="51" t="s">
        <v>175</v>
      </c>
      <c r="O235" s="51" t="s">
        <v>2</v>
      </c>
      <c r="Q235" s="51" t="s">
        <v>524</v>
      </c>
      <c r="R235" s="51" t="s">
        <v>132</v>
      </c>
    </row>
    <row r="236" spans="1:18" x14ac:dyDescent="0.25">
      <c r="A236" s="13"/>
      <c r="B236" s="13"/>
      <c r="L236" s="52">
        <v>45762</v>
      </c>
      <c r="M236" s="53">
        <v>0.46913194444444445</v>
      </c>
      <c r="N236" s="51" t="s">
        <v>176</v>
      </c>
      <c r="O236" s="51" t="s">
        <v>2</v>
      </c>
      <c r="Q236" s="51" t="s">
        <v>524</v>
      </c>
      <c r="R236" s="51" t="s">
        <v>132</v>
      </c>
    </row>
    <row r="237" spans="1:18" x14ac:dyDescent="0.25">
      <c r="A237" s="13"/>
      <c r="B237" s="13"/>
      <c r="L237" s="52">
        <v>45762</v>
      </c>
      <c r="M237" s="53">
        <v>0.46913194444444445</v>
      </c>
      <c r="N237" s="51" t="s">
        <v>177</v>
      </c>
      <c r="O237" s="51" t="s">
        <v>2</v>
      </c>
      <c r="P237" s="51" t="s">
        <v>92</v>
      </c>
      <c r="Q237" s="51" t="s">
        <v>80</v>
      </c>
      <c r="R237" s="51" t="s">
        <v>78</v>
      </c>
    </row>
    <row r="238" spans="1:18" x14ac:dyDescent="0.25">
      <c r="A238" s="13"/>
      <c r="B238" s="13"/>
      <c r="L238" s="52">
        <v>45762</v>
      </c>
      <c r="M238" s="53">
        <v>0.46913194444444445</v>
      </c>
      <c r="N238" s="51" t="s">
        <v>177</v>
      </c>
      <c r="O238" s="51" t="s">
        <v>2</v>
      </c>
      <c r="P238" s="51" t="s">
        <v>92</v>
      </c>
      <c r="Q238" s="51" t="s">
        <v>80</v>
      </c>
      <c r="R238" s="51" t="s">
        <v>78</v>
      </c>
    </row>
    <row r="239" spans="1:18" x14ac:dyDescent="0.25">
      <c r="A239" s="13"/>
      <c r="B239" s="13"/>
      <c r="L239" s="52">
        <v>45762</v>
      </c>
      <c r="M239" s="53">
        <v>0.46913194444444445</v>
      </c>
      <c r="N239" s="51" t="s">
        <v>178</v>
      </c>
      <c r="O239" s="51" t="s">
        <v>2</v>
      </c>
      <c r="P239" s="51" t="s">
        <v>528</v>
      </c>
      <c r="Q239" s="51" t="s">
        <v>80</v>
      </c>
      <c r="R239" s="51" t="s">
        <v>78</v>
      </c>
    </row>
    <row r="240" spans="1:18" x14ac:dyDescent="0.25">
      <c r="A240" s="13"/>
      <c r="B240" s="13"/>
      <c r="L240" s="52">
        <v>45762</v>
      </c>
      <c r="M240" s="53">
        <v>0.46913194444444445</v>
      </c>
      <c r="N240" s="51" t="s">
        <v>178</v>
      </c>
      <c r="O240" s="51" t="s">
        <v>2</v>
      </c>
      <c r="P240" s="51" t="s">
        <v>528</v>
      </c>
      <c r="Q240" s="51" t="s">
        <v>80</v>
      </c>
      <c r="R240" s="51" t="s">
        <v>78</v>
      </c>
    </row>
    <row r="241" spans="1:18" x14ac:dyDescent="0.25">
      <c r="A241" s="13"/>
      <c r="B241" s="13"/>
      <c r="L241" s="52">
        <v>45762</v>
      </c>
      <c r="M241" s="53">
        <v>0.46913194444444445</v>
      </c>
      <c r="N241" s="51" t="s">
        <v>179</v>
      </c>
      <c r="O241" s="51" t="s">
        <v>2</v>
      </c>
      <c r="P241" s="51" t="s">
        <v>93</v>
      </c>
      <c r="Q241" s="51" t="s">
        <v>80</v>
      </c>
      <c r="R241" s="51" t="s">
        <v>78</v>
      </c>
    </row>
    <row r="242" spans="1:18" x14ac:dyDescent="0.25">
      <c r="A242" s="13"/>
      <c r="B242" s="13"/>
      <c r="L242" s="52">
        <v>45762</v>
      </c>
      <c r="M242" s="53">
        <v>0.46913194444444445</v>
      </c>
      <c r="N242" s="51" t="s">
        <v>180</v>
      </c>
      <c r="O242" s="51" t="s">
        <v>2</v>
      </c>
      <c r="P242" s="51" t="s">
        <v>529</v>
      </c>
      <c r="Q242" s="51" t="s">
        <v>80</v>
      </c>
      <c r="R242" s="51" t="s">
        <v>78</v>
      </c>
    </row>
    <row r="243" spans="1:18" x14ac:dyDescent="0.25">
      <c r="A243" s="13"/>
      <c r="B243" s="13"/>
      <c r="L243" s="52">
        <v>45762</v>
      </c>
      <c r="M243" s="53">
        <v>0.46913194444444445</v>
      </c>
      <c r="N243" s="51" t="s">
        <v>181</v>
      </c>
      <c r="O243" s="51" t="s">
        <v>2</v>
      </c>
      <c r="Q243" s="51" t="s">
        <v>524</v>
      </c>
      <c r="R243" s="51" t="s">
        <v>132</v>
      </c>
    </row>
    <row r="244" spans="1:18" x14ac:dyDescent="0.25">
      <c r="A244" s="13"/>
      <c r="B244" s="13"/>
      <c r="L244" s="52">
        <v>45762</v>
      </c>
      <c r="M244" s="53">
        <v>0.46913194444444445</v>
      </c>
      <c r="N244" s="51" t="s">
        <v>182</v>
      </c>
      <c r="O244" s="51" t="s">
        <v>2</v>
      </c>
      <c r="Q244" s="51" t="s">
        <v>524</v>
      </c>
      <c r="R244" s="51" t="s">
        <v>132</v>
      </c>
    </row>
    <row r="245" spans="1:18" x14ac:dyDescent="0.25">
      <c r="A245" s="13"/>
      <c r="B245" s="13"/>
      <c r="L245" s="52">
        <v>45762</v>
      </c>
      <c r="M245" s="53">
        <v>0.46913194444444445</v>
      </c>
      <c r="N245" s="51" t="s">
        <v>183</v>
      </c>
      <c r="O245" s="51" t="s">
        <v>2</v>
      </c>
      <c r="Q245" s="51" t="s">
        <v>524</v>
      </c>
      <c r="R245" s="51" t="s">
        <v>132</v>
      </c>
    </row>
    <row r="246" spans="1:18" x14ac:dyDescent="0.25">
      <c r="A246" s="13"/>
      <c r="B246" s="13"/>
      <c r="L246" s="52">
        <v>45762</v>
      </c>
      <c r="M246" s="53">
        <v>0.46913194444444445</v>
      </c>
      <c r="N246" s="51" t="s">
        <v>184</v>
      </c>
      <c r="O246" s="51" t="s">
        <v>2</v>
      </c>
      <c r="Q246" s="51" t="s">
        <v>524</v>
      </c>
      <c r="R246" s="51" t="s">
        <v>132</v>
      </c>
    </row>
    <row r="247" spans="1:18" x14ac:dyDescent="0.25">
      <c r="A247" s="13"/>
      <c r="B247" s="13"/>
      <c r="L247" s="52">
        <v>45762</v>
      </c>
      <c r="M247" s="53">
        <v>0.46913194444444445</v>
      </c>
      <c r="N247" s="51" t="s">
        <v>185</v>
      </c>
      <c r="O247" s="51" t="s">
        <v>2</v>
      </c>
      <c r="Q247" s="51" t="s">
        <v>524</v>
      </c>
      <c r="R247" s="51" t="s">
        <v>132</v>
      </c>
    </row>
    <row r="248" spans="1:18" x14ac:dyDescent="0.25">
      <c r="A248" s="13"/>
      <c r="B248" s="13"/>
      <c r="L248" s="52">
        <v>45762</v>
      </c>
      <c r="M248" s="53">
        <v>0.46913194444444445</v>
      </c>
      <c r="N248" s="51" t="s">
        <v>186</v>
      </c>
      <c r="O248" s="51" t="s">
        <v>2</v>
      </c>
      <c r="Q248" s="51" t="s">
        <v>524</v>
      </c>
      <c r="R248" s="51" t="s">
        <v>132</v>
      </c>
    </row>
    <row r="249" spans="1:18" x14ac:dyDescent="0.25">
      <c r="A249" s="13"/>
      <c r="B249" s="13"/>
      <c r="L249" s="52">
        <v>45762</v>
      </c>
      <c r="M249" s="53">
        <v>0.46913194444444445</v>
      </c>
      <c r="N249" s="51" t="s">
        <v>187</v>
      </c>
      <c r="O249" s="51" t="s">
        <v>2</v>
      </c>
      <c r="Q249" s="51" t="s">
        <v>524</v>
      </c>
      <c r="R249" s="51" t="s">
        <v>132</v>
      </c>
    </row>
    <row r="250" spans="1:18" x14ac:dyDescent="0.25">
      <c r="A250" s="13"/>
      <c r="B250" s="13"/>
      <c r="L250" s="52">
        <v>45762</v>
      </c>
      <c r="M250" s="53">
        <v>0.46913194444444445</v>
      </c>
      <c r="N250" s="51" t="s">
        <v>188</v>
      </c>
      <c r="O250" s="51" t="s">
        <v>2</v>
      </c>
      <c r="Q250" s="51" t="s">
        <v>524</v>
      </c>
      <c r="R250" s="51" t="s">
        <v>132</v>
      </c>
    </row>
    <row r="251" spans="1:18" x14ac:dyDescent="0.25">
      <c r="A251" s="13"/>
      <c r="B251" s="13"/>
      <c r="L251" s="52">
        <v>45762</v>
      </c>
      <c r="M251" s="53">
        <v>0.46913194444444445</v>
      </c>
      <c r="N251" s="51" t="s">
        <v>189</v>
      </c>
      <c r="O251" s="51" t="s">
        <v>2</v>
      </c>
      <c r="Q251" s="51" t="s">
        <v>524</v>
      </c>
      <c r="R251" s="51" t="s">
        <v>132</v>
      </c>
    </row>
    <row r="252" spans="1:18" x14ac:dyDescent="0.25">
      <c r="A252" s="13"/>
      <c r="B252" s="13"/>
      <c r="L252" s="52">
        <v>45762</v>
      </c>
      <c r="M252" s="53">
        <v>0.46913194444444445</v>
      </c>
      <c r="N252" s="51" t="s">
        <v>190</v>
      </c>
      <c r="O252" s="51" t="s">
        <v>2</v>
      </c>
      <c r="Q252" s="51" t="s">
        <v>524</v>
      </c>
      <c r="R252" s="51" t="s">
        <v>132</v>
      </c>
    </row>
    <row r="253" spans="1:18" x14ac:dyDescent="0.25">
      <c r="A253" s="13"/>
      <c r="B253" s="13"/>
      <c r="L253" s="52">
        <v>45762</v>
      </c>
      <c r="M253" s="53">
        <v>0.46913194444444445</v>
      </c>
      <c r="N253" s="51" t="s">
        <v>191</v>
      </c>
      <c r="O253" s="51" t="s">
        <v>2</v>
      </c>
      <c r="Q253" s="51" t="s">
        <v>524</v>
      </c>
      <c r="R253" s="51" t="s">
        <v>132</v>
      </c>
    </row>
    <row r="254" spans="1:18" x14ac:dyDescent="0.25">
      <c r="A254" s="13"/>
      <c r="B254" s="13"/>
      <c r="L254" s="52">
        <v>45762</v>
      </c>
      <c r="M254" s="53">
        <v>0.46913194444444445</v>
      </c>
      <c r="N254" s="51" t="s">
        <v>192</v>
      </c>
      <c r="O254" s="51" t="s">
        <v>2</v>
      </c>
      <c r="Q254" s="51" t="s">
        <v>524</v>
      </c>
      <c r="R254" s="51" t="s">
        <v>132</v>
      </c>
    </row>
    <row r="255" spans="1:18" x14ac:dyDescent="0.25">
      <c r="A255" s="13"/>
      <c r="B255" s="13"/>
      <c r="L255" s="52">
        <v>45762</v>
      </c>
      <c r="M255" s="53">
        <v>0.46913194444444445</v>
      </c>
      <c r="N255" s="51" t="s">
        <v>193</v>
      </c>
      <c r="O255" s="51" t="s">
        <v>2</v>
      </c>
      <c r="Q255" s="51" t="s">
        <v>524</v>
      </c>
      <c r="R255" s="51" t="s">
        <v>132</v>
      </c>
    </row>
    <row r="256" spans="1:18" x14ac:dyDescent="0.25">
      <c r="A256" s="13"/>
      <c r="B256" s="13"/>
      <c r="L256" s="52">
        <v>45762</v>
      </c>
      <c r="M256" s="53">
        <v>0.46913194444444445</v>
      </c>
      <c r="N256" s="51" t="s">
        <v>194</v>
      </c>
      <c r="O256" s="51" t="s">
        <v>2</v>
      </c>
      <c r="Q256" s="51" t="s">
        <v>524</v>
      </c>
      <c r="R256" s="51" t="s">
        <v>132</v>
      </c>
    </row>
    <row r="257" spans="1:18" x14ac:dyDescent="0.25">
      <c r="A257" s="13"/>
      <c r="B257" s="13"/>
      <c r="L257" s="52">
        <v>45762</v>
      </c>
      <c r="M257" s="53">
        <v>0.46913194444444445</v>
      </c>
      <c r="N257" s="51" t="s">
        <v>195</v>
      </c>
      <c r="O257" s="51" t="s">
        <v>2</v>
      </c>
      <c r="Q257" s="51" t="s">
        <v>524</v>
      </c>
      <c r="R257" s="51" t="s">
        <v>132</v>
      </c>
    </row>
    <row r="258" spans="1:18" x14ac:dyDescent="0.25">
      <c r="A258" s="13"/>
      <c r="B258" s="13"/>
      <c r="L258" s="52">
        <v>45762</v>
      </c>
      <c r="M258" s="53">
        <v>0.46913194444444445</v>
      </c>
      <c r="N258" s="51" t="s">
        <v>196</v>
      </c>
      <c r="O258" s="51" t="s">
        <v>2</v>
      </c>
      <c r="Q258" s="51" t="s">
        <v>524</v>
      </c>
      <c r="R258" s="51" t="s">
        <v>132</v>
      </c>
    </row>
    <row r="259" spans="1:18" x14ac:dyDescent="0.25">
      <c r="A259" s="13"/>
      <c r="B259" s="13"/>
      <c r="L259" s="52">
        <v>45762</v>
      </c>
      <c r="M259" s="53">
        <v>0.46913194444444445</v>
      </c>
      <c r="N259" s="51" t="s">
        <v>197</v>
      </c>
      <c r="O259" s="51" t="s">
        <v>2</v>
      </c>
      <c r="Q259" s="51" t="s">
        <v>524</v>
      </c>
      <c r="R259" s="51" t="s">
        <v>132</v>
      </c>
    </row>
    <row r="260" spans="1:18" x14ac:dyDescent="0.25">
      <c r="A260" s="13"/>
      <c r="B260" s="13"/>
      <c r="L260" s="52">
        <v>45762</v>
      </c>
      <c r="M260" s="53">
        <v>0.46913194444444445</v>
      </c>
      <c r="N260" s="51" t="s">
        <v>198</v>
      </c>
      <c r="O260" s="51" t="s">
        <v>2</v>
      </c>
      <c r="P260" s="51" t="s">
        <v>99</v>
      </c>
      <c r="Q260" s="51" t="s">
        <v>80</v>
      </c>
      <c r="R260" s="51" t="s">
        <v>78</v>
      </c>
    </row>
    <row r="261" spans="1:18" x14ac:dyDescent="0.25">
      <c r="A261" s="13"/>
      <c r="B261" s="13"/>
      <c r="L261" s="52">
        <v>45762</v>
      </c>
      <c r="M261" s="53">
        <v>0.46913194444444445</v>
      </c>
      <c r="N261" s="51" t="s">
        <v>199</v>
      </c>
      <c r="O261" s="51" t="s">
        <v>2</v>
      </c>
      <c r="P261" s="51" t="s">
        <v>530</v>
      </c>
      <c r="Q261" s="51" t="s">
        <v>80</v>
      </c>
      <c r="R261" s="51" t="s">
        <v>78</v>
      </c>
    </row>
    <row r="262" spans="1:18" x14ac:dyDescent="0.25">
      <c r="A262" s="13"/>
      <c r="B262" s="13"/>
      <c r="L262" s="52">
        <v>45762</v>
      </c>
      <c r="M262" s="53">
        <v>0.46913194444444445</v>
      </c>
      <c r="N262" s="51" t="s">
        <v>200</v>
      </c>
      <c r="O262" s="51" t="s">
        <v>2</v>
      </c>
      <c r="P262" s="51" t="s">
        <v>531</v>
      </c>
      <c r="Q262" s="51" t="s">
        <v>80</v>
      </c>
      <c r="R262" s="51" t="s">
        <v>78</v>
      </c>
    </row>
    <row r="263" spans="1:18" x14ac:dyDescent="0.25">
      <c r="A263" s="13"/>
      <c r="B263" s="13"/>
      <c r="L263" s="52">
        <v>45762</v>
      </c>
      <c r="M263" s="53">
        <v>0.46913194444444445</v>
      </c>
      <c r="N263" s="51" t="s">
        <v>201</v>
      </c>
      <c r="O263" s="51" t="s">
        <v>2</v>
      </c>
      <c r="P263" s="51" t="s">
        <v>532</v>
      </c>
      <c r="Q263" s="51" t="s">
        <v>80</v>
      </c>
      <c r="R263" s="51" t="s">
        <v>78</v>
      </c>
    </row>
    <row r="264" spans="1:18" x14ac:dyDescent="0.25">
      <c r="A264" s="13"/>
      <c r="B264" s="13"/>
      <c r="L264" s="52">
        <v>45762</v>
      </c>
      <c r="M264" s="53">
        <v>0.46913194444444445</v>
      </c>
      <c r="N264" s="51" t="s">
        <v>202</v>
      </c>
      <c r="O264" s="51" t="s">
        <v>2</v>
      </c>
      <c r="P264" s="51" t="s">
        <v>533</v>
      </c>
      <c r="Q264" s="51" t="s">
        <v>80</v>
      </c>
      <c r="R264" s="51" t="s">
        <v>78</v>
      </c>
    </row>
    <row r="265" spans="1:18" x14ac:dyDescent="0.25">
      <c r="A265" s="13"/>
      <c r="B265" s="13"/>
      <c r="L265" s="52">
        <v>45762</v>
      </c>
      <c r="M265" s="53">
        <v>0.46913194444444445</v>
      </c>
      <c r="N265" s="51" t="s">
        <v>203</v>
      </c>
      <c r="O265" s="51" t="s">
        <v>2</v>
      </c>
      <c r="Q265" s="51" t="s">
        <v>524</v>
      </c>
      <c r="R265" s="51" t="s">
        <v>132</v>
      </c>
    </row>
    <row r="266" spans="1:18" x14ac:dyDescent="0.25">
      <c r="A266" s="13"/>
      <c r="B266" s="13"/>
      <c r="L266" s="52">
        <v>45762</v>
      </c>
      <c r="M266" s="53">
        <v>0.46913194444444445</v>
      </c>
      <c r="N266" s="51" t="s">
        <v>204</v>
      </c>
      <c r="O266" s="51" t="s">
        <v>2</v>
      </c>
      <c r="Q266" s="51" t="s">
        <v>524</v>
      </c>
      <c r="R266" s="51" t="s">
        <v>132</v>
      </c>
    </row>
    <row r="267" spans="1:18" x14ac:dyDescent="0.25">
      <c r="A267" s="13"/>
      <c r="B267" s="13"/>
      <c r="L267" s="52">
        <v>45762</v>
      </c>
      <c r="M267" s="53">
        <v>0.46913194444444445</v>
      </c>
      <c r="N267" s="51" t="s">
        <v>205</v>
      </c>
      <c r="O267" s="51" t="s">
        <v>2</v>
      </c>
      <c r="Q267" s="51" t="s">
        <v>524</v>
      </c>
      <c r="R267" s="51" t="s">
        <v>132</v>
      </c>
    </row>
    <row r="268" spans="1:18" x14ac:dyDescent="0.25">
      <c r="A268" s="13"/>
      <c r="B268" s="13"/>
      <c r="L268" s="52">
        <v>45762</v>
      </c>
      <c r="M268" s="53">
        <v>0.46913194444444445</v>
      </c>
      <c r="N268" s="51" t="s">
        <v>206</v>
      </c>
      <c r="O268" s="51" t="s">
        <v>2</v>
      </c>
      <c r="Q268" s="51" t="s">
        <v>524</v>
      </c>
      <c r="R268" s="51" t="s">
        <v>132</v>
      </c>
    </row>
    <row r="269" spans="1:18" x14ac:dyDescent="0.25">
      <c r="A269" s="13"/>
      <c r="B269" s="13"/>
      <c r="L269" s="52">
        <v>45762</v>
      </c>
      <c r="M269" s="53">
        <v>0.46913194444444445</v>
      </c>
      <c r="N269" s="51" t="s">
        <v>207</v>
      </c>
      <c r="O269" s="51" t="s">
        <v>2</v>
      </c>
      <c r="Q269" s="51" t="s">
        <v>524</v>
      </c>
      <c r="R269" s="51" t="s">
        <v>132</v>
      </c>
    </row>
    <row r="270" spans="1:18" x14ac:dyDescent="0.25">
      <c r="A270" s="13"/>
      <c r="B270" s="13"/>
      <c r="L270" s="52">
        <v>45762</v>
      </c>
      <c r="M270" s="53">
        <v>0.46913194444444445</v>
      </c>
      <c r="N270" s="51" t="s">
        <v>208</v>
      </c>
      <c r="O270" s="51" t="s">
        <v>2</v>
      </c>
      <c r="Q270" s="51" t="s">
        <v>524</v>
      </c>
      <c r="R270" s="51" t="s">
        <v>132</v>
      </c>
    </row>
    <row r="271" spans="1:18" x14ac:dyDescent="0.25">
      <c r="A271" s="13"/>
      <c r="B271" s="13"/>
      <c r="L271" s="52">
        <v>45762</v>
      </c>
      <c r="M271" s="53">
        <v>0.46913194444444445</v>
      </c>
      <c r="N271" s="51" t="s">
        <v>209</v>
      </c>
      <c r="O271" s="51" t="s">
        <v>2</v>
      </c>
      <c r="Q271" s="51" t="s">
        <v>524</v>
      </c>
      <c r="R271" s="51" t="s">
        <v>132</v>
      </c>
    </row>
    <row r="272" spans="1:18" x14ac:dyDescent="0.25">
      <c r="A272" s="13"/>
      <c r="B272" s="13"/>
      <c r="L272" s="52">
        <v>45762</v>
      </c>
      <c r="M272" s="53">
        <v>0.46913194444444445</v>
      </c>
      <c r="N272" s="51" t="s">
        <v>210</v>
      </c>
      <c r="O272" s="51" t="s">
        <v>2</v>
      </c>
      <c r="Q272" s="51" t="s">
        <v>524</v>
      </c>
      <c r="R272" s="51" t="s">
        <v>132</v>
      </c>
    </row>
    <row r="273" spans="1:18" x14ac:dyDescent="0.25">
      <c r="A273" s="13"/>
      <c r="B273" s="13"/>
      <c r="L273" s="52">
        <v>45762</v>
      </c>
      <c r="M273" s="53">
        <v>0.46913194444444445</v>
      </c>
      <c r="N273" s="51" t="s">
        <v>211</v>
      </c>
      <c r="O273" s="51" t="s">
        <v>2</v>
      </c>
      <c r="P273" s="51" t="s">
        <v>94</v>
      </c>
      <c r="Q273" s="51" t="s">
        <v>80</v>
      </c>
      <c r="R273" s="51" t="s">
        <v>78</v>
      </c>
    </row>
    <row r="274" spans="1:18" x14ac:dyDescent="0.25">
      <c r="A274" s="13"/>
      <c r="B274" s="13"/>
      <c r="L274" s="52">
        <v>45762</v>
      </c>
      <c r="M274" s="53">
        <v>0.46913194444444445</v>
      </c>
      <c r="N274" s="51" t="s">
        <v>212</v>
      </c>
      <c r="O274" s="51" t="s">
        <v>2</v>
      </c>
      <c r="P274" s="51" t="s">
        <v>95</v>
      </c>
      <c r="Q274" s="51" t="s">
        <v>80</v>
      </c>
      <c r="R274" s="51" t="s">
        <v>78</v>
      </c>
    </row>
    <row r="275" spans="1:18" x14ac:dyDescent="0.25">
      <c r="A275" s="13"/>
      <c r="B275" s="13"/>
      <c r="L275" s="52">
        <v>45762</v>
      </c>
      <c r="M275" s="53">
        <v>0.46913194444444445</v>
      </c>
      <c r="N275" s="51" t="s">
        <v>213</v>
      </c>
      <c r="O275" s="51" t="s">
        <v>2</v>
      </c>
      <c r="P275" s="51" t="s">
        <v>96</v>
      </c>
      <c r="Q275" s="51" t="s">
        <v>80</v>
      </c>
      <c r="R275" s="51" t="s">
        <v>78</v>
      </c>
    </row>
    <row r="276" spans="1:18" x14ac:dyDescent="0.25">
      <c r="A276" s="13"/>
      <c r="B276" s="13"/>
      <c r="L276" s="52">
        <v>45762</v>
      </c>
      <c r="M276" s="53">
        <v>0.46913194444444445</v>
      </c>
      <c r="N276" s="51" t="s">
        <v>214</v>
      </c>
      <c r="O276" s="51" t="s">
        <v>2</v>
      </c>
      <c r="P276" s="51" t="s">
        <v>97</v>
      </c>
      <c r="Q276" s="51" t="s">
        <v>80</v>
      </c>
      <c r="R276" s="51" t="s">
        <v>78</v>
      </c>
    </row>
    <row r="277" spans="1:18" x14ac:dyDescent="0.25">
      <c r="A277" s="13"/>
      <c r="B277" s="13"/>
      <c r="L277" s="52">
        <v>45762</v>
      </c>
      <c r="M277" s="53">
        <v>0.46913194444444445</v>
      </c>
      <c r="N277" s="51" t="s">
        <v>215</v>
      </c>
      <c r="O277" s="51" t="s">
        <v>2</v>
      </c>
      <c r="P277" s="51" t="s">
        <v>98</v>
      </c>
      <c r="Q277" s="51" t="s">
        <v>80</v>
      </c>
      <c r="R277" s="51" t="s">
        <v>78</v>
      </c>
    </row>
    <row r="278" spans="1:18" x14ac:dyDescent="0.25">
      <c r="A278" s="13"/>
      <c r="B278" s="13"/>
      <c r="L278" s="52">
        <v>45762</v>
      </c>
      <c r="M278" s="53">
        <v>0.46913194444444445</v>
      </c>
      <c r="N278" s="51" t="s">
        <v>216</v>
      </c>
      <c r="O278" s="51" t="s">
        <v>2</v>
      </c>
      <c r="P278" s="51" t="s">
        <v>534</v>
      </c>
      <c r="Q278" s="51" t="s">
        <v>80</v>
      </c>
      <c r="R278" s="51" t="s">
        <v>78</v>
      </c>
    </row>
    <row r="279" spans="1:18" x14ac:dyDescent="0.25">
      <c r="A279" s="13"/>
      <c r="B279" s="13"/>
      <c r="L279" s="52">
        <v>45762</v>
      </c>
      <c r="M279" s="53">
        <v>0.46913194444444445</v>
      </c>
      <c r="N279" s="51" t="s">
        <v>217</v>
      </c>
      <c r="O279" s="51" t="s">
        <v>2</v>
      </c>
      <c r="Q279" s="51" t="s">
        <v>524</v>
      </c>
      <c r="R279" s="51" t="s">
        <v>132</v>
      </c>
    </row>
    <row r="280" spans="1:18" x14ac:dyDescent="0.25">
      <c r="A280" s="13"/>
      <c r="B280" s="13"/>
      <c r="L280" s="52">
        <v>45762</v>
      </c>
      <c r="M280" s="53">
        <v>0.46913194444444445</v>
      </c>
      <c r="N280" s="51" t="s">
        <v>218</v>
      </c>
      <c r="O280" s="51" t="s">
        <v>2</v>
      </c>
      <c r="Q280" s="51" t="s">
        <v>524</v>
      </c>
      <c r="R280" s="51" t="s">
        <v>132</v>
      </c>
    </row>
    <row r="281" spans="1:18" x14ac:dyDescent="0.25">
      <c r="A281" s="13"/>
      <c r="B281" s="13"/>
      <c r="L281" s="52">
        <v>45762</v>
      </c>
      <c r="M281" s="53">
        <v>0.46913194444444445</v>
      </c>
      <c r="N281" s="51" t="s">
        <v>219</v>
      </c>
      <c r="O281" s="51" t="s">
        <v>2</v>
      </c>
      <c r="Q281" s="51" t="s">
        <v>524</v>
      </c>
      <c r="R281" s="51" t="s">
        <v>132</v>
      </c>
    </row>
    <row r="282" spans="1:18" x14ac:dyDescent="0.25">
      <c r="A282" s="13"/>
      <c r="B282" s="13"/>
      <c r="L282" s="52">
        <v>45762</v>
      </c>
      <c r="M282" s="53">
        <v>0.46913194444444445</v>
      </c>
      <c r="N282" s="51" t="s">
        <v>220</v>
      </c>
      <c r="O282" s="51" t="s">
        <v>2</v>
      </c>
      <c r="Q282" s="51" t="s">
        <v>524</v>
      </c>
      <c r="R282" s="51" t="s">
        <v>132</v>
      </c>
    </row>
    <row r="283" spans="1:18" x14ac:dyDescent="0.25">
      <c r="A283" s="13"/>
      <c r="B283" s="13"/>
      <c r="L283" s="52">
        <v>45762</v>
      </c>
      <c r="M283" s="53">
        <v>0.46913194444444445</v>
      </c>
      <c r="N283" s="51" t="s">
        <v>221</v>
      </c>
      <c r="O283" s="51" t="s">
        <v>2</v>
      </c>
      <c r="Q283" s="51" t="s">
        <v>524</v>
      </c>
      <c r="R283" s="51" t="s">
        <v>132</v>
      </c>
    </row>
    <row r="284" spans="1:18" x14ac:dyDescent="0.25">
      <c r="A284" s="13"/>
      <c r="B284" s="13"/>
      <c r="L284" s="52">
        <v>45762</v>
      </c>
      <c r="M284" s="53">
        <v>0.46913194444444445</v>
      </c>
      <c r="N284" s="51" t="s">
        <v>222</v>
      </c>
      <c r="O284" s="51" t="s">
        <v>2</v>
      </c>
      <c r="Q284" s="51" t="s">
        <v>524</v>
      </c>
      <c r="R284" s="51" t="s">
        <v>132</v>
      </c>
    </row>
    <row r="285" spans="1:18" x14ac:dyDescent="0.25">
      <c r="A285" s="13"/>
      <c r="B285" s="13"/>
      <c r="L285" s="52">
        <v>45762</v>
      </c>
      <c r="M285" s="53">
        <v>0.46913194444444445</v>
      </c>
      <c r="N285" s="51" t="s">
        <v>223</v>
      </c>
      <c r="O285" s="51" t="s">
        <v>2</v>
      </c>
      <c r="Q285" s="51" t="s">
        <v>524</v>
      </c>
      <c r="R285" s="51" t="s">
        <v>132</v>
      </c>
    </row>
    <row r="286" spans="1:18" x14ac:dyDescent="0.25">
      <c r="A286" s="13"/>
      <c r="B286" s="13"/>
      <c r="L286" s="52">
        <v>45762</v>
      </c>
      <c r="M286" s="53">
        <v>0.46913194444444445</v>
      </c>
      <c r="N286" s="51" t="s">
        <v>224</v>
      </c>
      <c r="O286" s="51" t="s">
        <v>2</v>
      </c>
      <c r="Q286" s="51" t="s">
        <v>524</v>
      </c>
      <c r="R286" s="51" t="s">
        <v>132</v>
      </c>
    </row>
    <row r="287" spans="1:18" x14ac:dyDescent="0.25">
      <c r="A287" s="13"/>
      <c r="B287" s="13"/>
      <c r="L287" s="52">
        <v>45762</v>
      </c>
      <c r="M287" s="53">
        <v>0.46913194444444445</v>
      </c>
      <c r="N287" s="51" t="s">
        <v>225</v>
      </c>
      <c r="O287" s="51" t="s">
        <v>2</v>
      </c>
      <c r="Q287" s="51" t="s">
        <v>524</v>
      </c>
      <c r="R287" s="51" t="s">
        <v>132</v>
      </c>
    </row>
    <row r="288" spans="1:18" x14ac:dyDescent="0.25">
      <c r="A288" s="13"/>
      <c r="B288" s="13"/>
      <c r="L288" s="52">
        <v>45762</v>
      </c>
      <c r="M288" s="53">
        <v>0.46913194444444445</v>
      </c>
      <c r="N288" s="51" t="s">
        <v>226</v>
      </c>
      <c r="O288" s="51" t="s">
        <v>2</v>
      </c>
      <c r="Q288" s="51" t="s">
        <v>524</v>
      </c>
      <c r="R288" s="51" t="s">
        <v>132</v>
      </c>
    </row>
    <row r="289" spans="1:18" x14ac:dyDescent="0.25">
      <c r="A289" s="13"/>
      <c r="B289" s="13"/>
      <c r="L289" s="52">
        <v>45762</v>
      </c>
      <c r="M289" s="53">
        <v>0.46913194444444445</v>
      </c>
      <c r="N289" s="51" t="s">
        <v>227</v>
      </c>
      <c r="O289" s="51" t="s">
        <v>2</v>
      </c>
      <c r="Q289" s="51" t="s">
        <v>524</v>
      </c>
      <c r="R289" s="51" t="s">
        <v>132</v>
      </c>
    </row>
    <row r="290" spans="1:18" x14ac:dyDescent="0.25">
      <c r="A290" s="13"/>
      <c r="B290" s="13"/>
      <c r="L290" s="52">
        <v>45762</v>
      </c>
      <c r="M290" s="53">
        <v>0.46913194444444445</v>
      </c>
      <c r="N290" s="51" t="s">
        <v>228</v>
      </c>
      <c r="O290" s="51" t="s">
        <v>2</v>
      </c>
      <c r="Q290" s="51" t="s">
        <v>524</v>
      </c>
      <c r="R290" s="51" t="s">
        <v>132</v>
      </c>
    </row>
    <row r="291" spans="1:18" x14ac:dyDescent="0.25">
      <c r="A291" s="13"/>
      <c r="B291" s="13"/>
      <c r="L291" s="52">
        <v>45762</v>
      </c>
      <c r="M291" s="53">
        <v>0.46913194444444445</v>
      </c>
      <c r="N291" s="51" t="s">
        <v>229</v>
      </c>
      <c r="O291" s="51" t="s">
        <v>2</v>
      </c>
      <c r="Q291" s="51" t="s">
        <v>524</v>
      </c>
      <c r="R291" s="51" t="s">
        <v>132</v>
      </c>
    </row>
    <row r="292" spans="1:18" x14ac:dyDescent="0.25">
      <c r="A292" s="13"/>
      <c r="B292" s="13"/>
      <c r="L292" s="52">
        <v>45762</v>
      </c>
      <c r="M292" s="53">
        <v>0.46913194444444445</v>
      </c>
      <c r="N292" s="51" t="s">
        <v>230</v>
      </c>
      <c r="O292" s="51" t="s">
        <v>2</v>
      </c>
      <c r="Q292" s="51" t="s">
        <v>524</v>
      </c>
      <c r="R292" s="51" t="s">
        <v>132</v>
      </c>
    </row>
    <row r="293" spans="1:18" x14ac:dyDescent="0.25">
      <c r="A293" s="13"/>
      <c r="B293" s="13"/>
      <c r="L293" s="52">
        <v>45762</v>
      </c>
      <c r="M293" s="53">
        <v>0.46913194444444445</v>
      </c>
      <c r="N293" s="51" t="s">
        <v>231</v>
      </c>
      <c r="O293" s="51" t="s">
        <v>2</v>
      </c>
      <c r="Q293" s="51" t="s">
        <v>524</v>
      </c>
      <c r="R293" s="51" t="s">
        <v>132</v>
      </c>
    </row>
    <row r="294" spans="1:18" x14ac:dyDescent="0.25">
      <c r="A294" s="13"/>
      <c r="B294" s="13"/>
      <c r="L294" s="52">
        <v>45762</v>
      </c>
      <c r="M294" s="53">
        <v>0.46913194444444445</v>
      </c>
      <c r="N294" s="51" t="s">
        <v>232</v>
      </c>
      <c r="O294" s="51" t="s">
        <v>2</v>
      </c>
      <c r="Q294" s="51" t="s">
        <v>524</v>
      </c>
      <c r="R294" s="51" t="s">
        <v>132</v>
      </c>
    </row>
    <row r="295" spans="1:18" x14ac:dyDescent="0.25">
      <c r="A295" s="13"/>
      <c r="B295" s="13"/>
      <c r="L295" s="52">
        <v>45762</v>
      </c>
      <c r="M295" s="53">
        <v>0.46913194444444445</v>
      </c>
      <c r="N295" s="51" t="s">
        <v>233</v>
      </c>
      <c r="O295" s="51" t="s">
        <v>2</v>
      </c>
      <c r="Q295" s="51" t="s">
        <v>524</v>
      </c>
      <c r="R295" s="51" t="s">
        <v>132</v>
      </c>
    </row>
    <row r="296" spans="1:18" x14ac:dyDescent="0.25">
      <c r="A296" s="13"/>
      <c r="B296" s="13"/>
      <c r="L296" s="52">
        <v>45762</v>
      </c>
      <c r="M296" s="53">
        <v>0.46913194444444445</v>
      </c>
      <c r="N296" s="51" t="s">
        <v>234</v>
      </c>
      <c r="O296" s="51" t="s">
        <v>2</v>
      </c>
      <c r="Q296" s="51" t="s">
        <v>524</v>
      </c>
      <c r="R296" s="51" t="s">
        <v>132</v>
      </c>
    </row>
    <row r="297" spans="1:18" x14ac:dyDescent="0.25">
      <c r="A297" s="13"/>
      <c r="B297" s="13"/>
      <c r="L297" s="52">
        <v>45762</v>
      </c>
      <c r="M297" s="53">
        <v>0.46913194444444445</v>
      </c>
      <c r="N297" s="51" t="s">
        <v>235</v>
      </c>
      <c r="O297" s="51" t="s">
        <v>2</v>
      </c>
      <c r="Q297" s="51" t="s">
        <v>524</v>
      </c>
      <c r="R297" s="51" t="s">
        <v>132</v>
      </c>
    </row>
    <row r="298" spans="1:18" x14ac:dyDescent="0.25">
      <c r="A298" s="13"/>
      <c r="B298" s="13"/>
      <c r="L298" s="52">
        <v>45762</v>
      </c>
      <c r="M298" s="53">
        <v>0.46913194444444445</v>
      </c>
      <c r="N298" s="51" t="s">
        <v>236</v>
      </c>
      <c r="O298" s="51" t="s">
        <v>2</v>
      </c>
      <c r="Q298" s="51" t="s">
        <v>524</v>
      </c>
      <c r="R298" s="51" t="s">
        <v>132</v>
      </c>
    </row>
    <row r="299" spans="1:18" x14ac:dyDescent="0.25">
      <c r="A299" s="13"/>
      <c r="B299" s="13"/>
      <c r="L299" s="52">
        <v>45762</v>
      </c>
      <c r="M299" s="53">
        <v>0.46913194444444445</v>
      </c>
      <c r="N299" s="51" t="s">
        <v>237</v>
      </c>
      <c r="O299" s="51" t="s">
        <v>2</v>
      </c>
      <c r="Q299" s="51" t="s">
        <v>524</v>
      </c>
      <c r="R299" s="51" t="s">
        <v>132</v>
      </c>
    </row>
    <row r="300" spans="1:18" x14ac:dyDescent="0.25">
      <c r="A300" s="13"/>
      <c r="B300" s="13"/>
      <c r="L300" s="52">
        <v>45762</v>
      </c>
      <c r="M300" s="53">
        <v>0.46913194444444445</v>
      </c>
      <c r="N300" s="51" t="s">
        <v>238</v>
      </c>
      <c r="O300" s="51" t="s">
        <v>2</v>
      </c>
      <c r="Q300" s="51" t="s">
        <v>524</v>
      </c>
      <c r="R300" s="51" t="s">
        <v>132</v>
      </c>
    </row>
    <row r="301" spans="1:18" x14ac:dyDescent="0.25">
      <c r="A301" s="13"/>
      <c r="B301" s="13"/>
      <c r="L301" s="52">
        <v>45762</v>
      </c>
      <c r="M301" s="53">
        <v>0.46913194444444445</v>
      </c>
      <c r="N301" s="51" t="s">
        <v>239</v>
      </c>
      <c r="O301" s="51" t="s">
        <v>2</v>
      </c>
      <c r="Q301" s="51" t="s">
        <v>524</v>
      </c>
      <c r="R301" s="51" t="s">
        <v>132</v>
      </c>
    </row>
    <row r="302" spans="1:18" x14ac:dyDescent="0.25">
      <c r="A302" s="13"/>
      <c r="B302" s="13"/>
      <c r="L302" s="52">
        <v>45762</v>
      </c>
      <c r="M302" s="53">
        <v>0.46913194444444445</v>
      </c>
      <c r="N302" s="51" t="s">
        <v>240</v>
      </c>
      <c r="O302" s="51" t="s">
        <v>2</v>
      </c>
      <c r="Q302" s="51" t="s">
        <v>524</v>
      </c>
      <c r="R302" s="51" t="s">
        <v>132</v>
      </c>
    </row>
    <row r="303" spans="1:18" x14ac:dyDescent="0.25">
      <c r="A303" s="13"/>
      <c r="B303" s="13"/>
      <c r="L303" s="52">
        <v>45762</v>
      </c>
      <c r="M303" s="53">
        <v>0.46913194444444445</v>
      </c>
      <c r="N303" s="51" t="s">
        <v>241</v>
      </c>
      <c r="O303" s="51" t="s">
        <v>2</v>
      </c>
      <c r="Q303" s="51" t="s">
        <v>524</v>
      </c>
      <c r="R303" s="51" t="s">
        <v>132</v>
      </c>
    </row>
    <row r="304" spans="1:18" x14ac:dyDescent="0.25">
      <c r="A304" s="13"/>
      <c r="B304" s="13"/>
      <c r="L304" s="52">
        <v>45762</v>
      </c>
      <c r="M304" s="53">
        <v>0.46913194444444445</v>
      </c>
      <c r="N304" s="51" t="s">
        <v>242</v>
      </c>
      <c r="O304" s="51" t="s">
        <v>2</v>
      </c>
      <c r="Q304" s="51" t="s">
        <v>524</v>
      </c>
      <c r="R304" s="51" t="s">
        <v>132</v>
      </c>
    </row>
    <row r="305" spans="1:18" x14ac:dyDescent="0.25">
      <c r="A305" s="13"/>
      <c r="B305" s="13"/>
      <c r="L305" s="52">
        <v>45762</v>
      </c>
      <c r="M305" s="53">
        <v>0.46913194444444445</v>
      </c>
      <c r="N305" s="51" t="s">
        <v>243</v>
      </c>
      <c r="O305" s="51" t="s">
        <v>2</v>
      </c>
      <c r="Q305" s="51" t="s">
        <v>524</v>
      </c>
      <c r="R305" s="51" t="s">
        <v>132</v>
      </c>
    </row>
    <row r="306" spans="1:18" x14ac:dyDescent="0.25">
      <c r="A306" s="13"/>
      <c r="B306" s="13"/>
      <c r="L306" s="52">
        <v>45762</v>
      </c>
      <c r="M306" s="53">
        <v>0.46913194444444445</v>
      </c>
      <c r="N306" s="51" t="s">
        <v>244</v>
      </c>
      <c r="O306" s="51" t="s">
        <v>2</v>
      </c>
      <c r="Q306" s="51" t="s">
        <v>524</v>
      </c>
      <c r="R306" s="51" t="s">
        <v>132</v>
      </c>
    </row>
    <row r="307" spans="1:18" x14ac:dyDescent="0.25">
      <c r="A307" s="13"/>
      <c r="B307" s="13"/>
      <c r="L307" s="52">
        <v>45762</v>
      </c>
      <c r="M307" s="53">
        <v>0.46913194444444445</v>
      </c>
      <c r="N307" s="51" t="s">
        <v>245</v>
      </c>
      <c r="O307" s="51" t="s">
        <v>2</v>
      </c>
      <c r="Q307" s="51" t="s">
        <v>524</v>
      </c>
      <c r="R307" s="51" t="s">
        <v>132</v>
      </c>
    </row>
    <row r="308" spans="1:18" x14ac:dyDescent="0.25">
      <c r="A308" s="13"/>
      <c r="B308" s="13"/>
      <c r="L308" s="52">
        <v>45762</v>
      </c>
      <c r="M308" s="53">
        <v>0.46913194444444445</v>
      </c>
      <c r="N308" s="51" t="s">
        <v>246</v>
      </c>
      <c r="O308" s="51" t="s">
        <v>2</v>
      </c>
      <c r="Q308" s="51" t="s">
        <v>524</v>
      </c>
      <c r="R308" s="51" t="s">
        <v>132</v>
      </c>
    </row>
    <row r="309" spans="1:18" x14ac:dyDescent="0.25">
      <c r="A309" s="13"/>
      <c r="B309" s="13"/>
      <c r="L309" s="52">
        <v>45762</v>
      </c>
      <c r="M309" s="53">
        <v>0.46913194444444445</v>
      </c>
      <c r="N309" s="51" t="s">
        <v>247</v>
      </c>
      <c r="O309" s="51" t="s">
        <v>2</v>
      </c>
      <c r="Q309" s="51" t="s">
        <v>524</v>
      </c>
      <c r="R309" s="51" t="s">
        <v>132</v>
      </c>
    </row>
    <row r="310" spans="1:18" x14ac:dyDescent="0.25">
      <c r="A310" s="13"/>
      <c r="B310" s="13"/>
      <c r="L310" s="52">
        <v>45762</v>
      </c>
      <c r="M310" s="53">
        <v>0.46913194444444445</v>
      </c>
      <c r="N310" s="51" t="s">
        <v>248</v>
      </c>
      <c r="O310" s="51" t="s">
        <v>2</v>
      </c>
      <c r="Q310" s="51" t="s">
        <v>524</v>
      </c>
      <c r="R310" s="51" t="s">
        <v>132</v>
      </c>
    </row>
    <row r="311" spans="1:18" x14ac:dyDescent="0.25">
      <c r="A311" s="13"/>
      <c r="B311" s="13"/>
      <c r="L311" s="52">
        <v>45762</v>
      </c>
      <c r="M311" s="53">
        <v>0.46913194444444445</v>
      </c>
      <c r="N311" s="51" t="s">
        <v>249</v>
      </c>
      <c r="O311" s="51" t="s">
        <v>2</v>
      </c>
      <c r="Q311" s="51" t="s">
        <v>524</v>
      </c>
      <c r="R311" s="51" t="s">
        <v>132</v>
      </c>
    </row>
    <row r="312" spans="1:18" x14ac:dyDescent="0.25">
      <c r="A312" s="13"/>
      <c r="B312" s="13"/>
      <c r="L312" s="52">
        <v>45762</v>
      </c>
      <c r="M312" s="53">
        <v>0.46913194444444445</v>
      </c>
      <c r="N312" s="51" t="s">
        <v>250</v>
      </c>
      <c r="O312" s="51" t="s">
        <v>2</v>
      </c>
      <c r="Q312" s="51" t="s">
        <v>524</v>
      </c>
      <c r="R312" s="51" t="s">
        <v>132</v>
      </c>
    </row>
    <row r="313" spans="1:18" x14ac:dyDescent="0.25">
      <c r="A313" s="13"/>
      <c r="B313" s="13"/>
      <c r="L313" s="52">
        <v>45762</v>
      </c>
      <c r="M313" s="53">
        <v>0.46913194444444445</v>
      </c>
      <c r="N313" s="51" t="s">
        <v>251</v>
      </c>
      <c r="O313" s="51" t="s">
        <v>2</v>
      </c>
      <c r="Q313" s="51" t="s">
        <v>524</v>
      </c>
      <c r="R313" s="51" t="s">
        <v>132</v>
      </c>
    </row>
    <row r="314" spans="1:18" x14ac:dyDescent="0.25">
      <c r="A314" s="13"/>
      <c r="B314" s="13"/>
      <c r="L314" s="52">
        <v>45762</v>
      </c>
      <c r="M314" s="53">
        <v>0.46913194444444445</v>
      </c>
      <c r="N314" s="51" t="s">
        <v>252</v>
      </c>
      <c r="O314" s="51" t="s">
        <v>2</v>
      </c>
      <c r="Q314" s="51" t="s">
        <v>524</v>
      </c>
      <c r="R314" s="51" t="s">
        <v>132</v>
      </c>
    </row>
    <row r="315" spans="1:18" x14ac:dyDescent="0.25">
      <c r="A315" s="13"/>
      <c r="B315" s="13"/>
      <c r="L315" s="52">
        <v>45762</v>
      </c>
      <c r="M315" s="53">
        <v>0.46913194444444445</v>
      </c>
      <c r="N315" s="51" t="s">
        <v>253</v>
      </c>
      <c r="O315" s="51" t="s">
        <v>2</v>
      </c>
      <c r="Q315" s="51" t="s">
        <v>524</v>
      </c>
      <c r="R315" s="51" t="s">
        <v>132</v>
      </c>
    </row>
    <row r="316" spans="1:18" x14ac:dyDescent="0.25">
      <c r="A316" s="13"/>
      <c r="B316" s="13"/>
      <c r="L316" s="52">
        <v>45762</v>
      </c>
      <c r="M316" s="53">
        <v>0.46913194444444445</v>
      </c>
      <c r="N316" s="51" t="s">
        <v>254</v>
      </c>
      <c r="O316" s="51" t="s">
        <v>2</v>
      </c>
      <c r="Q316" s="51" t="s">
        <v>524</v>
      </c>
      <c r="R316" s="51" t="s">
        <v>132</v>
      </c>
    </row>
    <row r="317" spans="1:18" x14ac:dyDescent="0.25">
      <c r="A317" s="13"/>
      <c r="B317" s="13"/>
      <c r="L317" s="52">
        <v>45762</v>
      </c>
      <c r="M317" s="53">
        <v>0.46913194444444445</v>
      </c>
      <c r="N317" s="51" t="s">
        <v>255</v>
      </c>
      <c r="O317" s="51" t="s">
        <v>2</v>
      </c>
      <c r="Q317" s="51" t="s">
        <v>524</v>
      </c>
      <c r="R317" s="51" t="s">
        <v>132</v>
      </c>
    </row>
    <row r="318" spans="1:18" x14ac:dyDescent="0.25">
      <c r="A318" s="13"/>
      <c r="B318" s="13"/>
      <c r="L318" s="52">
        <v>45762</v>
      </c>
      <c r="M318" s="53">
        <v>0.46913194444444445</v>
      </c>
      <c r="N318" s="51" t="s">
        <v>256</v>
      </c>
      <c r="O318" s="51" t="s">
        <v>2</v>
      </c>
      <c r="Q318" s="51" t="s">
        <v>524</v>
      </c>
      <c r="R318" s="51" t="s">
        <v>132</v>
      </c>
    </row>
    <row r="319" spans="1:18" x14ac:dyDescent="0.25">
      <c r="A319" s="13"/>
      <c r="B319" s="13"/>
      <c r="L319" s="52">
        <v>45762</v>
      </c>
      <c r="M319" s="53">
        <v>0.46913194444444445</v>
      </c>
      <c r="N319" s="51" t="s">
        <v>257</v>
      </c>
      <c r="O319" s="51" t="s">
        <v>2</v>
      </c>
      <c r="Q319" s="51" t="s">
        <v>524</v>
      </c>
      <c r="R319" s="51" t="s">
        <v>132</v>
      </c>
    </row>
    <row r="320" spans="1:18" x14ac:dyDescent="0.25">
      <c r="A320" s="13"/>
      <c r="B320" s="13"/>
      <c r="L320" s="52">
        <v>45762</v>
      </c>
      <c r="M320" s="53">
        <v>0.46913194444444445</v>
      </c>
      <c r="N320" s="51" t="s">
        <v>258</v>
      </c>
      <c r="O320" s="51" t="s">
        <v>2</v>
      </c>
      <c r="Q320" s="51" t="s">
        <v>524</v>
      </c>
      <c r="R320" s="51" t="s">
        <v>132</v>
      </c>
    </row>
    <row r="321" spans="1:18" x14ac:dyDescent="0.25">
      <c r="A321" s="13"/>
      <c r="B321" s="13"/>
      <c r="L321" s="52">
        <v>45762</v>
      </c>
      <c r="M321" s="53">
        <v>0.46913194444444445</v>
      </c>
      <c r="N321" s="51" t="s">
        <v>259</v>
      </c>
      <c r="O321" s="51" t="s">
        <v>2</v>
      </c>
      <c r="Q321" s="51" t="s">
        <v>524</v>
      </c>
      <c r="R321" s="51" t="s">
        <v>132</v>
      </c>
    </row>
    <row r="322" spans="1:18" x14ac:dyDescent="0.25">
      <c r="A322" s="13"/>
      <c r="B322" s="13"/>
      <c r="L322" s="52">
        <v>45762</v>
      </c>
      <c r="M322" s="53">
        <v>0.46913194444444445</v>
      </c>
      <c r="N322" s="51" t="s">
        <v>260</v>
      </c>
      <c r="O322" s="51" t="s">
        <v>2</v>
      </c>
      <c r="Q322" s="51" t="s">
        <v>524</v>
      </c>
      <c r="R322" s="51" t="s">
        <v>132</v>
      </c>
    </row>
    <row r="323" spans="1:18" x14ac:dyDescent="0.25">
      <c r="A323" s="13"/>
      <c r="B323" s="13"/>
      <c r="L323" s="52">
        <v>45762</v>
      </c>
      <c r="M323" s="53">
        <v>0.46913194444444445</v>
      </c>
      <c r="N323" s="51" t="s">
        <v>261</v>
      </c>
      <c r="O323" s="51" t="s">
        <v>2</v>
      </c>
      <c r="Q323" s="51" t="s">
        <v>524</v>
      </c>
      <c r="R323" s="51" t="s">
        <v>132</v>
      </c>
    </row>
    <row r="324" spans="1:18" x14ac:dyDescent="0.25">
      <c r="A324" s="13"/>
      <c r="B324" s="13"/>
      <c r="L324" s="52">
        <v>45762</v>
      </c>
      <c r="M324" s="53">
        <v>0.46913194444444445</v>
      </c>
      <c r="N324" s="51" t="s">
        <v>262</v>
      </c>
      <c r="O324" s="51" t="s">
        <v>2</v>
      </c>
      <c r="Q324" s="51" t="s">
        <v>524</v>
      </c>
      <c r="R324" s="51" t="s">
        <v>132</v>
      </c>
    </row>
    <row r="325" spans="1:18" x14ac:dyDescent="0.25">
      <c r="A325" s="13"/>
      <c r="B325" s="13"/>
      <c r="L325" s="52">
        <v>45762</v>
      </c>
      <c r="M325" s="53">
        <v>0.46913194444444445</v>
      </c>
      <c r="N325" s="51" t="s">
        <v>263</v>
      </c>
      <c r="O325" s="51" t="s">
        <v>2</v>
      </c>
      <c r="Q325" s="51" t="s">
        <v>524</v>
      </c>
      <c r="R325" s="51" t="s">
        <v>132</v>
      </c>
    </row>
    <row r="326" spans="1:18" x14ac:dyDescent="0.25">
      <c r="A326" s="13"/>
      <c r="B326" s="13"/>
      <c r="L326" s="52">
        <v>45762</v>
      </c>
      <c r="M326" s="53">
        <v>0.46913194444444445</v>
      </c>
      <c r="N326" s="51" t="s">
        <v>264</v>
      </c>
      <c r="O326" s="51" t="s">
        <v>2</v>
      </c>
      <c r="Q326" s="51" t="s">
        <v>524</v>
      </c>
      <c r="R326" s="51" t="s">
        <v>132</v>
      </c>
    </row>
    <row r="327" spans="1:18" x14ac:dyDescent="0.25">
      <c r="A327" s="13"/>
      <c r="B327" s="13"/>
      <c r="L327" s="52">
        <v>45762</v>
      </c>
      <c r="M327" s="53">
        <v>0.46913194444444445</v>
      </c>
      <c r="N327" s="51" t="s">
        <v>265</v>
      </c>
      <c r="O327" s="51" t="s">
        <v>2</v>
      </c>
      <c r="Q327" s="51" t="s">
        <v>524</v>
      </c>
      <c r="R327" s="51" t="s">
        <v>132</v>
      </c>
    </row>
    <row r="328" spans="1:18" x14ac:dyDescent="0.25">
      <c r="A328" s="13"/>
      <c r="B328" s="13"/>
      <c r="L328" s="52">
        <v>45762</v>
      </c>
      <c r="M328" s="53">
        <v>0.46913194444444445</v>
      </c>
      <c r="N328" s="51" t="s">
        <v>266</v>
      </c>
      <c r="O328" s="51" t="s">
        <v>2</v>
      </c>
      <c r="Q328" s="51" t="s">
        <v>524</v>
      </c>
      <c r="R328" s="51" t="s">
        <v>132</v>
      </c>
    </row>
    <row r="329" spans="1:18" x14ac:dyDescent="0.25">
      <c r="A329" s="13"/>
      <c r="B329" s="13"/>
      <c r="L329" s="52">
        <v>45762</v>
      </c>
      <c r="M329" s="53">
        <v>0.46913194444444445</v>
      </c>
      <c r="N329" s="51" t="s">
        <v>267</v>
      </c>
      <c r="O329" s="51" t="s">
        <v>2</v>
      </c>
      <c r="Q329" s="51" t="s">
        <v>524</v>
      </c>
      <c r="R329" s="51" t="s">
        <v>132</v>
      </c>
    </row>
    <row r="330" spans="1:18" x14ac:dyDescent="0.25">
      <c r="A330" s="13"/>
      <c r="B330" s="13"/>
      <c r="L330" s="52">
        <v>45762</v>
      </c>
      <c r="M330" s="53">
        <v>0.46913194444444445</v>
      </c>
      <c r="N330" s="51" t="s">
        <v>268</v>
      </c>
      <c r="O330" s="51" t="s">
        <v>2</v>
      </c>
      <c r="Q330" s="51" t="s">
        <v>524</v>
      </c>
      <c r="R330" s="51" t="s">
        <v>132</v>
      </c>
    </row>
    <row r="331" spans="1:18" x14ac:dyDescent="0.25">
      <c r="A331" s="13"/>
      <c r="B331" s="13"/>
      <c r="L331" s="52">
        <v>45762</v>
      </c>
      <c r="M331" s="53">
        <v>0.46913194444444445</v>
      </c>
      <c r="N331" s="51" t="s">
        <v>269</v>
      </c>
      <c r="O331" s="51" t="s">
        <v>2</v>
      </c>
      <c r="Q331" s="51" t="s">
        <v>524</v>
      </c>
      <c r="R331" s="51" t="s">
        <v>132</v>
      </c>
    </row>
    <row r="332" spans="1:18" x14ac:dyDescent="0.25">
      <c r="A332" s="13"/>
      <c r="B332" s="13"/>
      <c r="L332" s="52">
        <v>45762</v>
      </c>
      <c r="M332" s="53">
        <v>0.46913194444444445</v>
      </c>
      <c r="N332" s="51" t="s">
        <v>270</v>
      </c>
      <c r="O332" s="51" t="s">
        <v>2</v>
      </c>
      <c r="Q332" s="51" t="s">
        <v>524</v>
      </c>
      <c r="R332" s="51" t="s">
        <v>132</v>
      </c>
    </row>
    <row r="333" spans="1:18" x14ac:dyDescent="0.25">
      <c r="A333" s="13"/>
      <c r="B333" s="13"/>
      <c r="L333" s="52">
        <v>45762</v>
      </c>
      <c r="M333" s="53">
        <v>0.46913194444444445</v>
      </c>
      <c r="N333" s="51" t="s">
        <v>271</v>
      </c>
      <c r="O333" s="51" t="s">
        <v>2</v>
      </c>
      <c r="Q333" s="51" t="s">
        <v>524</v>
      </c>
      <c r="R333" s="51" t="s">
        <v>132</v>
      </c>
    </row>
    <row r="334" spans="1:18" x14ac:dyDescent="0.25">
      <c r="A334" s="13"/>
      <c r="B334" s="13"/>
      <c r="L334" s="52">
        <v>45762</v>
      </c>
      <c r="M334" s="53">
        <v>0.46913194444444445</v>
      </c>
      <c r="N334" s="51" t="s">
        <v>272</v>
      </c>
      <c r="O334" s="51" t="s">
        <v>2</v>
      </c>
      <c r="Q334" s="51" t="s">
        <v>524</v>
      </c>
      <c r="R334" s="51" t="s">
        <v>132</v>
      </c>
    </row>
    <row r="335" spans="1:18" x14ac:dyDescent="0.25">
      <c r="A335" s="13"/>
      <c r="B335" s="13"/>
      <c r="L335" s="52">
        <v>45762</v>
      </c>
      <c r="M335" s="53">
        <v>0.46913194444444445</v>
      </c>
      <c r="N335" s="51" t="s">
        <v>273</v>
      </c>
      <c r="O335" s="51" t="s">
        <v>2</v>
      </c>
      <c r="Q335" s="51" t="s">
        <v>524</v>
      </c>
      <c r="R335" s="51" t="s">
        <v>132</v>
      </c>
    </row>
    <row r="336" spans="1:18" x14ac:dyDescent="0.25">
      <c r="A336" s="13"/>
      <c r="B336" s="13"/>
      <c r="L336" s="52">
        <v>45762</v>
      </c>
      <c r="M336" s="53">
        <v>0.46913194444444445</v>
      </c>
      <c r="N336" s="51" t="s">
        <v>274</v>
      </c>
      <c r="O336" s="51" t="s">
        <v>2</v>
      </c>
      <c r="Q336" s="51" t="s">
        <v>524</v>
      </c>
      <c r="R336" s="51" t="s">
        <v>132</v>
      </c>
    </row>
    <row r="337" spans="1:18" x14ac:dyDescent="0.25">
      <c r="A337" s="13"/>
      <c r="B337" s="13"/>
      <c r="L337" s="52">
        <v>45762</v>
      </c>
      <c r="M337" s="53">
        <v>0.46913194444444445</v>
      </c>
      <c r="N337" s="51" t="s">
        <v>275</v>
      </c>
      <c r="O337" s="51" t="s">
        <v>2</v>
      </c>
      <c r="Q337" s="51" t="s">
        <v>524</v>
      </c>
      <c r="R337" s="51" t="s">
        <v>132</v>
      </c>
    </row>
    <row r="338" spans="1:18" x14ac:dyDescent="0.25">
      <c r="A338" s="13"/>
      <c r="B338" s="13"/>
      <c r="L338" s="52">
        <v>45762</v>
      </c>
      <c r="M338" s="53">
        <v>0.46913194444444445</v>
      </c>
      <c r="N338" s="51" t="s">
        <v>276</v>
      </c>
      <c r="O338" s="51" t="s">
        <v>2</v>
      </c>
      <c r="Q338" s="51" t="s">
        <v>524</v>
      </c>
      <c r="R338" s="51" t="s">
        <v>132</v>
      </c>
    </row>
    <row r="339" spans="1:18" x14ac:dyDescent="0.25">
      <c r="A339" s="13"/>
      <c r="B339" s="13"/>
      <c r="L339" s="52">
        <v>45762</v>
      </c>
      <c r="M339" s="53">
        <v>0.46913194444444445</v>
      </c>
      <c r="N339" s="51" t="s">
        <v>277</v>
      </c>
      <c r="O339" s="51" t="s">
        <v>2</v>
      </c>
      <c r="Q339" s="51" t="s">
        <v>524</v>
      </c>
      <c r="R339" s="51" t="s">
        <v>132</v>
      </c>
    </row>
    <row r="340" spans="1:18" x14ac:dyDescent="0.25">
      <c r="A340" s="13"/>
      <c r="B340" s="13"/>
      <c r="L340" s="52">
        <v>45762</v>
      </c>
      <c r="M340" s="53">
        <v>0.46913194444444445</v>
      </c>
      <c r="N340" s="51" t="s">
        <v>278</v>
      </c>
      <c r="O340" s="51" t="s">
        <v>2</v>
      </c>
      <c r="Q340" s="51" t="s">
        <v>524</v>
      </c>
      <c r="R340" s="51" t="s">
        <v>132</v>
      </c>
    </row>
    <row r="341" spans="1:18" x14ac:dyDescent="0.25">
      <c r="A341" s="13"/>
      <c r="B341" s="13"/>
      <c r="L341" s="52">
        <v>45762</v>
      </c>
      <c r="M341" s="53">
        <v>0.46913194444444445</v>
      </c>
      <c r="N341" s="51" t="s">
        <v>279</v>
      </c>
      <c r="O341" s="51" t="s">
        <v>2</v>
      </c>
      <c r="P341" s="51" t="s">
        <v>535</v>
      </c>
      <c r="Q341" s="51" t="s">
        <v>80</v>
      </c>
      <c r="R341" s="51" t="s">
        <v>78</v>
      </c>
    </row>
    <row r="342" spans="1:18" x14ac:dyDescent="0.25">
      <c r="A342" s="13"/>
      <c r="B342" s="13"/>
      <c r="L342" s="52">
        <v>45762</v>
      </c>
      <c r="M342" s="53">
        <v>0.46913194444444445</v>
      </c>
      <c r="N342" s="51" t="s">
        <v>280</v>
      </c>
      <c r="O342" s="51" t="s">
        <v>2</v>
      </c>
      <c r="P342" s="51" t="s">
        <v>536</v>
      </c>
      <c r="Q342" s="51" t="s">
        <v>80</v>
      </c>
      <c r="R342" s="51" t="s">
        <v>78</v>
      </c>
    </row>
    <row r="343" spans="1:18" x14ac:dyDescent="0.25">
      <c r="A343" s="13"/>
      <c r="B343" s="13"/>
      <c r="L343" s="52">
        <v>45762</v>
      </c>
      <c r="M343" s="53">
        <v>0.46913194444444445</v>
      </c>
      <c r="N343" s="51" t="s">
        <v>281</v>
      </c>
      <c r="O343" s="51" t="s">
        <v>2</v>
      </c>
      <c r="P343" s="51" t="s">
        <v>537</v>
      </c>
      <c r="Q343" s="51" t="s">
        <v>80</v>
      </c>
      <c r="R343" s="51" t="s">
        <v>78</v>
      </c>
    </row>
    <row r="344" spans="1:18" x14ac:dyDescent="0.25">
      <c r="A344" s="13"/>
      <c r="B344" s="13"/>
      <c r="L344" s="52">
        <v>45762</v>
      </c>
      <c r="M344" s="53">
        <v>0.46913194444444445</v>
      </c>
      <c r="N344" s="51" t="s">
        <v>282</v>
      </c>
      <c r="O344" s="51" t="s">
        <v>2</v>
      </c>
      <c r="Q344" s="51" t="s">
        <v>524</v>
      </c>
      <c r="R344" s="51" t="s">
        <v>132</v>
      </c>
    </row>
    <row r="345" spans="1:18" x14ac:dyDescent="0.25">
      <c r="A345" s="13"/>
      <c r="B345" s="13"/>
      <c r="L345" s="52">
        <v>45762</v>
      </c>
      <c r="M345" s="53">
        <v>0.46913194444444445</v>
      </c>
      <c r="N345" s="51" t="s">
        <v>283</v>
      </c>
      <c r="O345" s="51" t="s">
        <v>2</v>
      </c>
      <c r="Q345" s="51" t="s">
        <v>524</v>
      </c>
      <c r="R345" s="51" t="s">
        <v>132</v>
      </c>
    </row>
    <row r="346" spans="1:18" x14ac:dyDescent="0.25">
      <c r="A346" s="13"/>
      <c r="B346" s="13"/>
      <c r="L346" s="52">
        <v>45762</v>
      </c>
      <c r="M346" s="53">
        <v>0.46913194444444445</v>
      </c>
      <c r="N346" s="51" t="s">
        <v>284</v>
      </c>
      <c r="O346" s="51" t="s">
        <v>2</v>
      </c>
      <c r="Q346" s="51" t="s">
        <v>524</v>
      </c>
      <c r="R346" s="51" t="s">
        <v>132</v>
      </c>
    </row>
    <row r="347" spans="1:18" x14ac:dyDescent="0.25">
      <c r="A347" s="13"/>
      <c r="B347" s="13"/>
      <c r="L347" s="52">
        <v>45762</v>
      </c>
      <c r="M347" s="53">
        <v>0.46913194444444445</v>
      </c>
      <c r="N347" s="51" t="s">
        <v>285</v>
      </c>
      <c r="O347" s="51" t="s">
        <v>2</v>
      </c>
      <c r="Q347" s="51" t="s">
        <v>524</v>
      </c>
      <c r="R347" s="51" t="s">
        <v>132</v>
      </c>
    </row>
    <row r="348" spans="1:18" x14ac:dyDescent="0.25">
      <c r="A348" s="13"/>
      <c r="B348" s="13"/>
      <c r="L348" s="52">
        <v>45762</v>
      </c>
      <c r="M348" s="53">
        <v>0.46913194444444445</v>
      </c>
      <c r="N348" s="51" t="s">
        <v>286</v>
      </c>
      <c r="O348" s="51" t="s">
        <v>2</v>
      </c>
      <c r="Q348" s="51" t="s">
        <v>524</v>
      </c>
      <c r="R348" s="51" t="s">
        <v>132</v>
      </c>
    </row>
    <row r="349" spans="1:18" x14ac:dyDescent="0.25">
      <c r="A349" s="13"/>
      <c r="B349" s="13"/>
      <c r="L349" s="52">
        <v>45762</v>
      </c>
      <c r="M349" s="53">
        <v>0.46913194444444445</v>
      </c>
      <c r="N349" s="51" t="s">
        <v>287</v>
      </c>
      <c r="O349" s="51" t="s">
        <v>2</v>
      </c>
      <c r="Q349" s="51" t="s">
        <v>524</v>
      </c>
      <c r="R349" s="51" t="s">
        <v>132</v>
      </c>
    </row>
    <row r="350" spans="1:18" x14ac:dyDescent="0.25">
      <c r="A350" s="13"/>
      <c r="B350" s="13"/>
      <c r="L350" s="52">
        <v>45762</v>
      </c>
      <c r="M350" s="53">
        <v>0.46913194444444445</v>
      </c>
      <c r="N350" s="51" t="s">
        <v>288</v>
      </c>
      <c r="O350" s="51" t="s">
        <v>2</v>
      </c>
      <c r="Q350" s="51" t="s">
        <v>524</v>
      </c>
      <c r="R350" s="51" t="s">
        <v>132</v>
      </c>
    </row>
    <row r="351" spans="1:18" x14ac:dyDescent="0.25">
      <c r="A351" s="13"/>
      <c r="B351" s="13"/>
      <c r="L351" s="52">
        <v>45762</v>
      </c>
      <c r="M351" s="53">
        <v>0.46913194444444445</v>
      </c>
      <c r="N351" s="51" t="s">
        <v>289</v>
      </c>
      <c r="O351" s="51" t="s">
        <v>2</v>
      </c>
      <c r="Q351" s="51" t="s">
        <v>524</v>
      </c>
      <c r="R351" s="51" t="s">
        <v>132</v>
      </c>
    </row>
    <row r="352" spans="1:18" x14ac:dyDescent="0.25">
      <c r="A352" s="13"/>
      <c r="B352" s="13"/>
      <c r="L352" s="52">
        <v>45762</v>
      </c>
      <c r="M352" s="53">
        <v>0.46913194444444445</v>
      </c>
      <c r="N352" s="51" t="s">
        <v>290</v>
      </c>
      <c r="O352" s="51" t="s">
        <v>2</v>
      </c>
      <c r="Q352" s="51" t="s">
        <v>524</v>
      </c>
      <c r="R352" s="51" t="s">
        <v>132</v>
      </c>
    </row>
    <row r="353" spans="1:18" x14ac:dyDescent="0.25">
      <c r="A353" s="13"/>
      <c r="B353" s="13"/>
      <c r="L353" s="52">
        <v>45762</v>
      </c>
      <c r="M353" s="53">
        <v>0.46913194444444445</v>
      </c>
      <c r="N353" s="51" t="s">
        <v>291</v>
      </c>
      <c r="O353" s="51" t="s">
        <v>2</v>
      </c>
      <c r="Q353" s="51" t="s">
        <v>524</v>
      </c>
      <c r="R353" s="51" t="s">
        <v>132</v>
      </c>
    </row>
    <row r="354" spans="1:18" x14ac:dyDescent="0.25">
      <c r="A354" s="13"/>
      <c r="B354" s="13"/>
      <c r="L354" s="52">
        <v>45762</v>
      </c>
      <c r="M354" s="53">
        <v>0.46913194444444445</v>
      </c>
      <c r="N354" s="51" t="s">
        <v>292</v>
      </c>
      <c r="O354" s="51" t="s">
        <v>2</v>
      </c>
      <c r="Q354" s="51" t="s">
        <v>524</v>
      </c>
      <c r="R354" s="51" t="s">
        <v>132</v>
      </c>
    </row>
    <row r="355" spans="1:18" x14ac:dyDescent="0.25">
      <c r="A355" s="13"/>
      <c r="B355" s="13"/>
      <c r="L355" s="52">
        <v>45762</v>
      </c>
      <c r="M355" s="53">
        <v>0.46913194444444445</v>
      </c>
      <c r="N355" s="51" t="s">
        <v>293</v>
      </c>
      <c r="O355" s="51" t="s">
        <v>2</v>
      </c>
      <c r="Q355" s="51" t="s">
        <v>524</v>
      </c>
      <c r="R355" s="51" t="s">
        <v>132</v>
      </c>
    </row>
    <row r="356" spans="1:18" x14ac:dyDescent="0.25">
      <c r="A356" s="13"/>
      <c r="B356" s="13"/>
      <c r="L356" s="52">
        <v>45762</v>
      </c>
      <c r="M356" s="53">
        <v>0.46913194444444445</v>
      </c>
      <c r="N356" s="51" t="s">
        <v>294</v>
      </c>
      <c r="O356" s="51" t="s">
        <v>2</v>
      </c>
      <c r="Q356" s="51" t="s">
        <v>524</v>
      </c>
      <c r="R356" s="51" t="s">
        <v>132</v>
      </c>
    </row>
    <row r="357" spans="1:18" x14ac:dyDescent="0.25">
      <c r="A357" s="13"/>
      <c r="B357" s="13"/>
      <c r="L357" s="52">
        <v>45762</v>
      </c>
      <c r="M357" s="53">
        <v>0.46913194444444445</v>
      </c>
      <c r="N357" s="51" t="s">
        <v>295</v>
      </c>
      <c r="O357" s="51" t="s">
        <v>2</v>
      </c>
      <c r="Q357" s="51" t="s">
        <v>524</v>
      </c>
      <c r="R357" s="51" t="s">
        <v>132</v>
      </c>
    </row>
    <row r="358" spans="1:18" x14ac:dyDescent="0.25">
      <c r="A358" s="13"/>
      <c r="B358" s="13"/>
      <c r="L358" s="52">
        <v>45762</v>
      </c>
      <c r="M358" s="53">
        <v>0.46913194444444445</v>
      </c>
      <c r="N358" s="51" t="s">
        <v>296</v>
      </c>
      <c r="O358" s="51" t="s">
        <v>2</v>
      </c>
      <c r="Q358" s="51" t="s">
        <v>524</v>
      </c>
      <c r="R358" s="51" t="s">
        <v>132</v>
      </c>
    </row>
    <row r="359" spans="1:18" x14ac:dyDescent="0.25">
      <c r="A359" s="13"/>
      <c r="B359" s="13"/>
      <c r="L359" s="52">
        <v>45762</v>
      </c>
      <c r="M359" s="53">
        <v>0.46913194444444445</v>
      </c>
      <c r="N359" s="51" t="s">
        <v>297</v>
      </c>
      <c r="O359" s="51" t="s">
        <v>2</v>
      </c>
      <c r="Q359" s="51" t="s">
        <v>524</v>
      </c>
      <c r="R359" s="51" t="s">
        <v>132</v>
      </c>
    </row>
    <row r="360" spans="1:18" x14ac:dyDescent="0.25">
      <c r="A360" s="13"/>
      <c r="B360" s="13"/>
      <c r="L360" s="52">
        <v>45762</v>
      </c>
      <c r="M360" s="53">
        <v>0.46913194444444445</v>
      </c>
      <c r="N360" s="51" t="s">
        <v>298</v>
      </c>
      <c r="O360" s="51" t="s">
        <v>2</v>
      </c>
      <c r="Q360" s="51" t="s">
        <v>524</v>
      </c>
      <c r="R360" s="51" t="s">
        <v>132</v>
      </c>
    </row>
    <row r="361" spans="1:18" x14ac:dyDescent="0.25">
      <c r="A361" s="13"/>
      <c r="B361" s="13"/>
      <c r="L361" s="52">
        <v>45762</v>
      </c>
      <c r="M361" s="53">
        <v>0.46913194444444445</v>
      </c>
      <c r="N361" s="51" t="s">
        <v>299</v>
      </c>
      <c r="O361" s="51" t="s">
        <v>2</v>
      </c>
      <c r="Q361" s="51" t="s">
        <v>524</v>
      </c>
      <c r="R361" s="51" t="s">
        <v>132</v>
      </c>
    </row>
    <row r="362" spans="1:18" x14ac:dyDescent="0.25">
      <c r="A362" s="13"/>
      <c r="B362" s="13"/>
      <c r="L362" s="52">
        <v>45762</v>
      </c>
      <c r="M362" s="53">
        <v>0.46913194444444445</v>
      </c>
      <c r="N362" s="51" t="s">
        <v>300</v>
      </c>
      <c r="O362" s="51" t="s">
        <v>2</v>
      </c>
      <c r="Q362" s="51" t="s">
        <v>524</v>
      </c>
      <c r="R362" s="51" t="s">
        <v>132</v>
      </c>
    </row>
    <row r="363" spans="1:18" x14ac:dyDescent="0.25">
      <c r="A363" s="13"/>
      <c r="B363" s="13"/>
      <c r="L363" s="52">
        <v>45762</v>
      </c>
      <c r="M363" s="53">
        <v>0.46913194444444445</v>
      </c>
      <c r="N363" s="51" t="s">
        <v>301</v>
      </c>
      <c r="O363" s="51" t="s">
        <v>2</v>
      </c>
      <c r="Q363" s="51" t="s">
        <v>524</v>
      </c>
      <c r="R363" s="51" t="s">
        <v>132</v>
      </c>
    </row>
    <row r="364" spans="1:18" x14ac:dyDescent="0.25">
      <c r="A364" s="13"/>
      <c r="B364" s="13"/>
      <c r="L364" s="52">
        <v>45762</v>
      </c>
      <c r="M364" s="53">
        <v>0.46913194444444445</v>
      </c>
      <c r="N364" s="51" t="s">
        <v>302</v>
      </c>
      <c r="O364" s="51" t="s">
        <v>2</v>
      </c>
      <c r="Q364" s="51" t="s">
        <v>524</v>
      </c>
      <c r="R364" s="51" t="s">
        <v>132</v>
      </c>
    </row>
    <row r="365" spans="1:18" x14ac:dyDescent="0.25">
      <c r="A365" s="13"/>
      <c r="B365" s="13"/>
      <c r="L365" s="52">
        <v>45762</v>
      </c>
      <c r="M365" s="53">
        <v>0.46913194444444445</v>
      </c>
      <c r="N365" s="51" t="s">
        <v>303</v>
      </c>
      <c r="O365" s="51" t="s">
        <v>2</v>
      </c>
      <c r="Q365" s="51" t="s">
        <v>524</v>
      </c>
      <c r="R365" s="51" t="s">
        <v>132</v>
      </c>
    </row>
    <row r="366" spans="1:18" x14ac:dyDescent="0.25">
      <c r="A366" s="13"/>
      <c r="B366" s="13"/>
      <c r="L366" s="52">
        <v>45762</v>
      </c>
      <c r="M366" s="53">
        <v>0.46913194444444445</v>
      </c>
      <c r="N366" s="51" t="s">
        <v>304</v>
      </c>
      <c r="O366" s="51" t="s">
        <v>2</v>
      </c>
      <c r="Q366" s="51" t="s">
        <v>524</v>
      </c>
      <c r="R366" s="51" t="s">
        <v>132</v>
      </c>
    </row>
    <row r="367" spans="1:18" x14ac:dyDescent="0.25">
      <c r="A367" s="13"/>
      <c r="B367" s="13"/>
      <c r="L367" s="52">
        <v>45762</v>
      </c>
      <c r="M367" s="53">
        <v>0.46913194444444445</v>
      </c>
      <c r="N367" s="51" t="s">
        <v>305</v>
      </c>
      <c r="O367" s="51" t="s">
        <v>2</v>
      </c>
      <c r="Q367" s="51" t="s">
        <v>524</v>
      </c>
      <c r="R367" s="51" t="s">
        <v>132</v>
      </c>
    </row>
    <row r="368" spans="1:18" x14ac:dyDescent="0.25">
      <c r="A368" s="13"/>
      <c r="B368" s="13"/>
      <c r="L368" s="52">
        <v>45762</v>
      </c>
      <c r="M368" s="53">
        <v>0.46913194444444445</v>
      </c>
      <c r="N368" s="51" t="s">
        <v>306</v>
      </c>
      <c r="O368" s="51" t="s">
        <v>2</v>
      </c>
      <c r="Q368" s="51" t="s">
        <v>524</v>
      </c>
      <c r="R368" s="51" t="s">
        <v>132</v>
      </c>
    </row>
    <row r="369" spans="1:18" x14ac:dyDescent="0.25">
      <c r="A369" s="13"/>
      <c r="B369" s="13"/>
      <c r="L369" s="52">
        <v>45762</v>
      </c>
      <c r="M369" s="53">
        <v>0.46913194444444445</v>
      </c>
      <c r="N369" s="51" t="s">
        <v>307</v>
      </c>
      <c r="O369" s="51" t="s">
        <v>2</v>
      </c>
      <c r="Q369" s="51" t="s">
        <v>524</v>
      </c>
      <c r="R369" s="51" t="s">
        <v>132</v>
      </c>
    </row>
    <row r="370" spans="1:18" x14ac:dyDescent="0.25">
      <c r="A370" s="13"/>
      <c r="B370" s="13"/>
      <c r="L370" s="52">
        <v>45762</v>
      </c>
      <c r="M370" s="53">
        <v>0.46913194444444445</v>
      </c>
      <c r="N370" s="51" t="s">
        <v>308</v>
      </c>
      <c r="O370" s="51" t="s">
        <v>2</v>
      </c>
      <c r="Q370" s="51" t="s">
        <v>524</v>
      </c>
      <c r="R370" s="51" t="s">
        <v>132</v>
      </c>
    </row>
    <row r="371" spans="1:18" x14ac:dyDescent="0.25">
      <c r="A371" s="13"/>
      <c r="B371" s="13"/>
      <c r="L371" s="52">
        <v>45762</v>
      </c>
      <c r="M371" s="53">
        <v>0.46913194444444445</v>
      </c>
      <c r="N371" s="51" t="s">
        <v>309</v>
      </c>
      <c r="O371" s="51" t="s">
        <v>2</v>
      </c>
      <c r="Q371" s="51" t="s">
        <v>524</v>
      </c>
      <c r="R371" s="51" t="s">
        <v>132</v>
      </c>
    </row>
    <row r="372" spans="1:18" x14ac:dyDescent="0.25">
      <c r="A372" s="13"/>
      <c r="B372" s="13"/>
      <c r="L372" s="52">
        <v>45762</v>
      </c>
      <c r="M372" s="53">
        <v>0.46913194444444445</v>
      </c>
      <c r="N372" s="51" t="s">
        <v>310</v>
      </c>
      <c r="O372" s="51" t="s">
        <v>2</v>
      </c>
      <c r="Q372" s="51" t="s">
        <v>524</v>
      </c>
      <c r="R372" s="51" t="s">
        <v>132</v>
      </c>
    </row>
    <row r="373" spans="1:18" x14ac:dyDescent="0.25">
      <c r="A373" s="13"/>
      <c r="B373" s="13"/>
      <c r="L373" s="52">
        <v>45762</v>
      </c>
      <c r="M373" s="53">
        <v>0.46913194444444445</v>
      </c>
      <c r="N373" s="51" t="s">
        <v>311</v>
      </c>
      <c r="O373" s="51" t="s">
        <v>2</v>
      </c>
      <c r="Q373" s="51" t="s">
        <v>524</v>
      </c>
      <c r="R373" s="51" t="s">
        <v>132</v>
      </c>
    </row>
    <row r="374" spans="1:18" x14ac:dyDescent="0.25">
      <c r="A374" s="13"/>
      <c r="B374" s="13"/>
      <c r="L374" s="52">
        <v>45762</v>
      </c>
      <c r="M374" s="53">
        <v>0.46913194444444445</v>
      </c>
      <c r="N374" s="51" t="s">
        <v>312</v>
      </c>
      <c r="O374" s="51" t="s">
        <v>2</v>
      </c>
      <c r="Q374" s="51" t="s">
        <v>524</v>
      </c>
      <c r="R374" s="51" t="s">
        <v>132</v>
      </c>
    </row>
    <row r="375" spans="1:18" x14ac:dyDescent="0.25">
      <c r="A375" s="13"/>
      <c r="B375" s="13"/>
      <c r="L375" s="52">
        <v>45762</v>
      </c>
      <c r="M375" s="53">
        <v>0.46913194444444445</v>
      </c>
      <c r="N375" s="51" t="s">
        <v>313</v>
      </c>
      <c r="O375" s="51" t="s">
        <v>2</v>
      </c>
      <c r="Q375" s="51" t="s">
        <v>524</v>
      </c>
      <c r="R375" s="51" t="s">
        <v>132</v>
      </c>
    </row>
    <row r="376" spans="1:18" x14ac:dyDescent="0.25">
      <c r="A376" s="13"/>
      <c r="B376" s="13"/>
      <c r="L376" s="52">
        <v>45762</v>
      </c>
      <c r="M376" s="53">
        <v>0.46913194444444445</v>
      </c>
      <c r="N376" s="51" t="s">
        <v>314</v>
      </c>
      <c r="O376" s="51" t="s">
        <v>2</v>
      </c>
      <c r="Q376" s="51" t="s">
        <v>524</v>
      </c>
      <c r="R376" s="51" t="s">
        <v>132</v>
      </c>
    </row>
    <row r="377" spans="1:18" x14ac:dyDescent="0.25">
      <c r="A377" s="13"/>
      <c r="B377" s="13"/>
      <c r="L377" s="52">
        <v>45762</v>
      </c>
      <c r="M377" s="53">
        <v>0.46913194444444445</v>
      </c>
      <c r="N377" s="51" t="s">
        <v>315</v>
      </c>
      <c r="O377" s="51" t="s">
        <v>2</v>
      </c>
      <c r="Q377" s="51" t="s">
        <v>524</v>
      </c>
      <c r="R377" s="51" t="s">
        <v>132</v>
      </c>
    </row>
    <row r="378" spans="1:18" x14ac:dyDescent="0.25">
      <c r="A378" s="13"/>
      <c r="B378" s="13"/>
      <c r="L378" s="52">
        <v>45762</v>
      </c>
      <c r="M378" s="53">
        <v>0.46913194444444445</v>
      </c>
      <c r="N378" s="51" t="s">
        <v>316</v>
      </c>
      <c r="O378" s="51" t="s">
        <v>2</v>
      </c>
      <c r="Q378" s="51" t="s">
        <v>524</v>
      </c>
      <c r="R378" s="51" t="s">
        <v>132</v>
      </c>
    </row>
    <row r="379" spans="1:18" x14ac:dyDescent="0.25">
      <c r="A379" s="13"/>
      <c r="B379" s="13"/>
      <c r="L379" s="52">
        <v>45762</v>
      </c>
      <c r="M379" s="53">
        <v>0.46913194444444445</v>
      </c>
      <c r="N379" s="51" t="s">
        <v>317</v>
      </c>
      <c r="O379" s="51" t="s">
        <v>2</v>
      </c>
      <c r="Q379" s="51" t="s">
        <v>524</v>
      </c>
      <c r="R379" s="51" t="s">
        <v>132</v>
      </c>
    </row>
    <row r="380" spans="1:18" x14ac:dyDescent="0.25">
      <c r="A380" s="13"/>
      <c r="B380" s="13"/>
      <c r="L380" s="52">
        <v>45762</v>
      </c>
      <c r="M380" s="53">
        <v>0.46913194444444445</v>
      </c>
      <c r="N380" s="51" t="s">
        <v>318</v>
      </c>
      <c r="O380" s="51" t="s">
        <v>2</v>
      </c>
      <c r="Q380" s="51" t="s">
        <v>524</v>
      </c>
      <c r="R380" s="51" t="s">
        <v>132</v>
      </c>
    </row>
    <row r="381" spans="1:18" x14ac:dyDescent="0.25">
      <c r="A381" s="13"/>
      <c r="B381" s="13"/>
      <c r="L381" s="52">
        <v>45762</v>
      </c>
      <c r="M381" s="53">
        <v>0.46913194444444445</v>
      </c>
      <c r="N381" s="51" t="s">
        <v>319</v>
      </c>
      <c r="O381" s="51" t="s">
        <v>2</v>
      </c>
      <c r="Q381" s="51" t="s">
        <v>524</v>
      </c>
      <c r="R381" s="51" t="s">
        <v>132</v>
      </c>
    </row>
    <row r="382" spans="1:18" x14ac:dyDescent="0.25">
      <c r="A382" s="13"/>
      <c r="B382" s="13"/>
      <c r="L382" s="52">
        <v>45762</v>
      </c>
      <c r="M382" s="53">
        <v>0.46913194444444445</v>
      </c>
      <c r="N382" s="51" t="s">
        <v>320</v>
      </c>
      <c r="O382" s="51" t="s">
        <v>2</v>
      </c>
      <c r="Q382" s="51" t="s">
        <v>524</v>
      </c>
      <c r="R382" s="51" t="s">
        <v>132</v>
      </c>
    </row>
    <row r="383" spans="1:18" x14ac:dyDescent="0.25">
      <c r="A383" s="13"/>
      <c r="B383" s="13"/>
      <c r="L383" s="52">
        <v>45762</v>
      </c>
      <c r="M383" s="53">
        <v>0.46913194444444445</v>
      </c>
      <c r="N383" s="51" t="s">
        <v>321</v>
      </c>
      <c r="O383" s="51" t="s">
        <v>2</v>
      </c>
      <c r="P383" s="51" t="s">
        <v>538</v>
      </c>
      <c r="Q383" s="51" t="s">
        <v>80</v>
      </c>
      <c r="R383" s="51" t="s">
        <v>78</v>
      </c>
    </row>
    <row r="384" spans="1:18" x14ac:dyDescent="0.25">
      <c r="A384" s="13"/>
      <c r="B384" s="13"/>
      <c r="L384" s="52">
        <v>45762</v>
      </c>
      <c r="M384" s="53">
        <v>0.46913194444444445</v>
      </c>
      <c r="O384" s="51" t="s">
        <v>322</v>
      </c>
      <c r="Q384" s="51" t="s">
        <v>539</v>
      </c>
      <c r="R384" s="51" t="s">
        <v>78</v>
      </c>
    </row>
    <row r="385" spans="1:18" x14ac:dyDescent="0.25">
      <c r="A385" s="13"/>
      <c r="B385" s="13"/>
      <c r="L385" s="52">
        <v>45762</v>
      </c>
      <c r="M385" s="53">
        <v>0.46921296296296294</v>
      </c>
      <c r="O385" s="51" t="s">
        <v>322</v>
      </c>
      <c r="Q385" s="51" t="s">
        <v>330</v>
      </c>
      <c r="R385" s="51" t="s">
        <v>78</v>
      </c>
    </row>
    <row r="386" spans="1:18" x14ac:dyDescent="0.25">
      <c r="A386" s="13"/>
      <c r="B386" s="13"/>
      <c r="L386" s="52">
        <v>45762</v>
      </c>
      <c r="M386" s="53">
        <v>0.46921296296296294</v>
      </c>
      <c r="O386" s="51" t="s">
        <v>322</v>
      </c>
      <c r="Q386" s="51" t="s">
        <v>540</v>
      </c>
      <c r="R386" s="51" t="s">
        <v>78</v>
      </c>
    </row>
    <row r="387" spans="1:18" x14ac:dyDescent="0.25">
      <c r="A387" s="13"/>
      <c r="B387" s="13"/>
      <c r="L387" s="52">
        <v>45762</v>
      </c>
      <c r="M387" s="53">
        <v>0.46921296296296294</v>
      </c>
      <c r="N387" s="51" t="s">
        <v>138</v>
      </c>
      <c r="O387" s="51" t="s">
        <v>322</v>
      </c>
      <c r="P387" s="51" t="s">
        <v>541</v>
      </c>
      <c r="Q387" s="51" t="s">
        <v>80</v>
      </c>
      <c r="R387" s="51" t="s">
        <v>78</v>
      </c>
    </row>
    <row r="388" spans="1:18" x14ac:dyDescent="0.25">
      <c r="A388" s="13"/>
      <c r="B388" s="13"/>
      <c r="L388" s="52">
        <v>45762</v>
      </c>
      <c r="M388" s="53">
        <v>0.46921296296296294</v>
      </c>
      <c r="N388" s="51" t="s">
        <v>139</v>
      </c>
      <c r="O388" s="51" t="s">
        <v>322</v>
      </c>
      <c r="P388" s="51" t="s">
        <v>542</v>
      </c>
      <c r="Q388" s="51" t="s">
        <v>80</v>
      </c>
      <c r="R388" s="51" t="s">
        <v>78</v>
      </c>
    </row>
    <row r="389" spans="1:18" x14ac:dyDescent="0.25">
      <c r="A389" s="13"/>
      <c r="B389" s="13"/>
      <c r="L389" s="52">
        <v>45762</v>
      </c>
      <c r="M389" s="53">
        <v>0.46921296296296294</v>
      </c>
      <c r="N389" s="51" t="s">
        <v>140</v>
      </c>
      <c r="O389" s="51" t="s">
        <v>322</v>
      </c>
      <c r="P389" s="51" t="s">
        <v>543</v>
      </c>
      <c r="Q389" s="51" t="s">
        <v>80</v>
      </c>
      <c r="R389" s="51" t="s">
        <v>78</v>
      </c>
    </row>
    <row r="390" spans="1:18" x14ac:dyDescent="0.25">
      <c r="A390" s="13"/>
      <c r="B390" s="13"/>
      <c r="L390" s="52">
        <v>45762</v>
      </c>
      <c r="M390" s="53">
        <v>0.46921296296296294</v>
      </c>
      <c r="N390" s="51" t="s">
        <v>141</v>
      </c>
      <c r="O390" s="51" t="s">
        <v>322</v>
      </c>
      <c r="P390" s="51" t="s">
        <v>544</v>
      </c>
      <c r="Q390" s="51" t="s">
        <v>80</v>
      </c>
      <c r="R390" s="51" t="s">
        <v>78</v>
      </c>
    </row>
    <row r="391" spans="1:18" x14ac:dyDescent="0.25">
      <c r="A391" s="13"/>
      <c r="B391" s="13"/>
      <c r="L391" s="52">
        <v>45762</v>
      </c>
      <c r="M391" s="53">
        <v>0.46921296296296294</v>
      </c>
      <c r="N391" s="51" t="s">
        <v>142</v>
      </c>
      <c r="O391" s="51" t="s">
        <v>322</v>
      </c>
      <c r="P391" s="51" t="s">
        <v>541</v>
      </c>
      <c r="Q391" s="51" t="s">
        <v>80</v>
      </c>
      <c r="R391" s="51" t="s">
        <v>78</v>
      </c>
    </row>
    <row r="392" spans="1:18" x14ac:dyDescent="0.25">
      <c r="A392" s="13"/>
      <c r="B392" s="13"/>
      <c r="L392" s="52">
        <v>45762</v>
      </c>
      <c r="M392" s="53">
        <v>0.46921296296296294</v>
      </c>
      <c r="N392" s="51" t="s">
        <v>143</v>
      </c>
      <c r="O392" s="51" t="s">
        <v>322</v>
      </c>
      <c r="P392" s="51" t="s">
        <v>542</v>
      </c>
      <c r="Q392" s="51" t="s">
        <v>80</v>
      </c>
      <c r="R392" s="51" t="s">
        <v>78</v>
      </c>
    </row>
    <row r="393" spans="1:18" x14ac:dyDescent="0.25">
      <c r="A393" s="13"/>
      <c r="B393" s="13"/>
      <c r="L393" s="52">
        <v>45762</v>
      </c>
      <c r="M393" s="53">
        <v>0.46921296296296294</v>
      </c>
      <c r="N393" s="51" t="s">
        <v>144</v>
      </c>
      <c r="O393" s="51" t="s">
        <v>322</v>
      </c>
      <c r="P393" s="51" t="s">
        <v>543</v>
      </c>
      <c r="Q393" s="51" t="s">
        <v>80</v>
      </c>
      <c r="R393" s="51" t="s">
        <v>78</v>
      </c>
    </row>
    <row r="394" spans="1:18" x14ac:dyDescent="0.25">
      <c r="A394" s="13"/>
      <c r="B394" s="13"/>
      <c r="L394" s="52">
        <v>45762</v>
      </c>
      <c r="M394" s="53">
        <v>0.46921296296296294</v>
      </c>
      <c r="N394" s="51" t="s">
        <v>145</v>
      </c>
      <c r="O394" s="51" t="s">
        <v>322</v>
      </c>
      <c r="P394" s="51" t="s">
        <v>544</v>
      </c>
      <c r="Q394" s="51" t="s">
        <v>80</v>
      </c>
      <c r="R394" s="51" t="s">
        <v>78</v>
      </c>
    </row>
    <row r="395" spans="1:18" x14ac:dyDescent="0.25">
      <c r="A395" s="13"/>
      <c r="B395" s="13"/>
      <c r="L395" s="52">
        <v>45762</v>
      </c>
      <c r="M395" s="53">
        <v>0.46921296296296294</v>
      </c>
      <c r="N395" s="51" t="s">
        <v>146</v>
      </c>
      <c r="O395" s="51" t="s">
        <v>322</v>
      </c>
      <c r="P395" s="51" t="s">
        <v>513</v>
      </c>
      <c r="Q395" s="51" t="s">
        <v>80</v>
      </c>
      <c r="R395" s="51" t="s">
        <v>78</v>
      </c>
    </row>
    <row r="396" spans="1:18" x14ac:dyDescent="0.25">
      <c r="A396" s="13"/>
      <c r="B396" s="13"/>
      <c r="L396" s="52">
        <v>45762</v>
      </c>
      <c r="M396" s="53">
        <v>0.46921296296296294</v>
      </c>
      <c r="N396" s="51" t="s">
        <v>147</v>
      </c>
      <c r="O396" s="51" t="s">
        <v>322</v>
      </c>
      <c r="P396" s="51" t="s">
        <v>514</v>
      </c>
      <c r="Q396" s="51" t="s">
        <v>80</v>
      </c>
      <c r="R396" s="51" t="s">
        <v>78</v>
      </c>
    </row>
    <row r="397" spans="1:18" x14ac:dyDescent="0.25">
      <c r="A397" s="13"/>
      <c r="B397" s="13"/>
      <c r="L397" s="52">
        <v>45762</v>
      </c>
      <c r="M397" s="53">
        <v>0.46921296296296294</v>
      </c>
      <c r="N397" s="51" t="s">
        <v>148</v>
      </c>
      <c r="O397" s="51" t="s">
        <v>322</v>
      </c>
      <c r="P397" s="51" t="s">
        <v>515</v>
      </c>
      <c r="Q397" s="51" t="s">
        <v>80</v>
      </c>
      <c r="R397" s="51" t="s">
        <v>78</v>
      </c>
    </row>
    <row r="398" spans="1:18" x14ac:dyDescent="0.25">
      <c r="A398" s="13"/>
      <c r="B398" s="13"/>
      <c r="L398" s="52">
        <v>45762</v>
      </c>
      <c r="M398" s="53">
        <v>0.46921296296296294</v>
      </c>
      <c r="N398" s="51" t="s">
        <v>149</v>
      </c>
      <c r="O398" s="51" t="s">
        <v>322</v>
      </c>
      <c r="P398" s="51" t="s">
        <v>516</v>
      </c>
      <c r="Q398" s="51" t="s">
        <v>80</v>
      </c>
      <c r="R398" s="51" t="s">
        <v>78</v>
      </c>
    </row>
    <row r="399" spans="1:18" x14ac:dyDescent="0.25">
      <c r="A399" s="13"/>
      <c r="B399" s="13"/>
      <c r="L399" s="52">
        <v>45762</v>
      </c>
      <c r="M399" s="53">
        <v>0.46921296296296294</v>
      </c>
      <c r="N399" s="51" t="s">
        <v>150</v>
      </c>
      <c r="O399" s="51" t="s">
        <v>322</v>
      </c>
      <c r="P399" s="51" t="s">
        <v>517</v>
      </c>
      <c r="Q399" s="51" t="s">
        <v>80</v>
      </c>
      <c r="R399" s="51" t="s">
        <v>78</v>
      </c>
    </row>
    <row r="400" spans="1:18" x14ac:dyDescent="0.25">
      <c r="A400" s="13"/>
      <c r="B400" s="13"/>
      <c r="L400" s="52">
        <v>45762</v>
      </c>
      <c r="M400" s="53">
        <v>0.46921296296296294</v>
      </c>
      <c r="N400" s="51" t="s">
        <v>151</v>
      </c>
      <c r="O400" s="51" t="s">
        <v>322</v>
      </c>
      <c r="P400" s="51" t="s">
        <v>518</v>
      </c>
      <c r="Q400" s="51" t="s">
        <v>80</v>
      </c>
      <c r="R400" s="51" t="s">
        <v>78</v>
      </c>
    </row>
    <row r="401" spans="1:18" x14ac:dyDescent="0.25">
      <c r="A401" s="13"/>
      <c r="B401" s="13"/>
      <c r="L401" s="52">
        <v>45762</v>
      </c>
      <c r="M401" s="53">
        <v>0.46921296296296294</v>
      </c>
      <c r="N401" s="51" t="s">
        <v>152</v>
      </c>
      <c r="O401" s="51" t="s">
        <v>322</v>
      </c>
      <c r="P401" s="51" t="s">
        <v>519</v>
      </c>
      <c r="Q401" s="51" t="s">
        <v>80</v>
      </c>
      <c r="R401" s="51" t="s">
        <v>78</v>
      </c>
    </row>
    <row r="402" spans="1:18" x14ac:dyDescent="0.25">
      <c r="A402" s="13"/>
      <c r="B402" s="13"/>
      <c r="L402" s="52">
        <v>45762</v>
      </c>
      <c r="M402" s="53">
        <v>0.46921296296296294</v>
      </c>
      <c r="N402" s="51" t="s">
        <v>153</v>
      </c>
      <c r="O402" s="51" t="s">
        <v>322</v>
      </c>
      <c r="P402" s="51" t="s">
        <v>520</v>
      </c>
      <c r="Q402" s="51" t="s">
        <v>80</v>
      </c>
      <c r="R402" s="51" t="s">
        <v>78</v>
      </c>
    </row>
    <row r="403" spans="1:18" x14ac:dyDescent="0.25">
      <c r="A403" s="13"/>
      <c r="B403" s="13"/>
      <c r="L403" s="52">
        <v>45762</v>
      </c>
      <c r="M403" s="53">
        <v>0.46921296296296294</v>
      </c>
      <c r="N403" s="51" t="s">
        <v>154</v>
      </c>
      <c r="O403" s="51" t="s">
        <v>322</v>
      </c>
      <c r="P403" s="51" t="s">
        <v>521</v>
      </c>
      <c r="Q403" s="51" t="s">
        <v>80</v>
      </c>
      <c r="R403" s="51" t="s">
        <v>78</v>
      </c>
    </row>
    <row r="404" spans="1:18" x14ac:dyDescent="0.25">
      <c r="A404" s="13"/>
      <c r="B404" s="13"/>
      <c r="L404" s="52">
        <v>45762</v>
      </c>
      <c r="M404" s="53">
        <v>0.46921296296296294</v>
      </c>
      <c r="N404" s="51" t="s">
        <v>155</v>
      </c>
      <c r="O404" s="51" t="s">
        <v>322</v>
      </c>
      <c r="P404" s="51" t="s">
        <v>522</v>
      </c>
      <c r="Q404" s="51" t="s">
        <v>80</v>
      </c>
      <c r="R404" s="51" t="s">
        <v>78</v>
      </c>
    </row>
    <row r="405" spans="1:18" x14ac:dyDescent="0.25">
      <c r="A405" s="13"/>
      <c r="B405" s="13"/>
      <c r="L405" s="52">
        <v>45762</v>
      </c>
      <c r="M405" s="53">
        <v>0.46921296296296294</v>
      </c>
      <c r="N405" s="51" t="s">
        <v>156</v>
      </c>
      <c r="O405" s="51" t="s">
        <v>322</v>
      </c>
      <c r="P405" s="51" t="s">
        <v>523</v>
      </c>
      <c r="Q405" s="51" t="s">
        <v>80</v>
      </c>
      <c r="R405" s="51" t="s">
        <v>78</v>
      </c>
    </row>
    <row r="406" spans="1:18" x14ac:dyDescent="0.25">
      <c r="A406" s="13"/>
      <c r="B406" s="13"/>
      <c r="L406" s="52">
        <v>45762</v>
      </c>
      <c r="M406" s="53">
        <v>0.46921296296296294</v>
      </c>
      <c r="N406" s="51" t="s">
        <v>157</v>
      </c>
      <c r="O406" s="51" t="s">
        <v>322</v>
      </c>
      <c r="Q406" s="51" t="s">
        <v>524</v>
      </c>
      <c r="R406" s="51" t="s">
        <v>132</v>
      </c>
    </row>
    <row r="407" spans="1:18" x14ac:dyDescent="0.25">
      <c r="A407" s="13"/>
      <c r="B407" s="13"/>
      <c r="L407" s="52">
        <v>45762</v>
      </c>
      <c r="M407" s="53">
        <v>0.46921296296296294</v>
      </c>
      <c r="N407" s="51" t="s">
        <v>158</v>
      </c>
      <c r="O407" s="51" t="s">
        <v>322</v>
      </c>
      <c r="Q407" s="51" t="s">
        <v>524</v>
      </c>
      <c r="R407" s="51" t="s">
        <v>132</v>
      </c>
    </row>
    <row r="408" spans="1:18" x14ac:dyDescent="0.25">
      <c r="A408" s="13"/>
      <c r="B408" s="13"/>
      <c r="L408" s="52">
        <v>45762</v>
      </c>
      <c r="M408" s="53">
        <v>0.46921296296296294</v>
      </c>
      <c r="N408" s="51" t="s">
        <v>159</v>
      </c>
      <c r="O408" s="51" t="s">
        <v>322</v>
      </c>
      <c r="Q408" s="51" t="s">
        <v>524</v>
      </c>
      <c r="R408" s="51" t="s">
        <v>132</v>
      </c>
    </row>
    <row r="409" spans="1:18" x14ac:dyDescent="0.25">
      <c r="A409" s="13"/>
      <c r="B409" s="13"/>
      <c r="L409" s="52">
        <v>45762</v>
      </c>
      <c r="M409" s="53">
        <v>0.46921296296296294</v>
      </c>
      <c r="N409" s="51" t="s">
        <v>160</v>
      </c>
      <c r="O409" s="51" t="s">
        <v>322</v>
      </c>
      <c r="Q409" s="51" t="s">
        <v>524</v>
      </c>
      <c r="R409" s="51" t="s">
        <v>132</v>
      </c>
    </row>
    <row r="410" spans="1:18" x14ac:dyDescent="0.25">
      <c r="A410" s="13"/>
      <c r="B410" s="13"/>
      <c r="L410" s="52">
        <v>45762</v>
      </c>
      <c r="M410" s="53">
        <v>0.46921296296296294</v>
      </c>
      <c r="N410" s="51" t="s">
        <v>161</v>
      </c>
      <c r="O410" s="51" t="s">
        <v>322</v>
      </c>
      <c r="Q410" s="51" t="s">
        <v>524</v>
      </c>
      <c r="R410" s="51" t="s">
        <v>132</v>
      </c>
    </row>
    <row r="411" spans="1:18" x14ac:dyDescent="0.25">
      <c r="A411" s="13"/>
      <c r="B411" s="13"/>
      <c r="L411" s="52">
        <v>45762</v>
      </c>
      <c r="M411" s="53">
        <v>0.46921296296296294</v>
      </c>
      <c r="N411" s="51" t="s">
        <v>162</v>
      </c>
      <c r="O411" s="51" t="s">
        <v>322</v>
      </c>
      <c r="Q411" s="51" t="s">
        <v>524</v>
      </c>
      <c r="R411" s="51" t="s">
        <v>132</v>
      </c>
    </row>
    <row r="412" spans="1:18" x14ac:dyDescent="0.25">
      <c r="A412" s="13"/>
      <c r="B412" s="13"/>
      <c r="L412" s="52">
        <v>45762</v>
      </c>
      <c r="M412" s="53">
        <v>0.46921296296296294</v>
      </c>
      <c r="N412" s="51" t="s">
        <v>163</v>
      </c>
      <c r="O412" s="51" t="s">
        <v>322</v>
      </c>
      <c r="P412" s="51" t="s">
        <v>525</v>
      </c>
      <c r="Q412" s="51" t="s">
        <v>80</v>
      </c>
      <c r="R412" s="51" t="s">
        <v>78</v>
      </c>
    </row>
    <row r="413" spans="1:18" x14ac:dyDescent="0.25">
      <c r="A413" s="13"/>
      <c r="B413" s="13"/>
      <c r="L413" s="52">
        <v>45762</v>
      </c>
      <c r="M413" s="53">
        <v>0.46921296296296294</v>
      </c>
      <c r="N413" s="51" t="s">
        <v>164</v>
      </c>
      <c r="O413" s="51" t="s">
        <v>322</v>
      </c>
      <c r="P413" s="51" t="s">
        <v>526</v>
      </c>
      <c r="Q413" s="51" t="s">
        <v>80</v>
      </c>
      <c r="R413" s="51" t="s">
        <v>78</v>
      </c>
    </row>
    <row r="414" spans="1:18" x14ac:dyDescent="0.25">
      <c r="A414" s="13"/>
      <c r="B414" s="13"/>
      <c r="L414" s="52">
        <v>45762</v>
      </c>
      <c r="M414" s="53">
        <v>0.46921296296296294</v>
      </c>
      <c r="N414" s="51" t="s">
        <v>165</v>
      </c>
      <c r="O414" s="51" t="s">
        <v>322</v>
      </c>
      <c r="P414" s="51" t="s">
        <v>527</v>
      </c>
      <c r="Q414" s="51" t="s">
        <v>80</v>
      </c>
      <c r="R414" s="51" t="s">
        <v>78</v>
      </c>
    </row>
    <row r="415" spans="1:18" x14ac:dyDescent="0.25">
      <c r="A415" s="13"/>
      <c r="B415" s="13"/>
      <c r="L415" s="52">
        <v>45762</v>
      </c>
      <c r="M415" s="53">
        <v>0.46921296296296294</v>
      </c>
      <c r="N415" s="51" t="s">
        <v>166</v>
      </c>
      <c r="O415" s="51" t="s">
        <v>322</v>
      </c>
      <c r="Q415" s="51" t="s">
        <v>524</v>
      </c>
      <c r="R415" s="51" t="s">
        <v>132</v>
      </c>
    </row>
    <row r="416" spans="1:18" x14ac:dyDescent="0.25">
      <c r="A416" s="13"/>
      <c r="B416" s="13"/>
      <c r="L416" s="52">
        <v>45762</v>
      </c>
      <c r="M416" s="53">
        <v>0.46921296296296294</v>
      </c>
      <c r="N416" s="51" t="s">
        <v>167</v>
      </c>
      <c r="O416" s="51" t="s">
        <v>322</v>
      </c>
      <c r="Q416" s="51" t="s">
        <v>524</v>
      </c>
      <c r="R416" s="51" t="s">
        <v>132</v>
      </c>
    </row>
    <row r="417" spans="1:18" x14ac:dyDescent="0.25">
      <c r="A417" s="13"/>
      <c r="B417" s="13"/>
      <c r="L417" s="52">
        <v>45762</v>
      </c>
      <c r="M417" s="53">
        <v>0.46921296296296294</v>
      </c>
      <c r="N417" s="51" t="s">
        <v>168</v>
      </c>
      <c r="O417" s="51" t="s">
        <v>322</v>
      </c>
      <c r="Q417" s="51" t="s">
        <v>524</v>
      </c>
      <c r="R417" s="51" t="s">
        <v>132</v>
      </c>
    </row>
    <row r="418" spans="1:18" x14ac:dyDescent="0.25">
      <c r="A418" s="13"/>
      <c r="B418" s="13"/>
      <c r="L418" s="52">
        <v>45762</v>
      </c>
      <c r="M418" s="53">
        <v>0.46921296296296294</v>
      </c>
      <c r="N418" s="51" t="s">
        <v>169</v>
      </c>
      <c r="O418" s="51" t="s">
        <v>322</v>
      </c>
      <c r="Q418" s="51" t="s">
        <v>524</v>
      </c>
      <c r="R418" s="51" t="s">
        <v>132</v>
      </c>
    </row>
    <row r="419" spans="1:18" x14ac:dyDescent="0.25">
      <c r="A419" s="13"/>
      <c r="B419" s="13"/>
      <c r="L419" s="52">
        <v>45762</v>
      </c>
      <c r="M419" s="53">
        <v>0.46921296296296294</v>
      </c>
      <c r="N419" s="51" t="s">
        <v>170</v>
      </c>
      <c r="O419" s="51" t="s">
        <v>322</v>
      </c>
      <c r="Q419" s="51" t="s">
        <v>524</v>
      </c>
      <c r="R419" s="51" t="s">
        <v>132</v>
      </c>
    </row>
    <row r="420" spans="1:18" x14ac:dyDescent="0.25">
      <c r="A420" s="13"/>
      <c r="B420" s="13"/>
      <c r="L420" s="52">
        <v>45762</v>
      </c>
      <c r="M420" s="53">
        <v>0.46921296296296294</v>
      </c>
      <c r="N420" s="51" t="s">
        <v>171</v>
      </c>
      <c r="O420" s="51" t="s">
        <v>322</v>
      </c>
      <c r="Q420" s="51" t="s">
        <v>524</v>
      </c>
      <c r="R420" s="51" t="s">
        <v>132</v>
      </c>
    </row>
    <row r="421" spans="1:18" x14ac:dyDescent="0.25">
      <c r="A421" s="13"/>
      <c r="B421" s="13"/>
      <c r="L421" s="52">
        <v>45762</v>
      </c>
      <c r="M421" s="53">
        <v>0.46921296296296294</v>
      </c>
      <c r="N421" s="51" t="s">
        <v>172</v>
      </c>
      <c r="O421" s="51" t="s">
        <v>322</v>
      </c>
      <c r="P421" s="51" t="s">
        <v>545</v>
      </c>
      <c r="Q421" s="51" t="s">
        <v>80</v>
      </c>
      <c r="R421" s="51" t="s">
        <v>78</v>
      </c>
    </row>
    <row r="422" spans="1:18" x14ac:dyDescent="0.25">
      <c r="A422" s="13"/>
      <c r="B422" s="13"/>
      <c r="L422" s="52">
        <v>45762</v>
      </c>
      <c r="M422" s="53">
        <v>0.46921296296296294</v>
      </c>
      <c r="N422" s="51" t="s">
        <v>173</v>
      </c>
      <c r="O422" s="51" t="s">
        <v>322</v>
      </c>
      <c r="P422" s="51" t="s">
        <v>546</v>
      </c>
      <c r="Q422" s="51" t="s">
        <v>80</v>
      </c>
      <c r="R422" s="51" t="s">
        <v>78</v>
      </c>
    </row>
    <row r="423" spans="1:18" x14ac:dyDescent="0.25">
      <c r="A423" s="13"/>
      <c r="B423" s="13"/>
      <c r="L423" s="52">
        <v>45762</v>
      </c>
      <c r="M423" s="53">
        <v>0.46921296296296294</v>
      </c>
      <c r="N423" s="51" t="s">
        <v>174</v>
      </c>
      <c r="O423" s="51" t="s">
        <v>322</v>
      </c>
      <c r="P423" s="51" t="s">
        <v>547</v>
      </c>
      <c r="Q423" s="51" t="s">
        <v>80</v>
      </c>
      <c r="R423" s="51" t="s">
        <v>78</v>
      </c>
    </row>
    <row r="424" spans="1:18" x14ac:dyDescent="0.25">
      <c r="A424" s="13"/>
      <c r="B424" s="13"/>
      <c r="L424" s="52">
        <v>45762</v>
      </c>
      <c r="M424" s="53">
        <v>0.46921296296296294</v>
      </c>
      <c r="N424" s="51" t="s">
        <v>175</v>
      </c>
      <c r="O424" s="51" t="s">
        <v>322</v>
      </c>
      <c r="P424" s="51" t="s">
        <v>548</v>
      </c>
      <c r="Q424" s="51" t="s">
        <v>80</v>
      </c>
      <c r="R424" s="51" t="s">
        <v>78</v>
      </c>
    </row>
    <row r="425" spans="1:18" x14ac:dyDescent="0.25">
      <c r="A425" s="13"/>
      <c r="B425" s="13"/>
      <c r="L425" s="52">
        <v>45762</v>
      </c>
      <c r="M425" s="53">
        <v>0.46921296296296294</v>
      </c>
      <c r="N425" s="51" t="s">
        <v>176</v>
      </c>
      <c r="O425" s="51" t="s">
        <v>322</v>
      </c>
      <c r="P425" s="51" t="s">
        <v>541</v>
      </c>
      <c r="Q425" s="51" t="s">
        <v>80</v>
      </c>
      <c r="R425" s="51" t="s">
        <v>78</v>
      </c>
    </row>
    <row r="426" spans="1:18" x14ac:dyDescent="0.25">
      <c r="A426" s="13"/>
      <c r="B426" s="13"/>
      <c r="L426" s="52">
        <v>45762</v>
      </c>
      <c r="M426" s="53">
        <v>0.46921296296296294</v>
      </c>
      <c r="N426" s="51" t="s">
        <v>177</v>
      </c>
      <c r="O426" s="51" t="s">
        <v>322</v>
      </c>
      <c r="P426" s="51" t="s">
        <v>92</v>
      </c>
      <c r="Q426" s="51" t="s">
        <v>80</v>
      </c>
      <c r="R426" s="51" t="s">
        <v>78</v>
      </c>
    </row>
    <row r="427" spans="1:18" x14ac:dyDescent="0.25">
      <c r="A427" s="13"/>
      <c r="B427" s="13"/>
      <c r="L427" s="52">
        <v>45762</v>
      </c>
      <c r="M427" s="53">
        <v>0.46921296296296294</v>
      </c>
      <c r="N427" s="51" t="s">
        <v>177</v>
      </c>
      <c r="O427" s="51" t="s">
        <v>322</v>
      </c>
      <c r="P427" s="51" t="s">
        <v>92</v>
      </c>
      <c r="Q427" s="51" t="s">
        <v>80</v>
      </c>
      <c r="R427" s="51" t="s">
        <v>78</v>
      </c>
    </row>
    <row r="428" spans="1:18" x14ac:dyDescent="0.25">
      <c r="A428" s="13"/>
      <c r="B428" s="13"/>
      <c r="L428" s="52">
        <v>45762</v>
      </c>
      <c r="M428" s="53">
        <v>0.46921296296296294</v>
      </c>
      <c r="N428" s="51" t="s">
        <v>178</v>
      </c>
      <c r="O428" s="51" t="s">
        <v>322</v>
      </c>
      <c r="P428" s="51" t="s">
        <v>528</v>
      </c>
      <c r="Q428" s="51" t="s">
        <v>80</v>
      </c>
      <c r="R428" s="51" t="s">
        <v>78</v>
      </c>
    </row>
    <row r="429" spans="1:18" x14ac:dyDescent="0.25">
      <c r="A429" s="13"/>
      <c r="B429" s="13"/>
      <c r="L429" s="52">
        <v>45762</v>
      </c>
      <c r="M429" s="53">
        <v>0.46921296296296294</v>
      </c>
      <c r="N429" s="51" t="s">
        <v>178</v>
      </c>
      <c r="O429" s="51" t="s">
        <v>322</v>
      </c>
      <c r="P429" s="51" t="s">
        <v>528</v>
      </c>
      <c r="Q429" s="51" t="s">
        <v>80</v>
      </c>
      <c r="R429" s="51" t="s">
        <v>78</v>
      </c>
    </row>
    <row r="430" spans="1:18" x14ac:dyDescent="0.25">
      <c r="A430" s="13"/>
      <c r="B430" s="13"/>
      <c r="L430" s="52">
        <v>45762</v>
      </c>
      <c r="M430" s="53">
        <v>0.46921296296296294</v>
      </c>
      <c r="N430" s="51" t="s">
        <v>179</v>
      </c>
      <c r="O430" s="51" t="s">
        <v>322</v>
      </c>
      <c r="P430" s="51" t="s">
        <v>93</v>
      </c>
      <c r="Q430" s="51" t="s">
        <v>80</v>
      </c>
      <c r="R430" s="51" t="s">
        <v>78</v>
      </c>
    </row>
    <row r="431" spans="1:18" x14ac:dyDescent="0.25">
      <c r="A431" s="13"/>
      <c r="B431" s="13"/>
      <c r="L431" s="52">
        <v>45762</v>
      </c>
      <c r="M431" s="53">
        <v>0.46921296296296294</v>
      </c>
      <c r="N431" s="51" t="s">
        <v>180</v>
      </c>
      <c r="O431" s="51" t="s">
        <v>322</v>
      </c>
      <c r="P431" s="51" t="s">
        <v>529</v>
      </c>
      <c r="Q431" s="51" t="s">
        <v>80</v>
      </c>
      <c r="R431" s="51" t="s">
        <v>78</v>
      </c>
    </row>
    <row r="432" spans="1:18" x14ac:dyDescent="0.25">
      <c r="A432" s="13"/>
      <c r="B432" s="13"/>
      <c r="L432" s="52">
        <v>45762</v>
      </c>
      <c r="M432" s="53">
        <v>0.46921296296296294</v>
      </c>
      <c r="N432" s="51" t="s">
        <v>181</v>
      </c>
      <c r="O432" s="51" t="s">
        <v>322</v>
      </c>
      <c r="Q432" s="51" t="s">
        <v>524</v>
      </c>
      <c r="R432" s="51" t="s">
        <v>132</v>
      </c>
    </row>
    <row r="433" spans="1:18" x14ac:dyDescent="0.25">
      <c r="A433" s="13"/>
      <c r="B433" s="13"/>
      <c r="L433" s="52">
        <v>45762</v>
      </c>
      <c r="M433" s="53">
        <v>0.46921296296296294</v>
      </c>
      <c r="N433" s="51" t="s">
        <v>182</v>
      </c>
      <c r="O433" s="51" t="s">
        <v>322</v>
      </c>
      <c r="P433" s="51" t="s">
        <v>549</v>
      </c>
      <c r="Q433" s="51" t="s">
        <v>80</v>
      </c>
      <c r="R433" s="51" t="s">
        <v>78</v>
      </c>
    </row>
    <row r="434" spans="1:18" x14ac:dyDescent="0.25">
      <c r="A434" s="13"/>
      <c r="B434" s="13"/>
      <c r="L434" s="52">
        <v>45762</v>
      </c>
      <c r="M434" s="53">
        <v>0.46921296296296294</v>
      </c>
      <c r="N434" s="51" t="s">
        <v>183</v>
      </c>
      <c r="O434" s="51" t="s">
        <v>322</v>
      </c>
      <c r="P434" s="51" t="s">
        <v>550</v>
      </c>
      <c r="Q434" s="51" t="s">
        <v>80</v>
      </c>
      <c r="R434" s="51" t="s">
        <v>78</v>
      </c>
    </row>
    <row r="435" spans="1:18" x14ac:dyDescent="0.25">
      <c r="A435" s="13"/>
      <c r="B435" s="13"/>
      <c r="L435" s="52">
        <v>45762</v>
      </c>
      <c r="M435" s="53">
        <v>0.46921296296296294</v>
      </c>
      <c r="N435" s="51" t="s">
        <v>184</v>
      </c>
      <c r="O435" s="51" t="s">
        <v>322</v>
      </c>
      <c r="Q435" s="51" t="s">
        <v>524</v>
      </c>
      <c r="R435" s="51" t="s">
        <v>132</v>
      </c>
    </row>
    <row r="436" spans="1:18" x14ac:dyDescent="0.25">
      <c r="A436" s="13"/>
      <c r="B436" s="13"/>
      <c r="L436" s="52">
        <v>45762</v>
      </c>
      <c r="M436" s="53">
        <v>0.46921296296296294</v>
      </c>
      <c r="N436" s="51" t="s">
        <v>185</v>
      </c>
      <c r="O436" s="51" t="s">
        <v>322</v>
      </c>
      <c r="Q436" s="51" t="s">
        <v>524</v>
      </c>
      <c r="R436" s="51" t="s">
        <v>132</v>
      </c>
    </row>
    <row r="437" spans="1:18" x14ac:dyDescent="0.25">
      <c r="A437" s="13"/>
      <c r="B437" s="13"/>
      <c r="L437" s="52">
        <v>45762</v>
      </c>
      <c r="M437" s="53">
        <v>0.46921296296296294</v>
      </c>
      <c r="N437" s="51" t="s">
        <v>186</v>
      </c>
      <c r="O437" s="51" t="s">
        <v>322</v>
      </c>
      <c r="Q437" s="51" t="s">
        <v>524</v>
      </c>
      <c r="R437" s="51" t="s">
        <v>132</v>
      </c>
    </row>
    <row r="438" spans="1:18" x14ac:dyDescent="0.25">
      <c r="A438" s="13"/>
      <c r="B438" s="13"/>
      <c r="L438" s="52">
        <v>45762</v>
      </c>
      <c r="M438" s="53">
        <v>0.46921296296296294</v>
      </c>
      <c r="N438" s="51" t="s">
        <v>187</v>
      </c>
      <c r="O438" s="51" t="s">
        <v>322</v>
      </c>
      <c r="Q438" s="51" t="s">
        <v>524</v>
      </c>
      <c r="R438" s="51" t="s">
        <v>132</v>
      </c>
    </row>
    <row r="439" spans="1:18" x14ac:dyDescent="0.25">
      <c r="A439" s="13"/>
      <c r="B439" s="13"/>
      <c r="L439" s="52">
        <v>45762</v>
      </c>
      <c r="M439" s="53">
        <v>0.46921296296296294</v>
      </c>
      <c r="N439" s="51" t="s">
        <v>188</v>
      </c>
      <c r="O439" s="51" t="s">
        <v>322</v>
      </c>
      <c r="Q439" s="51" t="s">
        <v>524</v>
      </c>
      <c r="R439" s="51" t="s">
        <v>132</v>
      </c>
    </row>
    <row r="440" spans="1:18" x14ac:dyDescent="0.25">
      <c r="A440" s="13"/>
      <c r="B440" s="13"/>
      <c r="L440" s="52">
        <v>45762</v>
      </c>
      <c r="M440" s="53">
        <v>0.46921296296296294</v>
      </c>
      <c r="N440" s="51" t="s">
        <v>189</v>
      </c>
      <c r="O440" s="51" t="s">
        <v>322</v>
      </c>
      <c r="Q440" s="51" t="s">
        <v>524</v>
      </c>
      <c r="R440" s="51" t="s">
        <v>132</v>
      </c>
    </row>
    <row r="441" spans="1:18" x14ac:dyDescent="0.25">
      <c r="A441" s="13"/>
      <c r="B441" s="13"/>
      <c r="L441" s="52">
        <v>45762</v>
      </c>
      <c r="M441" s="53">
        <v>0.46921296296296294</v>
      </c>
      <c r="N441" s="51" t="s">
        <v>190</v>
      </c>
      <c r="O441" s="51" t="s">
        <v>322</v>
      </c>
      <c r="Q441" s="51" t="s">
        <v>524</v>
      </c>
      <c r="R441" s="51" t="s">
        <v>132</v>
      </c>
    </row>
    <row r="442" spans="1:18" x14ac:dyDescent="0.25">
      <c r="A442" s="13"/>
      <c r="B442" s="13"/>
      <c r="L442" s="52">
        <v>45762</v>
      </c>
      <c r="M442" s="53">
        <v>0.46921296296296294</v>
      </c>
      <c r="N442" s="51" t="s">
        <v>191</v>
      </c>
      <c r="O442" s="51" t="s">
        <v>322</v>
      </c>
      <c r="Q442" s="51" t="s">
        <v>524</v>
      </c>
      <c r="R442" s="51" t="s">
        <v>132</v>
      </c>
    </row>
    <row r="443" spans="1:18" x14ac:dyDescent="0.25">
      <c r="A443" s="13"/>
      <c r="B443" s="13"/>
      <c r="L443" s="52">
        <v>45762</v>
      </c>
      <c r="M443" s="53">
        <v>0.46921296296296294</v>
      </c>
      <c r="N443" s="51" t="s">
        <v>192</v>
      </c>
      <c r="O443" s="51" t="s">
        <v>322</v>
      </c>
      <c r="P443" s="51" t="s">
        <v>541</v>
      </c>
      <c r="Q443" s="51" t="s">
        <v>80</v>
      </c>
      <c r="R443" s="51" t="s">
        <v>78</v>
      </c>
    </row>
    <row r="444" spans="1:18" x14ac:dyDescent="0.25">
      <c r="A444" s="13"/>
      <c r="B444" s="13"/>
      <c r="L444" s="52">
        <v>45762</v>
      </c>
      <c r="M444" s="53">
        <v>0.46921296296296294</v>
      </c>
      <c r="N444" s="51" t="s">
        <v>193</v>
      </c>
      <c r="O444" s="51" t="s">
        <v>322</v>
      </c>
      <c r="Q444" s="51" t="s">
        <v>524</v>
      </c>
      <c r="R444" s="51" t="s">
        <v>132</v>
      </c>
    </row>
    <row r="445" spans="1:18" x14ac:dyDescent="0.25">
      <c r="A445" s="13"/>
      <c r="B445" s="13"/>
      <c r="L445" s="52">
        <v>45762</v>
      </c>
      <c r="M445" s="53">
        <v>0.46921296296296294</v>
      </c>
      <c r="N445" s="51" t="s">
        <v>194</v>
      </c>
      <c r="O445" s="51" t="s">
        <v>322</v>
      </c>
      <c r="Q445" s="51" t="s">
        <v>524</v>
      </c>
      <c r="R445" s="51" t="s">
        <v>132</v>
      </c>
    </row>
    <row r="446" spans="1:18" x14ac:dyDescent="0.25">
      <c r="A446" s="13"/>
      <c r="B446" s="13"/>
      <c r="L446" s="52">
        <v>45762</v>
      </c>
      <c r="M446" s="53">
        <v>0.46921296296296294</v>
      </c>
      <c r="N446" s="51" t="s">
        <v>195</v>
      </c>
      <c r="O446" s="51" t="s">
        <v>322</v>
      </c>
      <c r="P446" s="51" t="s">
        <v>541</v>
      </c>
      <c r="Q446" s="51" t="s">
        <v>80</v>
      </c>
      <c r="R446" s="51" t="s">
        <v>78</v>
      </c>
    </row>
    <row r="447" spans="1:18" x14ac:dyDescent="0.25">
      <c r="A447" s="13"/>
      <c r="B447" s="13"/>
      <c r="L447" s="52">
        <v>45762</v>
      </c>
      <c r="M447" s="53">
        <v>0.46921296296296294</v>
      </c>
      <c r="N447" s="51" t="s">
        <v>196</v>
      </c>
      <c r="O447" s="51" t="s">
        <v>322</v>
      </c>
      <c r="Q447" s="51" t="s">
        <v>524</v>
      </c>
      <c r="R447" s="51" t="s">
        <v>132</v>
      </c>
    </row>
    <row r="448" spans="1:18" x14ac:dyDescent="0.25">
      <c r="A448" s="13"/>
      <c r="B448" s="13"/>
      <c r="L448" s="52">
        <v>45762</v>
      </c>
      <c r="M448" s="53">
        <v>0.46921296296296294</v>
      </c>
      <c r="N448" s="51" t="s">
        <v>197</v>
      </c>
      <c r="O448" s="51" t="s">
        <v>322</v>
      </c>
      <c r="Q448" s="51" t="s">
        <v>524</v>
      </c>
      <c r="R448" s="51" t="s">
        <v>132</v>
      </c>
    </row>
    <row r="449" spans="1:18" x14ac:dyDescent="0.25">
      <c r="A449" s="13"/>
      <c r="B449" s="13"/>
      <c r="L449" s="52">
        <v>45762</v>
      </c>
      <c r="M449" s="53">
        <v>0.46921296296296294</v>
      </c>
      <c r="N449" s="51" t="s">
        <v>198</v>
      </c>
      <c r="O449" s="51" t="s">
        <v>322</v>
      </c>
      <c r="Q449" s="51" t="s">
        <v>524</v>
      </c>
      <c r="R449" s="51" t="s">
        <v>132</v>
      </c>
    </row>
    <row r="450" spans="1:18" x14ac:dyDescent="0.25">
      <c r="A450" s="13"/>
      <c r="B450" s="13"/>
      <c r="L450" s="52">
        <v>45762</v>
      </c>
      <c r="M450" s="53">
        <v>0.46921296296296294</v>
      </c>
      <c r="N450" s="51" t="s">
        <v>199</v>
      </c>
      <c r="O450" s="51" t="s">
        <v>322</v>
      </c>
      <c r="Q450" s="51" t="s">
        <v>524</v>
      </c>
      <c r="R450" s="51" t="s">
        <v>132</v>
      </c>
    </row>
    <row r="451" spans="1:18" x14ac:dyDescent="0.25">
      <c r="A451" s="13"/>
      <c r="B451" s="13"/>
      <c r="L451" s="52">
        <v>45762</v>
      </c>
      <c r="M451" s="53">
        <v>0.46921296296296294</v>
      </c>
      <c r="N451" s="51" t="s">
        <v>200</v>
      </c>
      <c r="O451" s="51" t="s">
        <v>322</v>
      </c>
      <c r="Q451" s="51" t="s">
        <v>524</v>
      </c>
      <c r="R451" s="51" t="s">
        <v>132</v>
      </c>
    </row>
    <row r="452" spans="1:18" x14ac:dyDescent="0.25">
      <c r="A452" s="13"/>
      <c r="B452" s="13"/>
      <c r="L452" s="52">
        <v>45762</v>
      </c>
      <c r="M452" s="53">
        <v>0.46921296296296294</v>
      </c>
      <c r="N452" s="51" t="s">
        <v>201</v>
      </c>
      <c r="O452" s="51" t="s">
        <v>322</v>
      </c>
      <c r="Q452" s="51" t="s">
        <v>524</v>
      </c>
      <c r="R452" s="51" t="s">
        <v>132</v>
      </c>
    </row>
    <row r="453" spans="1:18" x14ac:dyDescent="0.25">
      <c r="A453" s="13"/>
      <c r="B453" s="13"/>
      <c r="L453" s="52">
        <v>45762</v>
      </c>
      <c r="M453" s="53">
        <v>0.46921296296296294</v>
      </c>
      <c r="N453" s="51" t="s">
        <v>202</v>
      </c>
      <c r="O453" s="51" t="s">
        <v>322</v>
      </c>
      <c r="Q453" s="51" t="s">
        <v>524</v>
      </c>
      <c r="R453" s="51" t="s">
        <v>132</v>
      </c>
    </row>
    <row r="454" spans="1:18" x14ac:dyDescent="0.25">
      <c r="A454" s="13"/>
      <c r="B454" s="13"/>
      <c r="L454" s="52">
        <v>45762</v>
      </c>
      <c r="M454" s="53">
        <v>0.46921296296296294</v>
      </c>
      <c r="N454" s="51" t="s">
        <v>203</v>
      </c>
      <c r="O454" s="51" t="s">
        <v>322</v>
      </c>
      <c r="Q454" s="51" t="s">
        <v>524</v>
      </c>
      <c r="R454" s="51" t="s">
        <v>132</v>
      </c>
    </row>
    <row r="455" spans="1:18" x14ac:dyDescent="0.25">
      <c r="A455" s="13"/>
      <c r="B455" s="13"/>
      <c r="L455" s="52">
        <v>45762</v>
      </c>
      <c r="M455" s="53">
        <v>0.46921296296296294</v>
      </c>
      <c r="N455" s="51" t="s">
        <v>204</v>
      </c>
      <c r="O455" s="51" t="s">
        <v>322</v>
      </c>
      <c r="Q455" s="51" t="s">
        <v>524</v>
      </c>
      <c r="R455" s="51" t="s">
        <v>132</v>
      </c>
    </row>
    <row r="456" spans="1:18" x14ac:dyDescent="0.25">
      <c r="A456" s="13"/>
      <c r="B456" s="13"/>
      <c r="L456" s="52">
        <v>45762</v>
      </c>
      <c r="M456" s="53">
        <v>0.46921296296296294</v>
      </c>
      <c r="N456" s="51" t="s">
        <v>205</v>
      </c>
      <c r="O456" s="51" t="s">
        <v>322</v>
      </c>
      <c r="Q456" s="51" t="s">
        <v>524</v>
      </c>
      <c r="R456" s="51" t="s">
        <v>132</v>
      </c>
    </row>
    <row r="457" spans="1:18" x14ac:dyDescent="0.25">
      <c r="A457" s="13"/>
      <c r="B457" s="13"/>
      <c r="L457" s="52">
        <v>45762</v>
      </c>
      <c r="M457" s="53">
        <v>0.46921296296296294</v>
      </c>
      <c r="N457" s="51" t="s">
        <v>206</v>
      </c>
      <c r="O457" s="51" t="s">
        <v>322</v>
      </c>
      <c r="Q457" s="51" t="s">
        <v>524</v>
      </c>
      <c r="R457" s="51" t="s">
        <v>132</v>
      </c>
    </row>
    <row r="458" spans="1:18" x14ac:dyDescent="0.25">
      <c r="A458" s="13"/>
      <c r="B458" s="13"/>
      <c r="L458" s="52">
        <v>45762</v>
      </c>
      <c r="M458" s="53">
        <v>0.46921296296296294</v>
      </c>
      <c r="N458" s="51" t="s">
        <v>207</v>
      </c>
      <c r="O458" s="51" t="s">
        <v>322</v>
      </c>
      <c r="Q458" s="51" t="s">
        <v>524</v>
      </c>
      <c r="R458" s="51" t="s">
        <v>132</v>
      </c>
    </row>
    <row r="459" spans="1:18" x14ac:dyDescent="0.25">
      <c r="A459" s="13"/>
      <c r="B459" s="13"/>
      <c r="L459" s="52">
        <v>45762</v>
      </c>
      <c r="M459" s="53">
        <v>0.46921296296296294</v>
      </c>
      <c r="N459" s="51" t="s">
        <v>208</v>
      </c>
      <c r="O459" s="51" t="s">
        <v>322</v>
      </c>
      <c r="Q459" s="51" t="s">
        <v>524</v>
      </c>
      <c r="R459" s="51" t="s">
        <v>132</v>
      </c>
    </row>
    <row r="460" spans="1:18" x14ac:dyDescent="0.25">
      <c r="A460" s="13"/>
      <c r="B460" s="13"/>
      <c r="L460" s="52">
        <v>45762</v>
      </c>
      <c r="M460" s="53">
        <v>0.46921296296296294</v>
      </c>
      <c r="N460" s="51" t="s">
        <v>209</v>
      </c>
      <c r="O460" s="51" t="s">
        <v>322</v>
      </c>
      <c r="Q460" s="51" t="s">
        <v>524</v>
      </c>
      <c r="R460" s="51" t="s">
        <v>132</v>
      </c>
    </row>
    <row r="461" spans="1:18" x14ac:dyDescent="0.25">
      <c r="A461" s="13"/>
      <c r="B461" s="13"/>
      <c r="L461" s="52">
        <v>45762</v>
      </c>
      <c r="M461" s="53">
        <v>0.46921296296296294</v>
      </c>
      <c r="N461" s="51" t="s">
        <v>210</v>
      </c>
      <c r="O461" s="51" t="s">
        <v>322</v>
      </c>
      <c r="Q461" s="51" t="s">
        <v>524</v>
      </c>
      <c r="R461" s="51" t="s">
        <v>132</v>
      </c>
    </row>
    <row r="462" spans="1:18" x14ac:dyDescent="0.25">
      <c r="A462" s="13"/>
      <c r="B462" s="13"/>
      <c r="L462" s="52">
        <v>45762</v>
      </c>
      <c r="M462" s="53">
        <v>0.46921296296296294</v>
      </c>
      <c r="N462" s="51" t="s">
        <v>211</v>
      </c>
      <c r="O462" s="51" t="s">
        <v>322</v>
      </c>
      <c r="Q462" s="51" t="s">
        <v>524</v>
      </c>
      <c r="R462" s="51" t="s">
        <v>132</v>
      </c>
    </row>
    <row r="463" spans="1:18" x14ac:dyDescent="0.25">
      <c r="A463" s="13"/>
      <c r="B463" s="13"/>
      <c r="L463" s="52">
        <v>45762</v>
      </c>
      <c r="M463" s="53">
        <v>0.46921296296296294</v>
      </c>
      <c r="N463" s="51" t="s">
        <v>212</v>
      </c>
      <c r="O463" s="51" t="s">
        <v>322</v>
      </c>
      <c r="Q463" s="51" t="s">
        <v>524</v>
      </c>
      <c r="R463" s="51" t="s">
        <v>132</v>
      </c>
    </row>
    <row r="464" spans="1:18" x14ac:dyDescent="0.25">
      <c r="A464" s="13"/>
      <c r="B464" s="13"/>
      <c r="L464" s="52">
        <v>45762</v>
      </c>
      <c r="M464" s="53">
        <v>0.46921296296296294</v>
      </c>
      <c r="N464" s="51" t="s">
        <v>213</v>
      </c>
      <c r="O464" s="51" t="s">
        <v>322</v>
      </c>
      <c r="Q464" s="51" t="s">
        <v>524</v>
      </c>
      <c r="R464" s="51" t="s">
        <v>132</v>
      </c>
    </row>
    <row r="465" spans="1:18" x14ac:dyDescent="0.25">
      <c r="A465" s="13"/>
      <c r="B465" s="13"/>
      <c r="L465" s="52">
        <v>45762</v>
      </c>
      <c r="M465" s="53">
        <v>0.46921296296296294</v>
      </c>
      <c r="N465" s="51" t="s">
        <v>214</v>
      </c>
      <c r="O465" s="51" t="s">
        <v>322</v>
      </c>
      <c r="Q465" s="51" t="s">
        <v>524</v>
      </c>
      <c r="R465" s="51" t="s">
        <v>132</v>
      </c>
    </row>
    <row r="466" spans="1:18" x14ac:dyDescent="0.25">
      <c r="A466" s="13"/>
      <c r="B466" s="13"/>
      <c r="L466" s="52">
        <v>45762</v>
      </c>
      <c r="M466" s="53">
        <v>0.46921296296296294</v>
      </c>
      <c r="N466" s="51" t="s">
        <v>215</v>
      </c>
      <c r="O466" s="51" t="s">
        <v>322</v>
      </c>
      <c r="Q466" s="51" t="s">
        <v>524</v>
      </c>
      <c r="R466" s="51" t="s">
        <v>132</v>
      </c>
    </row>
    <row r="467" spans="1:18" x14ac:dyDescent="0.25">
      <c r="A467" s="13"/>
      <c r="B467" s="13"/>
      <c r="L467" s="52">
        <v>45762</v>
      </c>
      <c r="M467" s="53">
        <v>0.46921296296296294</v>
      </c>
      <c r="N467" s="51" t="s">
        <v>216</v>
      </c>
      <c r="O467" s="51" t="s">
        <v>322</v>
      </c>
      <c r="Q467" s="51" t="s">
        <v>524</v>
      </c>
      <c r="R467" s="51" t="s">
        <v>132</v>
      </c>
    </row>
    <row r="468" spans="1:18" x14ac:dyDescent="0.25">
      <c r="A468" s="13"/>
      <c r="B468" s="13"/>
      <c r="L468" s="52">
        <v>45762</v>
      </c>
      <c r="M468" s="53">
        <v>0.46921296296296294</v>
      </c>
      <c r="N468" s="51" t="s">
        <v>217</v>
      </c>
      <c r="O468" s="51" t="s">
        <v>322</v>
      </c>
      <c r="Q468" s="51" t="s">
        <v>524</v>
      </c>
      <c r="R468" s="51" t="s">
        <v>132</v>
      </c>
    </row>
    <row r="469" spans="1:18" x14ac:dyDescent="0.25">
      <c r="A469" s="13"/>
      <c r="B469" s="13"/>
      <c r="L469" s="52">
        <v>45762</v>
      </c>
      <c r="M469" s="53">
        <v>0.46921296296296294</v>
      </c>
      <c r="N469" s="51" t="s">
        <v>218</v>
      </c>
      <c r="O469" s="51" t="s">
        <v>322</v>
      </c>
      <c r="Q469" s="51" t="s">
        <v>524</v>
      </c>
      <c r="R469" s="51" t="s">
        <v>132</v>
      </c>
    </row>
    <row r="470" spans="1:18" x14ac:dyDescent="0.25">
      <c r="A470" s="13"/>
      <c r="B470" s="13"/>
      <c r="L470" s="52">
        <v>45762</v>
      </c>
      <c r="M470" s="53">
        <v>0.46921296296296294</v>
      </c>
      <c r="N470" s="51" t="s">
        <v>219</v>
      </c>
      <c r="O470" s="51" t="s">
        <v>322</v>
      </c>
      <c r="Q470" s="51" t="s">
        <v>524</v>
      </c>
      <c r="R470" s="51" t="s">
        <v>132</v>
      </c>
    </row>
    <row r="471" spans="1:18" x14ac:dyDescent="0.25">
      <c r="A471" s="13"/>
      <c r="B471" s="13"/>
      <c r="L471" s="52">
        <v>45762</v>
      </c>
      <c r="M471" s="53">
        <v>0.46921296296296294</v>
      </c>
      <c r="N471" s="51" t="s">
        <v>220</v>
      </c>
      <c r="O471" s="51" t="s">
        <v>322</v>
      </c>
      <c r="Q471" s="51" t="s">
        <v>524</v>
      </c>
      <c r="R471" s="51" t="s">
        <v>132</v>
      </c>
    </row>
    <row r="472" spans="1:18" x14ac:dyDescent="0.25">
      <c r="A472" s="13"/>
      <c r="B472" s="13"/>
      <c r="L472" s="52">
        <v>45762</v>
      </c>
      <c r="M472" s="53">
        <v>0.46921296296296294</v>
      </c>
      <c r="N472" s="51" t="s">
        <v>221</v>
      </c>
      <c r="O472" s="51" t="s">
        <v>322</v>
      </c>
      <c r="Q472" s="51" t="s">
        <v>524</v>
      </c>
      <c r="R472" s="51" t="s">
        <v>132</v>
      </c>
    </row>
    <row r="473" spans="1:18" x14ac:dyDescent="0.25">
      <c r="A473" s="13"/>
      <c r="B473" s="13"/>
      <c r="L473" s="52">
        <v>45762</v>
      </c>
      <c r="M473" s="53">
        <v>0.46921296296296294</v>
      </c>
      <c r="N473" s="51" t="s">
        <v>222</v>
      </c>
      <c r="O473" s="51" t="s">
        <v>322</v>
      </c>
      <c r="Q473" s="51" t="s">
        <v>524</v>
      </c>
      <c r="R473" s="51" t="s">
        <v>132</v>
      </c>
    </row>
    <row r="474" spans="1:18" x14ac:dyDescent="0.25">
      <c r="A474" s="13"/>
      <c r="B474" s="13"/>
      <c r="L474" s="52">
        <v>45762</v>
      </c>
      <c r="M474" s="53">
        <v>0.46921296296296294</v>
      </c>
      <c r="N474" s="51" t="s">
        <v>223</v>
      </c>
      <c r="O474" s="51" t="s">
        <v>322</v>
      </c>
      <c r="Q474" s="51" t="s">
        <v>524</v>
      </c>
      <c r="R474" s="51" t="s">
        <v>132</v>
      </c>
    </row>
    <row r="475" spans="1:18" x14ac:dyDescent="0.25">
      <c r="A475" s="13"/>
      <c r="B475" s="13"/>
      <c r="L475" s="52">
        <v>45762</v>
      </c>
      <c r="M475" s="53">
        <v>0.46921296296296294</v>
      </c>
      <c r="N475" s="51" t="s">
        <v>224</v>
      </c>
      <c r="O475" s="51" t="s">
        <v>322</v>
      </c>
      <c r="Q475" s="51" t="s">
        <v>524</v>
      </c>
      <c r="R475" s="51" t="s">
        <v>132</v>
      </c>
    </row>
    <row r="476" spans="1:18" x14ac:dyDescent="0.25">
      <c r="A476" s="13"/>
      <c r="B476" s="13"/>
      <c r="L476" s="52">
        <v>45762</v>
      </c>
      <c r="M476" s="53">
        <v>0.46921296296296294</v>
      </c>
      <c r="N476" s="51" t="s">
        <v>225</v>
      </c>
      <c r="O476" s="51" t="s">
        <v>322</v>
      </c>
      <c r="Q476" s="51" t="s">
        <v>524</v>
      </c>
      <c r="R476" s="51" t="s">
        <v>132</v>
      </c>
    </row>
    <row r="477" spans="1:18" x14ac:dyDescent="0.25">
      <c r="A477" s="13"/>
      <c r="B477" s="13"/>
      <c r="L477" s="52">
        <v>45762</v>
      </c>
      <c r="M477" s="53">
        <v>0.46921296296296294</v>
      </c>
      <c r="N477" s="51" t="s">
        <v>226</v>
      </c>
      <c r="O477" s="51" t="s">
        <v>322</v>
      </c>
      <c r="Q477" s="51" t="s">
        <v>524</v>
      </c>
      <c r="R477" s="51" t="s">
        <v>132</v>
      </c>
    </row>
    <row r="478" spans="1:18" x14ac:dyDescent="0.25">
      <c r="A478" s="13"/>
      <c r="B478" s="13"/>
      <c r="L478" s="52">
        <v>45762</v>
      </c>
      <c r="M478" s="53">
        <v>0.46921296296296294</v>
      </c>
      <c r="N478" s="51" t="s">
        <v>227</v>
      </c>
      <c r="O478" s="51" t="s">
        <v>322</v>
      </c>
      <c r="Q478" s="51" t="s">
        <v>524</v>
      </c>
      <c r="R478" s="51" t="s">
        <v>132</v>
      </c>
    </row>
    <row r="479" spans="1:18" x14ac:dyDescent="0.25">
      <c r="A479" s="13"/>
      <c r="B479" s="13"/>
      <c r="L479" s="52">
        <v>45762</v>
      </c>
      <c r="M479" s="53">
        <v>0.46921296296296294</v>
      </c>
      <c r="N479" s="51" t="s">
        <v>228</v>
      </c>
      <c r="O479" s="51" t="s">
        <v>322</v>
      </c>
      <c r="Q479" s="51" t="s">
        <v>524</v>
      </c>
      <c r="R479" s="51" t="s">
        <v>132</v>
      </c>
    </row>
    <row r="480" spans="1:18" x14ac:dyDescent="0.25">
      <c r="A480" s="13"/>
      <c r="B480" s="13"/>
      <c r="L480" s="52">
        <v>45762</v>
      </c>
      <c r="M480" s="53">
        <v>0.46921296296296294</v>
      </c>
      <c r="N480" s="51" t="s">
        <v>229</v>
      </c>
      <c r="O480" s="51" t="s">
        <v>322</v>
      </c>
      <c r="Q480" s="51" t="s">
        <v>524</v>
      </c>
      <c r="R480" s="51" t="s">
        <v>132</v>
      </c>
    </row>
    <row r="481" spans="1:18" x14ac:dyDescent="0.25">
      <c r="A481" s="13"/>
      <c r="B481" s="13"/>
      <c r="L481" s="52">
        <v>45762</v>
      </c>
      <c r="M481" s="53">
        <v>0.46921296296296294</v>
      </c>
      <c r="N481" s="51" t="s">
        <v>230</v>
      </c>
      <c r="O481" s="51" t="s">
        <v>322</v>
      </c>
      <c r="Q481" s="51" t="s">
        <v>524</v>
      </c>
      <c r="R481" s="51" t="s">
        <v>132</v>
      </c>
    </row>
    <row r="482" spans="1:18" x14ac:dyDescent="0.25">
      <c r="A482" s="13"/>
      <c r="B482" s="13"/>
      <c r="L482" s="52">
        <v>45762</v>
      </c>
      <c r="M482" s="53">
        <v>0.46921296296296294</v>
      </c>
      <c r="N482" s="51" t="s">
        <v>231</v>
      </c>
      <c r="O482" s="51" t="s">
        <v>322</v>
      </c>
      <c r="Q482" s="51" t="s">
        <v>524</v>
      </c>
      <c r="R482" s="51" t="s">
        <v>132</v>
      </c>
    </row>
    <row r="483" spans="1:18" x14ac:dyDescent="0.25">
      <c r="A483" s="13"/>
      <c r="B483" s="13"/>
      <c r="L483" s="52">
        <v>45762</v>
      </c>
      <c r="M483" s="53">
        <v>0.46921296296296294</v>
      </c>
      <c r="N483" s="51" t="s">
        <v>232</v>
      </c>
      <c r="O483" s="51" t="s">
        <v>322</v>
      </c>
      <c r="Q483" s="51" t="s">
        <v>524</v>
      </c>
      <c r="R483" s="51" t="s">
        <v>132</v>
      </c>
    </row>
    <row r="484" spans="1:18" x14ac:dyDescent="0.25">
      <c r="A484" s="13"/>
      <c r="B484" s="13"/>
      <c r="L484" s="52">
        <v>45762</v>
      </c>
      <c r="M484" s="53">
        <v>0.46921296296296294</v>
      </c>
      <c r="N484" s="51" t="s">
        <v>233</v>
      </c>
      <c r="O484" s="51" t="s">
        <v>322</v>
      </c>
      <c r="Q484" s="51" t="s">
        <v>524</v>
      </c>
      <c r="R484" s="51" t="s">
        <v>132</v>
      </c>
    </row>
    <row r="485" spans="1:18" x14ac:dyDescent="0.25">
      <c r="A485" s="13"/>
      <c r="B485" s="13"/>
      <c r="L485" s="52">
        <v>45762</v>
      </c>
      <c r="M485" s="53">
        <v>0.46921296296296294</v>
      </c>
      <c r="N485" s="51" t="s">
        <v>234</v>
      </c>
      <c r="O485" s="51" t="s">
        <v>322</v>
      </c>
      <c r="Q485" s="51" t="s">
        <v>524</v>
      </c>
      <c r="R485" s="51" t="s">
        <v>132</v>
      </c>
    </row>
    <row r="486" spans="1:18" x14ac:dyDescent="0.25">
      <c r="A486" s="13"/>
      <c r="B486" s="13"/>
      <c r="L486" s="52">
        <v>45762</v>
      </c>
      <c r="M486" s="53">
        <v>0.46921296296296294</v>
      </c>
      <c r="N486" s="51" t="s">
        <v>235</v>
      </c>
      <c r="O486" s="51" t="s">
        <v>322</v>
      </c>
      <c r="Q486" s="51" t="s">
        <v>524</v>
      </c>
      <c r="R486" s="51" t="s">
        <v>132</v>
      </c>
    </row>
    <row r="487" spans="1:18" x14ac:dyDescent="0.25">
      <c r="A487" s="13"/>
      <c r="B487" s="13"/>
      <c r="L487" s="52">
        <v>45762</v>
      </c>
      <c r="M487" s="53">
        <v>0.46921296296296294</v>
      </c>
      <c r="N487" s="51" t="s">
        <v>236</v>
      </c>
      <c r="O487" s="51" t="s">
        <v>322</v>
      </c>
      <c r="Q487" s="51" t="s">
        <v>524</v>
      </c>
      <c r="R487" s="51" t="s">
        <v>132</v>
      </c>
    </row>
    <row r="488" spans="1:18" x14ac:dyDescent="0.25">
      <c r="A488" s="13"/>
      <c r="B488" s="13"/>
      <c r="L488" s="52">
        <v>45762</v>
      </c>
      <c r="M488" s="53">
        <v>0.46921296296296294</v>
      </c>
      <c r="N488" s="51" t="s">
        <v>237</v>
      </c>
      <c r="O488" s="51" t="s">
        <v>322</v>
      </c>
      <c r="Q488" s="51" t="s">
        <v>524</v>
      </c>
      <c r="R488" s="51" t="s">
        <v>132</v>
      </c>
    </row>
    <row r="489" spans="1:18" x14ac:dyDescent="0.25">
      <c r="A489" s="13"/>
      <c r="B489" s="13"/>
      <c r="L489" s="52">
        <v>45762</v>
      </c>
      <c r="M489" s="53">
        <v>0.46921296296296294</v>
      </c>
      <c r="N489" s="51" t="s">
        <v>238</v>
      </c>
      <c r="O489" s="51" t="s">
        <v>322</v>
      </c>
      <c r="Q489" s="51" t="s">
        <v>524</v>
      </c>
      <c r="R489" s="51" t="s">
        <v>132</v>
      </c>
    </row>
    <row r="490" spans="1:18" x14ac:dyDescent="0.25">
      <c r="A490" s="13"/>
      <c r="B490" s="13"/>
      <c r="L490" s="52">
        <v>45762</v>
      </c>
      <c r="M490" s="53">
        <v>0.46921296296296294</v>
      </c>
      <c r="N490" s="51" t="s">
        <v>239</v>
      </c>
      <c r="O490" s="51" t="s">
        <v>322</v>
      </c>
      <c r="Q490" s="51" t="s">
        <v>524</v>
      </c>
      <c r="R490" s="51" t="s">
        <v>132</v>
      </c>
    </row>
    <row r="491" spans="1:18" x14ac:dyDescent="0.25">
      <c r="A491" s="13"/>
      <c r="B491" s="13"/>
      <c r="L491" s="52">
        <v>45762</v>
      </c>
      <c r="M491" s="53">
        <v>0.46921296296296294</v>
      </c>
      <c r="N491" s="51" t="s">
        <v>240</v>
      </c>
      <c r="O491" s="51" t="s">
        <v>322</v>
      </c>
      <c r="Q491" s="51" t="s">
        <v>524</v>
      </c>
      <c r="R491" s="51" t="s">
        <v>132</v>
      </c>
    </row>
    <row r="492" spans="1:18" x14ac:dyDescent="0.25">
      <c r="A492" s="13"/>
      <c r="B492" s="13"/>
      <c r="L492" s="52">
        <v>45762</v>
      </c>
      <c r="M492" s="53">
        <v>0.46921296296296294</v>
      </c>
      <c r="N492" s="51" t="s">
        <v>241</v>
      </c>
      <c r="O492" s="51" t="s">
        <v>322</v>
      </c>
      <c r="Q492" s="51" t="s">
        <v>524</v>
      </c>
      <c r="R492" s="51" t="s">
        <v>132</v>
      </c>
    </row>
    <row r="493" spans="1:18" x14ac:dyDescent="0.25">
      <c r="A493" s="13"/>
      <c r="B493" s="13"/>
      <c r="L493" s="52">
        <v>45762</v>
      </c>
      <c r="M493" s="53">
        <v>0.46921296296296294</v>
      </c>
      <c r="N493" s="51" t="s">
        <v>242</v>
      </c>
      <c r="O493" s="51" t="s">
        <v>322</v>
      </c>
      <c r="Q493" s="51" t="s">
        <v>524</v>
      </c>
      <c r="R493" s="51" t="s">
        <v>132</v>
      </c>
    </row>
    <row r="494" spans="1:18" x14ac:dyDescent="0.25">
      <c r="A494" s="13"/>
      <c r="B494" s="13"/>
      <c r="L494" s="52">
        <v>45762</v>
      </c>
      <c r="M494" s="53">
        <v>0.46921296296296294</v>
      </c>
      <c r="N494" s="51" t="s">
        <v>243</v>
      </c>
      <c r="O494" s="51" t="s">
        <v>322</v>
      </c>
      <c r="Q494" s="51" t="s">
        <v>524</v>
      </c>
      <c r="R494" s="51" t="s">
        <v>132</v>
      </c>
    </row>
    <row r="495" spans="1:18" x14ac:dyDescent="0.25">
      <c r="A495" s="13"/>
      <c r="B495" s="13"/>
      <c r="L495" s="52">
        <v>45762</v>
      </c>
      <c r="M495" s="53">
        <v>0.46921296296296294</v>
      </c>
      <c r="N495" s="51" t="s">
        <v>244</v>
      </c>
      <c r="O495" s="51" t="s">
        <v>322</v>
      </c>
      <c r="Q495" s="51" t="s">
        <v>524</v>
      </c>
      <c r="R495" s="51" t="s">
        <v>132</v>
      </c>
    </row>
    <row r="496" spans="1:18" x14ac:dyDescent="0.25">
      <c r="A496" s="13"/>
      <c r="B496" s="13"/>
      <c r="L496" s="52">
        <v>45762</v>
      </c>
      <c r="M496" s="53">
        <v>0.46921296296296294</v>
      </c>
      <c r="N496" s="51" t="s">
        <v>245</v>
      </c>
      <c r="O496" s="51" t="s">
        <v>322</v>
      </c>
      <c r="Q496" s="51" t="s">
        <v>524</v>
      </c>
      <c r="R496" s="51" t="s">
        <v>132</v>
      </c>
    </row>
    <row r="497" spans="1:18" x14ac:dyDescent="0.25">
      <c r="A497" s="13"/>
      <c r="B497" s="13"/>
      <c r="L497" s="52">
        <v>45762</v>
      </c>
      <c r="M497" s="53">
        <v>0.46921296296296294</v>
      </c>
      <c r="N497" s="51" t="s">
        <v>246</v>
      </c>
      <c r="O497" s="51" t="s">
        <v>322</v>
      </c>
      <c r="Q497" s="51" t="s">
        <v>524</v>
      </c>
      <c r="R497" s="51" t="s">
        <v>132</v>
      </c>
    </row>
    <row r="498" spans="1:18" x14ac:dyDescent="0.25">
      <c r="A498" s="13"/>
      <c r="B498" s="13"/>
      <c r="L498" s="52">
        <v>45762</v>
      </c>
      <c r="M498" s="53">
        <v>0.46921296296296294</v>
      </c>
      <c r="N498" s="51" t="s">
        <v>247</v>
      </c>
      <c r="O498" s="51" t="s">
        <v>322</v>
      </c>
      <c r="Q498" s="51" t="s">
        <v>524</v>
      </c>
      <c r="R498" s="51" t="s">
        <v>132</v>
      </c>
    </row>
    <row r="499" spans="1:18" x14ac:dyDescent="0.25">
      <c r="A499" s="13"/>
      <c r="B499" s="13"/>
      <c r="L499" s="52">
        <v>45762</v>
      </c>
      <c r="M499" s="53">
        <v>0.46921296296296294</v>
      </c>
      <c r="N499" s="51" t="s">
        <v>248</v>
      </c>
      <c r="O499" s="51" t="s">
        <v>322</v>
      </c>
      <c r="Q499" s="51" t="s">
        <v>524</v>
      </c>
      <c r="R499" s="51" t="s">
        <v>132</v>
      </c>
    </row>
    <row r="500" spans="1:18" x14ac:dyDescent="0.25">
      <c r="A500" s="13"/>
      <c r="B500" s="13"/>
      <c r="L500" s="52">
        <v>45762</v>
      </c>
      <c r="M500" s="53">
        <v>0.46921296296296294</v>
      </c>
      <c r="N500" s="51" t="s">
        <v>249</v>
      </c>
      <c r="O500" s="51" t="s">
        <v>322</v>
      </c>
      <c r="Q500" s="51" t="s">
        <v>524</v>
      </c>
      <c r="R500" s="51" t="s">
        <v>132</v>
      </c>
    </row>
    <row r="501" spans="1:18" x14ac:dyDescent="0.25">
      <c r="A501" s="13"/>
      <c r="B501" s="13"/>
      <c r="L501" s="52">
        <v>45762</v>
      </c>
      <c r="M501" s="53">
        <v>0.46921296296296294</v>
      </c>
      <c r="N501" s="51" t="s">
        <v>250</v>
      </c>
      <c r="O501" s="51" t="s">
        <v>322</v>
      </c>
      <c r="Q501" s="51" t="s">
        <v>524</v>
      </c>
      <c r="R501" s="51" t="s">
        <v>132</v>
      </c>
    </row>
    <row r="502" spans="1:18" x14ac:dyDescent="0.25">
      <c r="A502" s="13"/>
      <c r="B502" s="13"/>
      <c r="L502" s="52">
        <v>45762</v>
      </c>
      <c r="M502" s="53">
        <v>0.46921296296296294</v>
      </c>
      <c r="N502" s="51" t="s">
        <v>251</v>
      </c>
      <c r="O502" s="51" t="s">
        <v>322</v>
      </c>
      <c r="Q502" s="51" t="s">
        <v>524</v>
      </c>
      <c r="R502" s="51" t="s">
        <v>132</v>
      </c>
    </row>
    <row r="503" spans="1:18" x14ac:dyDescent="0.25">
      <c r="A503" s="13"/>
      <c r="B503" s="13"/>
      <c r="L503" s="52">
        <v>45762</v>
      </c>
      <c r="M503" s="53">
        <v>0.46921296296296294</v>
      </c>
      <c r="N503" s="51" t="s">
        <v>252</v>
      </c>
      <c r="O503" s="51" t="s">
        <v>322</v>
      </c>
      <c r="Q503" s="51" t="s">
        <v>524</v>
      </c>
      <c r="R503" s="51" t="s">
        <v>132</v>
      </c>
    </row>
    <row r="504" spans="1:18" x14ac:dyDescent="0.25">
      <c r="A504" s="13"/>
      <c r="B504" s="13"/>
      <c r="L504" s="52">
        <v>45762</v>
      </c>
      <c r="M504" s="53">
        <v>0.46921296296296294</v>
      </c>
      <c r="N504" s="51" t="s">
        <v>253</v>
      </c>
      <c r="O504" s="51" t="s">
        <v>322</v>
      </c>
      <c r="Q504" s="51" t="s">
        <v>524</v>
      </c>
      <c r="R504" s="51" t="s">
        <v>132</v>
      </c>
    </row>
    <row r="505" spans="1:18" x14ac:dyDescent="0.25">
      <c r="A505" s="13"/>
      <c r="B505" s="13"/>
      <c r="L505" s="52">
        <v>45762</v>
      </c>
      <c r="M505" s="53">
        <v>0.46921296296296294</v>
      </c>
      <c r="N505" s="51" t="s">
        <v>254</v>
      </c>
      <c r="O505" s="51" t="s">
        <v>322</v>
      </c>
      <c r="Q505" s="51" t="s">
        <v>524</v>
      </c>
      <c r="R505" s="51" t="s">
        <v>132</v>
      </c>
    </row>
    <row r="506" spans="1:18" x14ac:dyDescent="0.25">
      <c r="A506" s="13"/>
      <c r="B506" s="13"/>
      <c r="L506" s="52">
        <v>45762</v>
      </c>
      <c r="M506" s="53">
        <v>0.46921296296296294</v>
      </c>
      <c r="N506" s="51" t="s">
        <v>255</v>
      </c>
      <c r="O506" s="51" t="s">
        <v>322</v>
      </c>
      <c r="Q506" s="51" t="s">
        <v>524</v>
      </c>
      <c r="R506" s="51" t="s">
        <v>132</v>
      </c>
    </row>
    <row r="507" spans="1:18" x14ac:dyDescent="0.25">
      <c r="A507" s="13"/>
      <c r="B507" s="13"/>
      <c r="L507" s="52">
        <v>45762</v>
      </c>
      <c r="M507" s="53">
        <v>0.46921296296296294</v>
      </c>
      <c r="N507" s="51" t="s">
        <v>256</v>
      </c>
      <c r="O507" s="51" t="s">
        <v>322</v>
      </c>
      <c r="Q507" s="51" t="s">
        <v>524</v>
      </c>
      <c r="R507" s="51" t="s">
        <v>132</v>
      </c>
    </row>
    <row r="508" spans="1:18" x14ac:dyDescent="0.25">
      <c r="A508" s="13"/>
      <c r="B508" s="13"/>
      <c r="L508" s="52">
        <v>45762</v>
      </c>
      <c r="M508" s="53">
        <v>0.46921296296296294</v>
      </c>
      <c r="N508" s="51" t="s">
        <v>257</v>
      </c>
      <c r="O508" s="51" t="s">
        <v>322</v>
      </c>
      <c r="Q508" s="51" t="s">
        <v>524</v>
      </c>
      <c r="R508" s="51" t="s">
        <v>132</v>
      </c>
    </row>
    <row r="509" spans="1:18" x14ac:dyDescent="0.25">
      <c r="A509" s="13"/>
      <c r="B509" s="13"/>
      <c r="L509" s="52">
        <v>45762</v>
      </c>
      <c r="M509" s="53">
        <v>0.46921296296296294</v>
      </c>
      <c r="N509" s="51" t="s">
        <v>258</v>
      </c>
      <c r="O509" s="51" t="s">
        <v>322</v>
      </c>
      <c r="Q509" s="51" t="s">
        <v>524</v>
      </c>
      <c r="R509" s="51" t="s">
        <v>132</v>
      </c>
    </row>
    <row r="510" spans="1:18" x14ac:dyDescent="0.25">
      <c r="A510" s="13"/>
      <c r="B510" s="13"/>
      <c r="L510" s="52">
        <v>45762</v>
      </c>
      <c r="M510" s="53">
        <v>0.46921296296296294</v>
      </c>
      <c r="N510" s="51" t="s">
        <v>259</v>
      </c>
      <c r="O510" s="51" t="s">
        <v>322</v>
      </c>
      <c r="Q510" s="51" t="s">
        <v>524</v>
      </c>
      <c r="R510" s="51" t="s">
        <v>132</v>
      </c>
    </row>
    <row r="511" spans="1:18" x14ac:dyDescent="0.25">
      <c r="A511" s="13"/>
      <c r="B511" s="13"/>
      <c r="L511" s="52">
        <v>45762</v>
      </c>
      <c r="M511" s="53">
        <v>0.46921296296296294</v>
      </c>
      <c r="N511" s="51" t="s">
        <v>260</v>
      </c>
      <c r="O511" s="51" t="s">
        <v>322</v>
      </c>
      <c r="Q511" s="51" t="s">
        <v>524</v>
      </c>
      <c r="R511" s="51" t="s">
        <v>132</v>
      </c>
    </row>
    <row r="512" spans="1:18" x14ac:dyDescent="0.25">
      <c r="A512" s="13"/>
      <c r="B512" s="13"/>
      <c r="L512" s="52">
        <v>45762</v>
      </c>
      <c r="M512" s="53">
        <v>0.46921296296296294</v>
      </c>
      <c r="N512" s="51" t="s">
        <v>261</v>
      </c>
      <c r="O512" s="51" t="s">
        <v>322</v>
      </c>
      <c r="Q512" s="51" t="s">
        <v>524</v>
      </c>
      <c r="R512" s="51" t="s">
        <v>132</v>
      </c>
    </row>
    <row r="513" spans="1:18" x14ac:dyDescent="0.25">
      <c r="A513" s="13"/>
      <c r="B513" s="13"/>
      <c r="L513" s="52">
        <v>45762</v>
      </c>
      <c r="M513" s="53">
        <v>0.46921296296296294</v>
      </c>
      <c r="N513" s="51" t="s">
        <v>262</v>
      </c>
      <c r="O513" s="51" t="s">
        <v>322</v>
      </c>
      <c r="Q513" s="51" t="s">
        <v>524</v>
      </c>
      <c r="R513" s="51" t="s">
        <v>132</v>
      </c>
    </row>
    <row r="514" spans="1:18" x14ac:dyDescent="0.25">
      <c r="A514" s="13"/>
      <c r="B514" s="13"/>
      <c r="L514" s="52">
        <v>45762</v>
      </c>
      <c r="M514" s="53">
        <v>0.46921296296296294</v>
      </c>
      <c r="N514" s="51" t="s">
        <v>263</v>
      </c>
      <c r="O514" s="51" t="s">
        <v>322</v>
      </c>
      <c r="Q514" s="51" t="s">
        <v>524</v>
      </c>
      <c r="R514" s="51" t="s">
        <v>132</v>
      </c>
    </row>
    <row r="515" spans="1:18" x14ac:dyDescent="0.25">
      <c r="A515" s="13"/>
      <c r="B515" s="13"/>
      <c r="L515" s="52">
        <v>45762</v>
      </c>
      <c r="M515" s="53">
        <v>0.46921296296296294</v>
      </c>
      <c r="N515" s="51" t="s">
        <v>264</v>
      </c>
      <c r="O515" s="51" t="s">
        <v>322</v>
      </c>
      <c r="Q515" s="51" t="s">
        <v>524</v>
      </c>
      <c r="R515" s="51" t="s">
        <v>132</v>
      </c>
    </row>
    <row r="516" spans="1:18" x14ac:dyDescent="0.25">
      <c r="A516" s="13"/>
      <c r="B516" s="13"/>
      <c r="L516" s="52">
        <v>45762</v>
      </c>
      <c r="M516" s="53">
        <v>0.46921296296296294</v>
      </c>
      <c r="N516" s="51" t="s">
        <v>265</v>
      </c>
      <c r="O516" s="51" t="s">
        <v>322</v>
      </c>
      <c r="Q516" s="51" t="s">
        <v>524</v>
      </c>
      <c r="R516" s="51" t="s">
        <v>132</v>
      </c>
    </row>
    <row r="517" spans="1:18" x14ac:dyDescent="0.25">
      <c r="A517" s="13"/>
      <c r="B517" s="13"/>
      <c r="L517" s="52">
        <v>45762</v>
      </c>
      <c r="M517" s="53">
        <v>0.46921296296296294</v>
      </c>
      <c r="N517" s="51" t="s">
        <v>266</v>
      </c>
      <c r="O517" s="51" t="s">
        <v>322</v>
      </c>
      <c r="Q517" s="51" t="s">
        <v>524</v>
      </c>
      <c r="R517" s="51" t="s">
        <v>132</v>
      </c>
    </row>
    <row r="518" spans="1:18" x14ac:dyDescent="0.25">
      <c r="A518" s="13"/>
      <c r="B518" s="13"/>
      <c r="L518" s="52">
        <v>45762</v>
      </c>
      <c r="M518" s="53">
        <v>0.46921296296296294</v>
      </c>
      <c r="N518" s="51" t="s">
        <v>267</v>
      </c>
      <c r="O518" s="51" t="s">
        <v>322</v>
      </c>
      <c r="Q518" s="51" t="s">
        <v>524</v>
      </c>
      <c r="R518" s="51" t="s">
        <v>132</v>
      </c>
    </row>
    <row r="519" spans="1:18" x14ac:dyDescent="0.25">
      <c r="A519" s="13"/>
      <c r="B519" s="13"/>
      <c r="L519" s="52">
        <v>45762</v>
      </c>
      <c r="M519" s="53">
        <v>0.46921296296296294</v>
      </c>
      <c r="N519" s="51" t="s">
        <v>268</v>
      </c>
      <c r="O519" s="51" t="s">
        <v>322</v>
      </c>
      <c r="Q519" s="51" t="s">
        <v>524</v>
      </c>
      <c r="R519" s="51" t="s">
        <v>132</v>
      </c>
    </row>
    <row r="520" spans="1:18" x14ac:dyDescent="0.25">
      <c r="A520" s="13"/>
      <c r="B520" s="13"/>
      <c r="L520" s="52">
        <v>45762</v>
      </c>
      <c r="M520" s="53">
        <v>0.46921296296296294</v>
      </c>
      <c r="N520" s="51" t="s">
        <v>269</v>
      </c>
      <c r="O520" s="51" t="s">
        <v>322</v>
      </c>
      <c r="Q520" s="51" t="s">
        <v>524</v>
      </c>
      <c r="R520" s="51" t="s">
        <v>132</v>
      </c>
    </row>
    <row r="521" spans="1:18" x14ac:dyDescent="0.25">
      <c r="A521" s="13"/>
      <c r="B521" s="13"/>
      <c r="L521" s="52">
        <v>45762</v>
      </c>
      <c r="M521" s="53">
        <v>0.46921296296296294</v>
      </c>
      <c r="N521" s="51" t="s">
        <v>270</v>
      </c>
      <c r="O521" s="51" t="s">
        <v>322</v>
      </c>
      <c r="Q521" s="51" t="s">
        <v>524</v>
      </c>
      <c r="R521" s="51" t="s">
        <v>132</v>
      </c>
    </row>
    <row r="522" spans="1:18" x14ac:dyDescent="0.25">
      <c r="A522" s="13"/>
      <c r="B522" s="13"/>
      <c r="L522" s="52">
        <v>45762</v>
      </c>
      <c r="M522" s="53">
        <v>0.46921296296296294</v>
      </c>
      <c r="N522" s="51" t="s">
        <v>271</v>
      </c>
      <c r="O522" s="51" t="s">
        <v>322</v>
      </c>
      <c r="Q522" s="51" t="s">
        <v>524</v>
      </c>
      <c r="R522" s="51" t="s">
        <v>132</v>
      </c>
    </row>
    <row r="523" spans="1:18" x14ac:dyDescent="0.25">
      <c r="A523" s="13"/>
      <c r="B523" s="13"/>
      <c r="L523" s="52">
        <v>45762</v>
      </c>
      <c r="M523" s="53">
        <v>0.46921296296296294</v>
      </c>
      <c r="N523" s="51" t="s">
        <v>272</v>
      </c>
      <c r="O523" s="51" t="s">
        <v>322</v>
      </c>
      <c r="Q523" s="51" t="s">
        <v>524</v>
      </c>
      <c r="R523" s="51" t="s">
        <v>132</v>
      </c>
    </row>
    <row r="524" spans="1:18" x14ac:dyDescent="0.25">
      <c r="A524" s="13"/>
      <c r="B524" s="13"/>
      <c r="L524" s="52">
        <v>45762</v>
      </c>
      <c r="M524" s="53">
        <v>0.46921296296296294</v>
      </c>
      <c r="N524" s="51" t="s">
        <v>273</v>
      </c>
      <c r="O524" s="51" t="s">
        <v>322</v>
      </c>
      <c r="Q524" s="51" t="s">
        <v>524</v>
      </c>
      <c r="R524" s="51" t="s">
        <v>132</v>
      </c>
    </row>
    <row r="525" spans="1:18" x14ac:dyDescent="0.25">
      <c r="A525" s="13"/>
      <c r="B525" s="13"/>
      <c r="L525" s="52">
        <v>45762</v>
      </c>
      <c r="M525" s="53">
        <v>0.46921296296296294</v>
      </c>
      <c r="N525" s="51" t="s">
        <v>274</v>
      </c>
      <c r="O525" s="51" t="s">
        <v>322</v>
      </c>
      <c r="Q525" s="51" t="s">
        <v>524</v>
      </c>
      <c r="R525" s="51" t="s">
        <v>132</v>
      </c>
    </row>
    <row r="526" spans="1:18" x14ac:dyDescent="0.25">
      <c r="A526" s="13"/>
      <c r="B526" s="13"/>
      <c r="L526" s="52">
        <v>45762</v>
      </c>
      <c r="M526" s="53">
        <v>0.46921296296296294</v>
      </c>
      <c r="N526" s="51" t="s">
        <v>275</v>
      </c>
      <c r="O526" s="51" t="s">
        <v>322</v>
      </c>
      <c r="Q526" s="51" t="s">
        <v>524</v>
      </c>
      <c r="R526" s="51" t="s">
        <v>132</v>
      </c>
    </row>
    <row r="527" spans="1:18" x14ac:dyDescent="0.25">
      <c r="A527" s="13"/>
      <c r="B527" s="13"/>
      <c r="L527" s="52">
        <v>45762</v>
      </c>
      <c r="M527" s="53">
        <v>0.46921296296296294</v>
      </c>
      <c r="N527" s="51" t="s">
        <v>276</v>
      </c>
      <c r="O527" s="51" t="s">
        <v>322</v>
      </c>
      <c r="Q527" s="51" t="s">
        <v>524</v>
      </c>
      <c r="R527" s="51" t="s">
        <v>132</v>
      </c>
    </row>
    <row r="528" spans="1:18" x14ac:dyDescent="0.25">
      <c r="A528" s="13"/>
      <c r="B528" s="13"/>
      <c r="L528" s="52">
        <v>45762</v>
      </c>
      <c r="M528" s="53">
        <v>0.46921296296296294</v>
      </c>
      <c r="N528" s="51" t="s">
        <v>277</v>
      </c>
      <c r="O528" s="51" t="s">
        <v>322</v>
      </c>
      <c r="Q528" s="51" t="s">
        <v>524</v>
      </c>
      <c r="R528" s="51" t="s">
        <v>132</v>
      </c>
    </row>
    <row r="529" spans="1:18" x14ac:dyDescent="0.25">
      <c r="A529" s="13"/>
      <c r="B529" s="13"/>
      <c r="L529" s="52">
        <v>45762</v>
      </c>
      <c r="M529" s="53">
        <v>0.46921296296296294</v>
      </c>
      <c r="N529" s="51" t="s">
        <v>278</v>
      </c>
      <c r="O529" s="51" t="s">
        <v>322</v>
      </c>
      <c r="Q529" s="51" t="s">
        <v>524</v>
      </c>
      <c r="R529" s="51" t="s">
        <v>132</v>
      </c>
    </row>
    <row r="530" spans="1:18" x14ac:dyDescent="0.25">
      <c r="A530" s="13"/>
      <c r="B530" s="13"/>
      <c r="L530" s="52">
        <v>45762</v>
      </c>
      <c r="M530" s="53">
        <v>0.46921296296296294</v>
      </c>
      <c r="N530" s="51" t="s">
        <v>279</v>
      </c>
      <c r="O530" s="51" t="s">
        <v>322</v>
      </c>
      <c r="P530" s="51" t="s">
        <v>551</v>
      </c>
      <c r="Q530" s="51" t="s">
        <v>80</v>
      </c>
      <c r="R530" s="51" t="s">
        <v>78</v>
      </c>
    </row>
    <row r="531" spans="1:18" x14ac:dyDescent="0.25">
      <c r="A531" s="13"/>
      <c r="B531" s="13"/>
      <c r="L531" s="52">
        <v>45762</v>
      </c>
      <c r="M531" s="53">
        <v>0.46921296296296294</v>
      </c>
      <c r="N531" s="51" t="s">
        <v>280</v>
      </c>
      <c r="O531" s="51" t="s">
        <v>322</v>
      </c>
      <c r="P531" s="51" t="s">
        <v>552</v>
      </c>
      <c r="Q531" s="51" t="s">
        <v>80</v>
      </c>
      <c r="R531" s="51" t="s">
        <v>78</v>
      </c>
    </row>
    <row r="532" spans="1:18" x14ac:dyDescent="0.25">
      <c r="A532" s="13"/>
      <c r="B532" s="13"/>
      <c r="L532" s="52">
        <v>45762</v>
      </c>
      <c r="M532" s="53">
        <v>0.46921296296296294</v>
      </c>
      <c r="N532" s="51" t="s">
        <v>281</v>
      </c>
      <c r="O532" s="51" t="s">
        <v>322</v>
      </c>
      <c r="P532" s="51" t="s">
        <v>553</v>
      </c>
      <c r="Q532" s="51" t="s">
        <v>80</v>
      </c>
      <c r="R532" s="51" t="s">
        <v>78</v>
      </c>
    </row>
    <row r="533" spans="1:18" x14ac:dyDescent="0.25">
      <c r="A533" s="13"/>
      <c r="B533" s="13"/>
      <c r="L533" s="52">
        <v>45762</v>
      </c>
      <c r="M533" s="53">
        <v>0.46921296296296294</v>
      </c>
      <c r="N533" s="51" t="s">
        <v>282</v>
      </c>
      <c r="O533" s="51" t="s">
        <v>322</v>
      </c>
      <c r="P533" s="51" t="s">
        <v>541</v>
      </c>
      <c r="Q533" s="51" t="s">
        <v>80</v>
      </c>
      <c r="R533" s="51" t="s">
        <v>78</v>
      </c>
    </row>
    <row r="534" spans="1:18" x14ac:dyDescent="0.25">
      <c r="A534" s="13"/>
      <c r="B534" s="13"/>
      <c r="L534" s="52">
        <v>45762</v>
      </c>
      <c r="M534" s="53">
        <v>0.46921296296296294</v>
      </c>
      <c r="N534" s="51" t="s">
        <v>283</v>
      </c>
      <c r="O534" s="51" t="s">
        <v>322</v>
      </c>
      <c r="P534" s="51" t="s">
        <v>542</v>
      </c>
      <c r="Q534" s="51" t="s">
        <v>80</v>
      </c>
      <c r="R534" s="51" t="s">
        <v>78</v>
      </c>
    </row>
    <row r="535" spans="1:18" x14ac:dyDescent="0.25">
      <c r="A535" s="13"/>
      <c r="B535" s="13"/>
      <c r="L535" s="52">
        <v>45762</v>
      </c>
      <c r="M535" s="53">
        <v>0.46921296296296294</v>
      </c>
      <c r="N535" s="51" t="s">
        <v>284</v>
      </c>
      <c r="O535" s="51" t="s">
        <v>322</v>
      </c>
      <c r="P535" s="51" t="s">
        <v>543</v>
      </c>
      <c r="Q535" s="51" t="s">
        <v>80</v>
      </c>
      <c r="R535" s="51" t="s">
        <v>78</v>
      </c>
    </row>
    <row r="536" spans="1:18" x14ac:dyDescent="0.25">
      <c r="A536" s="13"/>
      <c r="B536" s="13"/>
      <c r="L536" s="52">
        <v>45762</v>
      </c>
      <c r="M536" s="53">
        <v>0.46921296296296294</v>
      </c>
      <c r="N536" s="51" t="s">
        <v>285</v>
      </c>
      <c r="O536" s="51" t="s">
        <v>322</v>
      </c>
      <c r="Q536" s="51" t="s">
        <v>524</v>
      </c>
      <c r="R536" s="51" t="s">
        <v>132</v>
      </c>
    </row>
    <row r="537" spans="1:18" x14ac:dyDescent="0.25">
      <c r="A537" s="13"/>
      <c r="B537" s="13"/>
      <c r="L537" s="52">
        <v>45762</v>
      </c>
      <c r="M537" s="53">
        <v>0.46921296296296294</v>
      </c>
      <c r="N537" s="51" t="s">
        <v>286</v>
      </c>
      <c r="O537" s="51" t="s">
        <v>322</v>
      </c>
      <c r="Q537" s="51" t="s">
        <v>524</v>
      </c>
      <c r="R537" s="51" t="s">
        <v>132</v>
      </c>
    </row>
    <row r="538" spans="1:18" x14ac:dyDescent="0.25">
      <c r="A538" s="13"/>
      <c r="B538" s="13"/>
      <c r="L538" s="52">
        <v>45762</v>
      </c>
      <c r="M538" s="53">
        <v>0.46921296296296294</v>
      </c>
      <c r="N538" s="51" t="s">
        <v>287</v>
      </c>
      <c r="O538" s="51" t="s">
        <v>322</v>
      </c>
      <c r="Q538" s="51" t="s">
        <v>524</v>
      </c>
      <c r="R538" s="51" t="s">
        <v>132</v>
      </c>
    </row>
    <row r="539" spans="1:18" x14ac:dyDescent="0.25">
      <c r="A539" s="13"/>
      <c r="B539" s="13"/>
      <c r="L539" s="52">
        <v>45762</v>
      </c>
      <c r="M539" s="53">
        <v>0.46921296296296294</v>
      </c>
      <c r="N539" s="51" t="s">
        <v>288</v>
      </c>
      <c r="O539" s="51" t="s">
        <v>322</v>
      </c>
      <c r="Q539" s="51" t="s">
        <v>524</v>
      </c>
      <c r="R539" s="51" t="s">
        <v>132</v>
      </c>
    </row>
    <row r="540" spans="1:18" x14ac:dyDescent="0.25">
      <c r="A540" s="13"/>
      <c r="B540" s="13"/>
      <c r="L540" s="52">
        <v>45762</v>
      </c>
      <c r="M540" s="53">
        <v>0.46921296296296294</v>
      </c>
      <c r="N540" s="51" t="s">
        <v>289</v>
      </c>
      <c r="O540" s="51" t="s">
        <v>322</v>
      </c>
      <c r="Q540" s="51" t="s">
        <v>524</v>
      </c>
      <c r="R540" s="51" t="s">
        <v>132</v>
      </c>
    </row>
    <row r="541" spans="1:18" x14ac:dyDescent="0.25">
      <c r="A541" s="13"/>
      <c r="B541" s="13"/>
      <c r="L541" s="52">
        <v>45762</v>
      </c>
      <c r="M541" s="53">
        <v>0.46921296296296294</v>
      </c>
      <c r="N541" s="51" t="s">
        <v>290</v>
      </c>
      <c r="O541" s="51" t="s">
        <v>322</v>
      </c>
      <c r="Q541" s="51" t="s">
        <v>524</v>
      </c>
      <c r="R541" s="51" t="s">
        <v>132</v>
      </c>
    </row>
    <row r="542" spans="1:18" x14ac:dyDescent="0.25">
      <c r="A542" s="13"/>
      <c r="B542" s="13"/>
      <c r="L542" s="52">
        <v>45762</v>
      </c>
      <c r="M542" s="53">
        <v>0.46921296296296294</v>
      </c>
      <c r="N542" s="51" t="s">
        <v>291</v>
      </c>
      <c r="O542" s="51" t="s">
        <v>322</v>
      </c>
      <c r="Q542" s="51" t="s">
        <v>524</v>
      </c>
      <c r="R542" s="51" t="s">
        <v>132</v>
      </c>
    </row>
    <row r="543" spans="1:18" x14ac:dyDescent="0.25">
      <c r="A543" s="13"/>
      <c r="B543" s="13"/>
      <c r="L543" s="52">
        <v>45762</v>
      </c>
      <c r="M543" s="53">
        <v>0.46921296296296294</v>
      </c>
      <c r="N543" s="51" t="s">
        <v>292</v>
      </c>
      <c r="O543" s="51" t="s">
        <v>322</v>
      </c>
      <c r="Q543" s="51" t="s">
        <v>524</v>
      </c>
      <c r="R543" s="51" t="s">
        <v>132</v>
      </c>
    </row>
    <row r="544" spans="1:18" x14ac:dyDescent="0.25">
      <c r="A544" s="13"/>
      <c r="B544" s="13"/>
      <c r="L544" s="52">
        <v>45762</v>
      </c>
      <c r="M544" s="53">
        <v>0.46921296296296294</v>
      </c>
      <c r="N544" s="51" t="s">
        <v>293</v>
      </c>
      <c r="O544" s="51" t="s">
        <v>322</v>
      </c>
      <c r="Q544" s="51" t="s">
        <v>524</v>
      </c>
      <c r="R544" s="51" t="s">
        <v>132</v>
      </c>
    </row>
    <row r="545" spans="1:18" x14ac:dyDescent="0.25">
      <c r="A545" s="13"/>
      <c r="B545" s="13"/>
      <c r="L545" s="52">
        <v>45762</v>
      </c>
      <c r="M545" s="53">
        <v>0.46921296296296294</v>
      </c>
      <c r="N545" s="51" t="s">
        <v>294</v>
      </c>
      <c r="O545" s="51" t="s">
        <v>322</v>
      </c>
      <c r="Q545" s="51" t="s">
        <v>524</v>
      </c>
      <c r="R545" s="51" t="s">
        <v>132</v>
      </c>
    </row>
    <row r="546" spans="1:18" x14ac:dyDescent="0.25">
      <c r="A546" s="13"/>
      <c r="B546" s="13"/>
      <c r="L546" s="52">
        <v>45762</v>
      </c>
      <c r="M546" s="53">
        <v>0.46921296296296294</v>
      </c>
      <c r="N546" s="51" t="s">
        <v>295</v>
      </c>
      <c r="O546" s="51" t="s">
        <v>322</v>
      </c>
      <c r="Q546" s="51" t="s">
        <v>524</v>
      </c>
      <c r="R546" s="51" t="s">
        <v>132</v>
      </c>
    </row>
    <row r="547" spans="1:18" x14ac:dyDescent="0.25">
      <c r="A547" s="13"/>
      <c r="B547" s="13"/>
      <c r="L547" s="52">
        <v>45762</v>
      </c>
      <c r="M547" s="53">
        <v>0.46921296296296294</v>
      </c>
      <c r="N547" s="51" t="s">
        <v>296</v>
      </c>
      <c r="O547" s="51" t="s">
        <v>322</v>
      </c>
      <c r="Q547" s="51" t="s">
        <v>524</v>
      </c>
      <c r="R547" s="51" t="s">
        <v>132</v>
      </c>
    </row>
    <row r="548" spans="1:18" x14ac:dyDescent="0.25">
      <c r="A548" s="13"/>
      <c r="B548" s="13"/>
      <c r="L548" s="52">
        <v>45762</v>
      </c>
      <c r="M548" s="53">
        <v>0.46921296296296294</v>
      </c>
      <c r="N548" s="51" t="s">
        <v>297</v>
      </c>
      <c r="O548" s="51" t="s">
        <v>322</v>
      </c>
      <c r="Q548" s="51" t="s">
        <v>524</v>
      </c>
      <c r="R548" s="51" t="s">
        <v>132</v>
      </c>
    </row>
    <row r="549" spans="1:18" x14ac:dyDescent="0.25">
      <c r="A549" s="13"/>
      <c r="B549" s="13"/>
      <c r="L549" s="52">
        <v>45762</v>
      </c>
      <c r="M549" s="53">
        <v>0.46921296296296294</v>
      </c>
      <c r="N549" s="51" t="s">
        <v>298</v>
      </c>
      <c r="O549" s="51" t="s">
        <v>322</v>
      </c>
      <c r="Q549" s="51" t="s">
        <v>524</v>
      </c>
      <c r="R549" s="51" t="s">
        <v>132</v>
      </c>
    </row>
    <row r="550" spans="1:18" x14ac:dyDescent="0.25">
      <c r="A550" s="13"/>
      <c r="B550" s="13"/>
      <c r="L550" s="52">
        <v>45762</v>
      </c>
      <c r="M550" s="53">
        <v>0.46921296296296294</v>
      </c>
      <c r="N550" s="51" t="s">
        <v>299</v>
      </c>
      <c r="O550" s="51" t="s">
        <v>322</v>
      </c>
      <c r="Q550" s="51" t="s">
        <v>524</v>
      </c>
      <c r="R550" s="51" t="s">
        <v>132</v>
      </c>
    </row>
    <row r="551" spans="1:18" x14ac:dyDescent="0.25">
      <c r="A551" s="13"/>
      <c r="B551" s="13"/>
      <c r="L551" s="52">
        <v>45762</v>
      </c>
      <c r="M551" s="53">
        <v>0.46921296296296294</v>
      </c>
      <c r="N551" s="51" t="s">
        <v>300</v>
      </c>
      <c r="O551" s="51" t="s">
        <v>322</v>
      </c>
      <c r="Q551" s="51" t="s">
        <v>524</v>
      </c>
      <c r="R551" s="51" t="s">
        <v>132</v>
      </c>
    </row>
    <row r="552" spans="1:18" x14ac:dyDescent="0.25">
      <c r="A552" s="13"/>
      <c r="B552" s="13"/>
      <c r="L552" s="52">
        <v>45762</v>
      </c>
      <c r="M552" s="53">
        <v>0.46921296296296294</v>
      </c>
      <c r="N552" s="51" t="s">
        <v>301</v>
      </c>
      <c r="O552" s="51" t="s">
        <v>322</v>
      </c>
      <c r="Q552" s="51" t="s">
        <v>524</v>
      </c>
      <c r="R552" s="51" t="s">
        <v>132</v>
      </c>
    </row>
    <row r="553" spans="1:18" x14ac:dyDescent="0.25">
      <c r="A553" s="13"/>
      <c r="B553" s="13"/>
      <c r="L553" s="52">
        <v>45762</v>
      </c>
      <c r="M553" s="53">
        <v>0.46921296296296294</v>
      </c>
      <c r="N553" s="51" t="s">
        <v>302</v>
      </c>
      <c r="O553" s="51" t="s">
        <v>322</v>
      </c>
      <c r="Q553" s="51" t="s">
        <v>524</v>
      </c>
      <c r="R553" s="51" t="s">
        <v>132</v>
      </c>
    </row>
    <row r="554" spans="1:18" x14ac:dyDescent="0.25">
      <c r="A554" s="13"/>
      <c r="B554" s="13"/>
      <c r="L554" s="52">
        <v>45762</v>
      </c>
      <c r="M554" s="53">
        <v>0.46921296296296294</v>
      </c>
      <c r="N554" s="51" t="s">
        <v>303</v>
      </c>
      <c r="O554" s="51" t="s">
        <v>322</v>
      </c>
      <c r="Q554" s="51" t="s">
        <v>524</v>
      </c>
      <c r="R554" s="51" t="s">
        <v>132</v>
      </c>
    </row>
    <row r="555" spans="1:18" x14ac:dyDescent="0.25">
      <c r="A555" s="13"/>
      <c r="B555" s="13"/>
      <c r="L555" s="52">
        <v>45762</v>
      </c>
      <c r="M555" s="53">
        <v>0.46921296296296294</v>
      </c>
      <c r="N555" s="51" t="s">
        <v>304</v>
      </c>
      <c r="O555" s="51" t="s">
        <v>322</v>
      </c>
      <c r="Q555" s="51" t="s">
        <v>524</v>
      </c>
      <c r="R555" s="51" t="s">
        <v>132</v>
      </c>
    </row>
    <row r="556" spans="1:18" x14ac:dyDescent="0.25">
      <c r="A556" s="13"/>
      <c r="B556" s="13"/>
      <c r="L556" s="52">
        <v>45762</v>
      </c>
      <c r="M556" s="53">
        <v>0.46921296296296294</v>
      </c>
      <c r="N556" s="51" t="s">
        <v>305</v>
      </c>
      <c r="O556" s="51" t="s">
        <v>322</v>
      </c>
      <c r="Q556" s="51" t="s">
        <v>524</v>
      </c>
      <c r="R556" s="51" t="s">
        <v>132</v>
      </c>
    </row>
    <row r="557" spans="1:18" x14ac:dyDescent="0.25">
      <c r="A557" s="13"/>
      <c r="B557" s="13"/>
      <c r="L557" s="52">
        <v>45762</v>
      </c>
      <c r="M557" s="53">
        <v>0.46921296296296294</v>
      </c>
      <c r="N557" s="51" t="s">
        <v>306</v>
      </c>
      <c r="O557" s="51" t="s">
        <v>322</v>
      </c>
      <c r="Q557" s="51" t="s">
        <v>524</v>
      </c>
      <c r="R557" s="51" t="s">
        <v>132</v>
      </c>
    </row>
    <row r="558" spans="1:18" x14ac:dyDescent="0.25">
      <c r="A558" s="13"/>
      <c r="B558" s="13"/>
      <c r="L558" s="52">
        <v>45762</v>
      </c>
      <c r="M558" s="53">
        <v>0.46921296296296294</v>
      </c>
      <c r="N558" s="51" t="s">
        <v>307</v>
      </c>
      <c r="O558" s="51" t="s">
        <v>322</v>
      </c>
      <c r="Q558" s="51" t="s">
        <v>524</v>
      </c>
      <c r="R558" s="51" t="s">
        <v>132</v>
      </c>
    </row>
    <row r="559" spans="1:18" x14ac:dyDescent="0.25">
      <c r="A559" s="13"/>
      <c r="B559" s="13"/>
      <c r="L559" s="52">
        <v>45762</v>
      </c>
      <c r="M559" s="53">
        <v>0.46921296296296294</v>
      </c>
      <c r="N559" s="51" t="s">
        <v>308</v>
      </c>
      <c r="O559" s="51" t="s">
        <v>322</v>
      </c>
      <c r="Q559" s="51" t="s">
        <v>524</v>
      </c>
      <c r="R559" s="51" t="s">
        <v>132</v>
      </c>
    </row>
    <row r="560" spans="1:18" x14ac:dyDescent="0.25">
      <c r="A560" s="13"/>
      <c r="B560" s="13"/>
      <c r="L560" s="52">
        <v>45762</v>
      </c>
      <c r="M560" s="53">
        <v>0.46921296296296294</v>
      </c>
      <c r="N560" s="51" t="s">
        <v>309</v>
      </c>
      <c r="O560" s="51" t="s">
        <v>322</v>
      </c>
      <c r="Q560" s="51" t="s">
        <v>524</v>
      </c>
      <c r="R560" s="51" t="s">
        <v>132</v>
      </c>
    </row>
    <row r="561" spans="1:18" x14ac:dyDescent="0.25">
      <c r="A561" s="13"/>
      <c r="B561" s="13"/>
      <c r="L561" s="52">
        <v>45762</v>
      </c>
      <c r="M561" s="53">
        <v>0.46921296296296294</v>
      </c>
      <c r="N561" s="51" t="s">
        <v>310</v>
      </c>
      <c r="O561" s="51" t="s">
        <v>322</v>
      </c>
      <c r="Q561" s="51" t="s">
        <v>524</v>
      </c>
      <c r="R561" s="51" t="s">
        <v>132</v>
      </c>
    </row>
    <row r="562" spans="1:18" x14ac:dyDescent="0.25">
      <c r="A562" s="13"/>
      <c r="B562" s="13"/>
      <c r="L562" s="52">
        <v>45762</v>
      </c>
      <c r="M562" s="53">
        <v>0.46921296296296294</v>
      </c>
      <c r="N562" s="51" t="s">
        <v>311</v>
      </c>
      <c r="O562" s="51" t="s">
        <v>322</v>
      </c>
      <c r="Q562" s="51" t="s">
        <v>524</v>
      </c>
      <c r="R562" s="51" t="s">
        <v>132</v>
      </c>
    </row>
    <row r="563" spans="1:18" x14ac:dyDescent="0.25">
      <c r="A563" s="13"/>
      <c r="B563" s="13"/>
      <c r="L563" s="52">
        <v>45762</v>
      </c>
      <c r="M563" s="53">
        <v>0.46921296296296294</v>
      </c>
      <c r="N563" s="51" t="s">
        <v>312</v>
      </c>
      <c r="O563" s="51" t="s">
        <v>322</v>
      </c>
      <c r="Q563" s="51" t="s">
        <v>524</v>
      </c>
      <c r="R563" s="51" t="s">
        <v>132</v>
      </c>
    </row>
    <row r="564" spans="1:18" x14ac:dyDescent="0.25">
      <c r="A564" s="13"/>
      <c r="B564" s="13"/>
      <c r="L564" s="52">
        <v>45762</v>
      </c>
      <c r="M564" s="53">
        <v>0.46921296296296294</v>
      </c>
      <c r="N564" s="51" t="s">
        <v>313</v>
      </c>
      <c r="O564" s="51" t="s">
        <v>322</v>
      </c>
      <c r="Q564" s="51" t="s">
        <v>524</v>
      </c>
      <c r="R564" s="51" t="s">
        <v>132</v>
      </c>
    </row>
    <row r="565" spans="1:18" x14ac:dyDescent="0.25">
      <c r="A565" s="13"/>
      <c r="B565" s="13"/>
      <c r="L565" s="52">
        <v>45762</v>
      </c>
      <c r="M565" s="53">
        <v>0.46921296296296294</v>
      </c>
      <c r="N565" s="51" t="s">
        <v>314</v>
      </c>
      <c r="O565" s="51" t="s">
        <v>322</v>
      </c>
      <c r="Q565" s="51" t="s">
        <v>524</v>
      </c>
      <c r="R565" s="51" t="s">
        <v>132</v>
      </c>
    </row>
    <row r="566" spans="1:18" x14ac:dyDescent="0.25">
      <c r="A566" s="13"/>
      <c r="B566" s="13"/>
      <c r="L566" s="52">
        <v>45762</v>
      </c>
      <c r="M566" s="53">
        <v>0.46921296296296294</v>
      </c>
      <c r="N566" s="51" t="s">
        <v>315</v>
      </c>
      <c r="O566" s="51" t="s">
        <v>322</v>
      </c>
      <c r="Q566" s="51" t="s">
        <v>524</v>
      </c>
      <c r="R566" s="51" t="s">
        <v>132</v>
      </c>
    </row>
    <row r="567" spans="1:18" x14ac:dyDescent="0.25">
      <c r="A567" s="13"/>
      <c r="B567" s="13"/>
      <c r="L567" s="52">
        <v>45762</v>
      </c>
      <c r="M567" s="53">
        <v>0.46921296296296294</v>
      </c>
      <c r="N567" s="51" t="s">
        <v>316</v>
      </c>
      <c r="O567" s="51" t="s">
        <v>322</v>
      </c>
      <c r="Q567" s="51" t="s">
        <v>524</v>
      </c>
      <c r="R567" s="51" t="s">
        <v>132</v>
      </c>
    </row>
    <row r="568" spans="1:18" x14ac:dyDescent="0.25">
      <c r="A568" s="13"/>
      <c r="B568" s="13"/>
      <c r="L568" s="52">
        <v>45762</v>
      </c>
      <c r="M568" s="53">
        <v>0.46921296296296294</v>
      </c>
      <c r="N568" s="51" t="s">
        <v>317</v>
      </c>
      <c r="O568" s="51" t="s">
        <v>322</v>
      </c>
      <c r="Q568" s="51" t="s">
        <v>524</v>
      </c>
      <c r="R568" s="51" t="s">
        <v>132</v>
      </c>
    </row>
    <row r="569" spans="1:18" x14ac:dyDescent="0.25">
      <c r="A569" s="13"/>
      <c r="B569" s="13"/>
      <c r="L569" s="52">
        <v>45762</v>
      </c>
      <c r="M569" s="53">
        <v>0.46921296296296294</v>
      </c>
      <c r="N569" s="51" t="s">
        <v>318</v>
      </c>
      <c r="O569" s="51" t="s">
        <v>322</v>
      </c>
      <c r="Q569" s="51" t="s">
        <v>524</v>
      </c>
      <c r="R569" s="51" t="s">
        <v>132</v>
      </c>
    </row>
    <row r="570" spans="1:18" x14ac:dyDescent="0.25">
      <c r="A570" s="13"/>
      <c r="B570" s="13"/>
      <c r="L570" s="52">
        <v>45762</v>
      </c>
      <c r="M570" s="53">
        <v>0.46921296296296294</v>
      </c>
      <c r="N570" s="51" t="s">
        <v>319</v>
      </c>
      <c r="O570" s="51" t="s">
        <v>322</v>
      </c>
      <c r="Q570" s="51" t="s">
        <v>524</v>
      </c>
      <c r="R570" s="51" t="s">
        <v>132</v>
      </c>
    </row>
    <row r="571" spans="1:18" x14ac:dyDescent="0.25">
      <c r="A571" s="13"/>
      <c r="B571" s="13"/>
      <c r="L571" s="52">
        <v>45762</v>
      </c>
      <c r="M571" s="53">
        <v>0.46921296296296294</v>
      </c>
      <c r="N571" s="51" t="s">
        <v>320</v>
      </c>
      <c r="O571" s="51" t="s">
        <v>322</v>
      </c>
      <c r="Q571" s="51" t="s">
        <v>524</v>
      </c>
      <c r="R571" s="51" t="s">
        <v>132</v>
      </c>
    </row>
    <row r="572" spans="1:18" x14ac:dyDescent="0.25">
      <c r="A572" s="13"/>
      <c r="B572" s="13"/>
      <c r="L572" s="52">
        <v>45762</v>
      </c>
      <c r="M572" s="53">
        <v>0.46921296296296294</v>
      </c>
      <c r="N572" s="51" t="s">
        <v>321</v>
      </c>
      <c r="O572" s="51" t="s">
        <v>322</v>
      </c>
      <c r="P572" s="51" t="s">
        <v>554</v>
      </c>
      <c r="Q572" s="51" t="s">
        <v>80</v>
      </c>
      <c r="R572" s="51" t="s">
        <v>78</v>
      </c>
    </row>
    <row r="573" spans="1:18" x14ac:dyDescent="0.25">
      <c r="A573" s="13"/>
      <c r="B573" s="13"/>
      <c r="L573" s="52">
        <v>45762</v>
      </c>
      <c r="M573" s="53">
        <v>0.46921296296296294</v>
      </c>
      <c r="O573" s="51" t="s">
        <v>323</v>
      </c>
      <c r="Q573" s="51" t="s">
        <v>555</v>
      </c>
      <c r="R573" s="51" t="s">
        <v>78</v>
      </c>
    </row>
    <row r="574" spans="1:18" x14ac:dyDescent="0.25">
      <c r="A574" s="13"/>
      <c r="B574" s="13"/>
      <c r="L574" s="52">
        <v>45762</v>
      </c>
      <c r="M574" s="53">
        <v>0.46929398148148149</v>
      </c>
      <c r="O574" s="51" t="s">
        <v>323</v>
      </c>
      <c r="Q574" s="51" t="s">
        <v>330</v>
      </c>
      <c r="R574" s="51" t="s">
        <v>78</v>
      </c>
    </row>
    <row r="575" spans="1:18" x14ac:dyDescent="0.25">
      <c r="A575" s="13"/>
      <c r="B575" s="13"/>
      <c r="L575" s="52">
        <v>45762</v>
      </c>
      <c r="M575" s="53">
        <v>0.46929398148148149</v>
      </c>
      <c r="O575" s="51" t="s">
        <v>323</v>
      </c>
      <c r="Q575" s="51" t="s">
        <v>556</v>
      </c>
      <c r="R575" s="51" t="s">
        <v>78</v>
      </c>
    </row>
    <row r="576" spans="1:18" x14ac:dyDescent="0.25">
      <c r="A576" s="13"/>
      <c r="B576" s="13"/>
      <c r="L576" s="52">
        <v>45762</v>
      </c>
      <c r="M576" s="53">
        <v>0.46929398148148149</v>
      </c>
      <c r="N576" s="51" t="s">
        <v>138</v>
      </c>
      <c r="O576" s="51" t="s">
        <v>323</v>
      </c>
      <c r="P576" s="51" t="s">
        <v>557</v>
      </c>
      <c r="Q576" s="51" t="s">
        <v>80</v>
      </c>
      <c r="R576" s="51" t="s">
        <v>78</v>
      </c>
    </row>
    <row r="577" spans="1:18" x14ac:dyDescent="0.25">
      <c r="A577" s="13"/>
      <c r="B577" s="13"/>
      <c r="L577" s="52">
        <v>45762</v>
      </c>
      <c r="M577" s="53">
        <v>0.46929398148148149</v>
      </c>
      <c r="N577" s="51" t="s">
        <v>139</v>
      </c>
      <c r="O577" s="51" t="s">
        <v>323</v>
      </c>
      <c r="P577" s="51" t="s">
        <v>558</v>
      </c>
      <c r="Q577" s="51" t="s">
        <v>80</v>
      </c>
      <c r="R577" s="51" t="s">
        <v>78</v>
      </c>
    </row>
    <row r="578" spans="1:18" x14ac:dyDescent="0.25">
      <c r="A578" s="13"/>
      <c r="B578" s="13"/>
      <c r="L578" s="52">
        <v>45762</v>
      </c>
      <c r="M578" s="53">
        <v>0.46929398148148149</v>
      </c>
      <c r="N578" s="51" t="s">
        <v>140</v>
      </c>
      <c r="O578" s="51" t="s">
        <v>323</v>
      </c>
      <c r="P578" s="51" t="s">
        <v>559</v>
      </c>
      <c r="Q578" s="51" t="s">
        <v>80</v>
      </c>
      <c r="R578" s="51" t="s">
        <v>78</v>
      </c>
    </row>
    <row r="579" spans="1:18" x14ac:dyDescent="0.25">
      <c r="A579" s="13"/>
      <c r="B579" s="13"/>
      <c r="L579" s="52">
        <v>45762</v>
      </c>
      <c r="M579" s="53">
        <v>0.46929398148148149</v>
      </c>
      <c r="N579" s="51" t="s">
        <v>141</v>
      </c>
      <c r="O579" s="51" t="s">
        <v>323</v>
      </c>
      <c r="P579" s="51" t="s">
        <v>560</v>
      </c>
      <c r="Q579" s="51" t="s">
        <v>80</v>
      </c>
      <c r="R579" s="51" t="s">
        <v>78</v>
      </c>
    </row>
    <row r="580" spans="1:18" x14ac:dyDescent="0.25">
      <c r="A580" s="13"/>
      <c r="B580" s="13"/>
      <c r="L580" s="52">
        <v>45762</v>
      </c>
      <c r="M580" s="53">
        <v>0.46929398148148149</v>
      </c>
      <c r="N580" s="51" t="s">
        <v>142</v>
      </c>
      <c r="O580" s="51" t="s">
        <v>323</v>
      </c>
      <c r="P580" s="51" t="s">
        <v>561</v>
      </c>
      <c r="Q580" s="51" t="s">
        <v>80</v>
      </c>
      <c r="R580" s="51" t="s">
        <v>78</v>
      </c>
    </row>
    <row r="581" spans="1:18" x14ac:dyDescent="0.25">
      <c r="A581" s="13"/>
      <c r="B581" s="13"/>
      <c r="L581" s="52">
        <v>45762</v>
      </c>
      <c r="M581" s="53">
        <v>0.46929398148148149</v>
      </c>
      <c r="N581" s="51" t="s">
        <v>143</v>
      </c>
      <c r="O581" s="51" t="s">
        <v>323</v>
      </c>
      <c r="P581" s="51" t="s">
        <v>562</v>
      </c>
      <c r="Q581" s="51" t="s">
        <v>80</v>
      </c>
      <c r="R581" s="51" t="s">
        <v>78</v>
      </c>
    </row>
    <row r="582" spans="1:18" x14ac:dyDescent="0.25">
      <c r="A582" s="13"/>
      <c r="B582" s="13"/>
      <c r="L582" s="52">
        <v>45762</v>
      </c>
      <c r="M582" s="53">
        <v>0.46929398148148149</v>
      </c>
      <c r="N582" s="51" t="s">
        <v>144</v>
      </c>
      <c r="O582" s="51" t="s">
        <v>323</v>
      </c>
      <c r="P582" s="51" t="s">
        <v>563</v>
      </c>
      <c r="Q582" s="51" t="s">
        <v>80</v>
      </c>
      <c r="R582" s="51" t="s">
        <v>78</v>
      </c>
    </row>
    <row r="583" spans="1:18" x14ac:dyDescent="0.25">
      <c r="A583" s="13"/>
      <c r="B583" s="13"/>
      <c r="L583" s="52">
        <v>45762</v>
      </c>
      <c r="M583" s="53">
        <v>0.46929398148148149</v>
      </c>
      <c r="N583" s="51" t="s">
        <v>145</v>
      </c>
      <c r="O583" s="51" t="s">
        <v>323</v>
      </c>
      <c r="P583" s="51" t="s">
        <v>564</v>
      </c>
      <c r="Q583" s="51" t="s">
        <v>80</v>
      </c>
      <c r="R583" s="51" t="s">
        <v>78</v>
      </c>
    </row>
    <row r="584" spans="1:18" x14ac:dyDescent="0.25">
      <c r="A584" s="13"/>
      <c r="B584" s="13"/>
      <c r="L584" s="52">
        <v>45762</v>
      </c>
      <c r="M584" s="53">
        <v>0.46929398148148149</v>
      </c>
      <c r="N584" s="51" t="s">
        <v>146</v>
      </c>
      <c r="O584" s="51" t="s">
        <v>323</v>
      </c>
      <c r="Q584" s="51" t="s">
        <v>524</v>
      </c>
      <c r="R584" s="51" t="s">
        <v>132</v>
      </c>
    </row>
    <row r="585" spans="1:18" x14ac:dyDescent="0.25">
      <c r="A585" s="13"/>
      <c r="B585" s="13"/>
      <c r="L585" s="52">
        <v>45762</v>
      </c>
      <c r="M585" s="53">
        <v>0.46929398148148149</v>
      </c>
      <c r="N585" s="51" t="s">
        <v>147</v>
      </c>
      <c r="O585" s="51" t="s">
        <v>323</v>
      </c>
      <c r="Q585" s="51" t="s">
        <v>524</v>
      </c>
      <c r="R585" s="51" t="s">
        <v>132</v>
      </c>
    </row>
    <row r="586" spans="1:18" x14ac:dyDescent="0.25">
      <c r="A586" s="13"/>
      <c r="B586" s="13"/>
      <c r="L586" s="52">
        <v>45762</v>
      </c>
      <c r="M586" s="53">
        <v>0.46929398148148149</v>
      </c>
      <c r="N586" s="51" t="s">
        <v>148</v>
      </c>
      <c r="O586" s="51" t="s">
        <v>323</v>
      </c>
      <c r="Q586" s="51" t="s">
        <v>524</v>
      </c>
      <c r="R586" s="51" t="s">
        <v>132</v>
      </c>
    </row>
    <row r="587" spans="1:18" x14ac:dyDescent="0.25">
      <c r="A587" s="13"/>
      <c r="B587" s="13"/>
      <c r="L587" s="52">
        <v>45762</v>
      </c>
      <c r="M587" s="53">
        <v>0.46929398148148149</v>
      </c>
      <c r="N587" s="51" t="s">
        <v>149</v>
      </c>
      <c r="O587" s="51" t="s">
        <v>323</v>
      </c>
      <c r="Q587" s="51" t="s">
        <v>524</v>
      </c>
      <c r="R587" s="51" t="s">
        <v>132</v>
      </c>
    </row>
    <row r="588" spans="1:18" x14ac:dyDescent="0.25">
      <c r="A588" s="13"/>
      <c r="B588" s="13"/>
      <c r="L588" s="52">
        <v>45762</v>
      </c>
      <c r="M588" s="53">
        <v>0.46929398148148149</v>
      </c>
      <c r="N588" s="51" t="s">
        <v>150</v>
      </c>
      <c r="O588" s="51" t="s">
        <v>323</v>
      </c>
      <c r="Q588" s="51" t="s">
        <v>524</v>
      </c>
      <c r="R588" s="51" t="s">
        <v>132</v>
      </c>
    </row>
    <row r="589" spans="1:18" x14ac:dyDescent="0.25">
      <c r="A589" s="13"/>
      <c r="B589" s="13"/>
      <c r="L589" s="52">
        <v>45762</v>
      </c>
      <c r="M589" s="53">
        <v>0.46929398148148149</v>
      </c>
      <c r="N589" s="51" t="s">
        <v>151</v>
      </c>
      <c r="O589" s="51" t="s">
        <v>323</v>
      </c>
      <c r="Q589" s="51" t="s">
        <v>524</v>
      </c>
      <c r="R589" s="51" t="s">
        <v>132</v>
      </c>
    </row>
    <row r="590" spans="1:18" x14ac:dyDescent="0.25">
      <c r="A590" s="13"/>
      <c r="B590" s="13"/>
      <c r="L590" s="52">
        <v>45762</v>
      </c>
      <c r="M590" s="53">
        <v>0.46929398148148149</v>
      </c>
      <c r="N590" s="51" t="s">
        <v>152</v>
      </c>
      <c r="O590" s="51" t="s">
        <v>323</v>
      </c>
      <c r="Q590" s="51" t="s">
        <v>524</v>
      </c>
      <c r="R590" s="51" t="s">
        <v>132</v>
      </c>
    </row>
    <row r="591" spans="1:18" x14ac:dyDescent="0.25">
      <c r="A591" s="13"/>
      <c r="B591" s="13"/>
      <c r="L591" s="52">
        <v>45762</v>
      </c>
      <c r="M591" s="53">
        <v>0.46929398148148149</v>
      </c>
      <c r="N591" s="51" t="s">
        <v>153</v>
      </c>
      <c r="O591" s="51" t="s">
        <v>323</v>
      </c>
      <c r="Q591" s="51" t="s">
        <v>524</v>
      </c>
      <c r="R591" s="51" t="s">
        <v>132</v>
      </c>
    </row>
    <row r="592" spans="1:18" x14ac:dyDescent="0.25">
      <c r="A592" s="13"/>
      <c r="B592" s="13"/>
      <c r="L592" s="52">
        <v>45762</v>
      </c>
      <c r="M592" s="53">
        <v>0.46929398148148149</v>
      </c>
      <c r="N592" s="51" t="s">
        <v>154</v>
      </c>
      <c r="O592" s="51" t="s">
        <v>323</v>
      </c>
      <c r="Q592" s="51" t="s">
        <v>524</v>
      </c>
      <c r="R592" s="51" t="s">
        <v>132</v>
      </c>
    </row>
    <row r="593" spans="1:18" x14ac:dyDescent="0.25">
      <c r="A593" s="13"/>
      <c r="B593" s="13"/>
      <c r="L593" s="52">
        <v>45762</v>
      </c>
      <c r="M593" s="53">
        <v>0.46929398148148149</v>
      </c>
      <c r="N593" s="51" t="s">
        <v>155</v>
      </c>
      <c r="O593" s="51" t="s">
        <v>323</v>
      </c>
      <c r="Q593" s="51" t="s">
        <v>524</v>
      </c>
      <c r="R593" s="51" t="s">
        <v>132</v>
      </c>
    </row>
    <row r="594" spans="1:18" x14ac:dyDescent="0.25">
      <c r="A594" s="13"/>
      <c r="B594" s="13"/>
      <c r="L594" s="52">
        <v>45762</v>
      </c>
      <c r="M594" s="53">
        <v>0.46929398148148149</v>
      </c>
      <c r="N594" s="51" t="s">
        <v>156</v>
      </c>
      <c r="O594" s="51" t="s">
        <v>323</v>
      </c>
      <c r="Q594" s="51" t="s">
        <v>524</v>
      </c>
      <c r="R594" s="51" t="s">
        <v>132</v>
      </c>
    </row>
    <row r="595" spans="1:18" x14ac:dyDescent="0.25">
      <c r="A595" s="13"/>
      <c r="B595" s="13"/>
      <c r="L595" s="52">
        <v>45762</v>
      </c>
      <c r="M595" s="53">
        <v>0.46929398148148149</v>
      </c>
      <c r="N595" s="51" t="s">
        <v>157</v>
      </c>
      <c r="O595" s="51" t="s">
        <v>323</v>
      </c>
      <c r="P595" s="51" t="s">
        <v>565</v>
      </c>
      <c r="Q595" s="51" t="s">
        <v>80</v>
      </c>
      <c r="R595" s="51" t="s">
        <v>78</v>
      </c>
    </row>
    <row r="596" spans="1:18" x14ac:dyDescent="0.25">
      <c r="A596" s="13"/>
      <c r="B596" s="13"/>
      <c r="L596" s="52">
        <v>45762</v>
      </c>
      <c r="M596" s="53">
        <v>0.46929398148148149</v>
      </c>
      <c r="N596" s="51" t="s">
        <v>158</v>
      </c>
      <c r="O596" s="51" t="s">
        <v>323</v>
      </c>
      <c r="P596" s="51" t="s">
        <v>566</v>
      </c>
      <c r="Q596" s="51" t="s">
        <v>80</v>
      </c>
      <c r="R596" s="51" t="s">
        <v>78</v>
      </c>
    </row>
    <row r="597" spans="1:18" x14ac:dyDescent="0.25">
      <c r="A597" s="13"/>
      <c r="B597" s="13"/>
      <c r="L597" s="52">
        <v>45762</v>
      </c>
      <c r="M597" s="53">
        <v>0.46929398148148149</v>
      </c>
      <c r="N597" s="51" t="s">
        <v>159</v>
      </c>
      <c r="O597" s="51" t="s">
        <v>323</v>
      </c>
      <c r="P597" s="51" t="s">
        <v>567</v>
      </c>
      <c r="Q597" s="51" t="s">
        <v>80</v>
      </c>
      <c r="R597" s="51" t="s">
        <v>78</v>
      </c>
    </row>
    <row r="598" spans="1:18" x14ac:dyDescent="0.25">
      <c r="A598" s="13"/>
      <c r="B598" s="13"/>
      <c r="L598" s="52">
        <v>45762</v>
      </c>
      <c r="M598" s="53">
        <v>0.46929398148148149</v>
      </c>
      <c r="N598" s="51" t="s">
        <v>160</v>
      </c>
      <c r="O598" s="51" t="s">
        <v>323</v>
      </c>
      <c r="P598" s="51" t="s">
        <v>568</v>
      </c>
      <c r="Q598" s="51" t="s">
        <v>80</v>
      </c>
      <c r="R598" s="51" t="s">
        <v>78</v>
      </c>
    </row>
    <row r="599" spans="1:18" x14ac:dyDescent="0.25">
      <c r="A599" s="13"/>
      <c r="B599" s="13"/>
      <c r="L599" s="52">
        <v>45762</v>
      </c>
      <c r="M599" s="53">
        <v>0.46929398148148149</v>
      </c>
      <c r="N599" s="51" t="s">
        <v>161</v>
      </c>
      <c r="O599" s="51" t="s">
        <v>323</v>
      </c>
      <c r="P599" s="51" t="s">
        <v>569</v>
      </c>
      <c r="Q599" s="51" t="s">
        <v>80</v>
      </c>
      <c r="R599" s="51" t="s">
        <v>78</v>
      </c>
    </row>
    <row r="600" spans="1:18" x14ac:dyDescent="0.25">
      <c r="A600" s="13"/>
      <c r="B600" s="13"/>
      <c r="L600" s="52">
        <v>45762</v>
      </c>
      <c r="M600" s="53">
        <v>0.46929398148148149</v>
      </c>
      <c r="N600" s="51" t="s">
        <v>162</v>
      </c>
      <c r="O600" s="51" t="s">
        <v>323</v>
      </c>
      <c r="P600" s="51" t="s">
        <v>570</v>
      </c>
      <c r="Q600" s="51" t="s">
        <v>80</v>
      </c>
      <c r="R600" s="51" t="s">
        <v>78</v>
      </c>
    </row>
    <row r="601" spans="1:18" x14ac:dyDescent="0.25">
      <c r="A601" s="13"/>
      <c r="B601" s="13"/>
      <c r="L601" s="52">
        <v>45762</v>
      </c>
      <c r="M601" s="53">
        <v>0.46929398148148149</v>
      </c>
      <c r="N601" s="51" t="s">
        <v>163</v>
      </c>
      <c r="O601" s="51" t="s">
        <v>323</v>
      </c>
      <c r="Q601" s="51" t="s">
        <v>524</v>
      </c>
      <c r="R601" s="51" t="s">
        <v>132</v>
      </c>
    </row>
    <row r="602" spans="1:18" x14ac:dyDescent="0.25">
      <c r="A602" s="13"/>
      <c r="B602" s="13"/>
      <c r="L602" s="52">
        <v>45762</v>
      </c>
      <c r="M602" s="53">
        <v>0.46929398148148149</v>
      </c>
      <c r="N602" s="51" t="s">
        <v>164</v>
      </c>
      <c r="O602" s="51" t="s">
        <v>323</v>
      </c>
      <c r="Q602" s="51" t="s">
        <v>524</v>
      </c>
      <c r="R602" s="51" t="s">
        <v>132</v>
      </c>
    </row>
    <row r="603" spans="1:18" x14ac:dyDescent="0.25">
      <c r="A603" s="13"/>
      <c r="B603" s="13"/>
      <c r="L603" s="52">
        <v>45762</v>
      </c>
      <c r="M603" s="53">
        <v>0.46929398148148149</v>
      </c>
      <c r="N603" s="51" t="s">
        <v>165</v>
      </c>
      <c r="O603" s="51" t="s">
        <v>323</v>
      </c>
      <c r="Q603" s="51" t="s">
        <v>524</v>
      </c>
      <c r="R603" s="51" t="s">
        <v>132</v>
      </c>
    </row>
    <row r="604" spans="1:18" x14ac:dyDescent="0.25">
      <c r="A604" s="13"/>
      <c r="B604" s="13"/>
      <c r="L604" s="52">
        <v>45762</v>
      </c>
      <c r="M604" s="53">
        <v>0.46929398148148149</v>
      </c>
      <c r="N604" s="51" t="s">
        <v>166</v>
      </c>
      <c r="O604" s="51" t="s">
        <v>323</v>
      </c>
      <c r="P604" s="51" t="s">
        <v>571</v>
      </c>
      <c r="Q604" s="51" t="s">
        <v>80</v>
      </c>
      <c r="R604" s="51" t="s">
        <v>78</v>
      </c>
    </row>
    <row r="605" spans="1:18" x14ac:dyDescent="0.25">
      <c r="A605" s="13"/>
      <c r="B605" s="13"/>
      <c r="L605" s="52">
        <v>45762</v>
      </c>
      <c r="M605" s="53">
        <v>0.46929398148148149</v>
      </c>
      <c r="N605" s="51" t="s">
        <v>167</v>
      </c>
      <c r="O605" s="51" t="s">
        <v>323</v>
      </c>
      <c r="P605" s="51" t="s">
        <v>572</v>
      </c>
      <c r="Q605" s="51" t="s">
        <v>80</v>
      </c>
      <c r="R605" s="51" t="s">
        <v>78</v>
      </c>
    </row>
    <row r="606" spans="1:18" x14ac:dyDescent="0.25">
      <c r="A606" s="13"/>
      <c r="B606" s="13"/>
      <c r="L606" s="52">
        <v>45762</v>
      </c>
      <c r="M606" s="53">
        <v>0.46929398148148149</v>
      </c>
      <c r="N606" s="51" t="s">
        <v>168</v>
      </c>
      <c r="O606" s="51" t="s">
        <v>323</v>
      </c>
      <c r="P606" s="51" t="s">
        <v>573</v>
      </c>
      <c r="Q606" s="51" t="s">
        <v>80</v>
      </c>
      <c r="R606" s="51" t="s">
        <v>78</v>
      </c>
    </row>
    <row r="607" spans="1:18" x14ac:dyDescent="0.25">
      <c r="A607" s="13"/>
      <c r="B607" s="13"/>
      <c r="L607" s="52">
        <v>45762</v>
      </c>
      <c r="M607" s="53">
        <v>0.46929398148148149</v>
      </c>
      <c r="N607" s="51" t="s">
        <v>169</v>
      </c>
      <c r="O607" s="51" t="s">
        <v>323</v>
      </c>
      <c r="P607" s="51" t="s">
        <v>574</v>
      </c>
      <c r="Q607" s="51" t="s">
        <v>80</v>
      </c>
      <c r="R607" s="51" t="s">
        <v>78</v>
      </c>
    </row>
    <row r="608" spans="1:18" x14ac:dyDescent="0.25">
      <c r="A608" s="13"/>
      <c r="B608" s="13"/>
      <c r="L608" s="52">
        <v>45762</v>
      </c>
      <c r="M608" s="53">
        <v>0.46929398148148149</v>
      </c>
      <c r="N608" s="51" t="s">
        <v>170</v>
      </c>
      <c r="O608" s="51" t="s">
        <v>323</v>
      </c>
      <c r="P608" s="51" t="s">
        <v>575</v>
      </c>
      <c r="Q608" s="51" t="s">
        <v>80</v>
      </c>
      <c r="R608" s="51" t="s">
        <v>78</v>
      </c>
    </row>
    <row r="609" spans="1:18" x14ac:dyDescent="0.25">
      <c r="A609" s="13"/>
      <c r="B609" s="13"/>
      <c r="L609" s="52">
        <v>45762</v>
      </c>
      <c r="M609" s="53">
        <v>0.46929398148148149</v>
      </c>
      <c r="N609" s="51" t="s">
        <v>171</v>
      </c>
      <c r="O609" s="51" t="s">
        <v>323</v>
      </c>
      <c r="P609" s="51" t="s">
        <v>576</v>
      </c>
      <c r="Q609" s="51" t="s">
        <v>80</v>
      </c>
      <c r="R609" s="51" t="s">
        <v>78</v>
      </c>
    </row>
    <row r="610" spans="1:18" x14ac:dyDescent="0.25">
      <c r="A610" s="13"/>
      <c r="B610" s="13"/>
      <c r="L610" s="52">
        <v>45762</v>
      </c>
      <c r="M610" s="53">
        <v>0.46929398148148149</v>
      </c>
      <c r="N610" s="51" t="s">
        <v>172</v>
      </c>
      <c r="O610" s="51" t="s">
        <v>323</v>
      </c>
      <c r="Q610" s="51" t="s">
        <v>524</v>
      </c>
      <c r="R610" s="51" t="s">
        <v>132</v>
      </c>
    </row>
    <row r="611" spans="1:18" x14ac:dyDescent="0.25">
      <c r="A611" s="13"/>
      <c r="B611" s="13"/>
      <c r="L611" s="52">
        <v>45762</v>
      </c>
      <c r="M611" s="53">
        <v>0.46929398148148149</v>
      </c>
      <c r="N611" s="51" t="s">
        <v>173</v>
      </c>
      <c r="O611" s="51" t="s">
        <v>323</v>
      </c>
      <c r="Q611" s="51" t="s">
        <v>524</v>
      </c>
      <c r="R611" s="51" t="s">
        <v>132</v>
      </c>
    </row>
    <row r="612" spans="1:18" x14ac:dyDescent="0.25">
      <c r="A612" s="13"/>
      <c r="B612" s="13"/>
      <c r="L612" s="52">
        <v>45762</v>
      </c>
      <c r="M612" s="53">
        <v>0.46929398148148149</v>
      </c>
      <c r="N612" s="51" t="s">
        <v>174</v>
      </c>
      <c r="O612" s="51" t="s">
        <v>323</v>
      </c>
      <c r="Q612" s="51" t="s">
        <v>524</v>
      </c>
      <c r="R612" s="51" t="s">
        <v>132</v>
      </c>
    </row>
    <row r="613" spans="1:18" x14ac:dyDescent="0.25">
      <c r="A613" s="13"/>
      <c r="B613" s="13"/>
      <c r="L613" s="52">
        <v>45762</v>
      </c>
      <c r="M613" s="53">
        <v>0.46929398148148149</v>
      </c>
      <c r="N613" s="51" t="s">
        <v>175</v>
      </c>
      <c r="O613" s="51" t="s">
        <v>323</v>
      </c>
      <c r="Q613" s="51" t="s">
        <v>524</v>
      </c>
      <c r="R613" s="51" t="s">
        <v>132</v>
      </c>
    </row>
    <row r="614" spans="1:18" x14ac:dyDescent="0.25">
      <c r="A614" s="13"/>
      <c r="B614" s="13"/>
      <c r="L614" s="52">
        <v>45762</v>
      </c>
      <c r="M614" s="53">
        <v>0.46929398148148149</v>
      </c>
      <c r="N614" s="51" t="s">
        <v>176</v>
      </c>
      <c r="O614" s="51" t="s">
        <v>323</v>
      </c>
      <c r="Q614" s="51" t="s">
        <v>524</v>
      </c>
      <c r="R614" s="51" t="s">
        <v>132</v>
      </c>
    </row>
    <row r="615" spans="1:18" x14ac:dyDescent="0.25">
      <c r="A615" s="13"/>
      <c r="B615" s="13"/>
      <c r="L615" s="52">
        <v>45762</v>
      </c>
      <c r="M615" s="53">
        <v>0.46929398148148149</v>
      </c>
      <c r="N615" s="51" t="s">
        <v>177</v>
      </c>
      <c r="O615" s="51" t="s">
        <v>323</v>
      </c>
      <c r="Q615" s="51" t="s">
        <v>524</v>
      </c>
      <c r="R615" s="51" t="s">
        <v>132</v>
      </c>
    </row>
    <row r="616" spans="1:18" x14ac:dyDescent="0.25">
      <c r="A616" s="13"/>
      <c r="B616" s="13"/>
      <c r="L616" s="52">
        <v>45762</v>
      </c>
      <c r="M616" s="53">
        <v>0.46929398148148149</v>
      </c>
      <c r="N616" s="51" t="s">
        <v>177</v>
      </c>
      <c r="O616" s="51" t="s">
        <v>323</v>
      </c>
      <c r="Q616" s="51" t="s">
        <v>524</v>
      </c>
      <c r="R616" s="51" t="s">
        <v>132</v>
      </c>
    </row>
    <row r="617" spans="1:18" x14ac:dyDescent="0.25">
      <c r="A617" s="13"/>
      <c r="B617" s="13"/>
      <c r="L617" s="52">
        <v>45762</v>
      </c>
      <c r="M617" s="53">
        <v>0.46929398148148149</v>
      </c>
      <c r="N617" s="51" t="s">
        <v>178</v>
      </c>
      <c r="O617" s="51" t="s">
        <v>323</v>
      </c>
      <c r="Q617" s="51" t="s">
        <v>524</v>
      </c>
      <c r="R617" s="51" t="s">
        <v>132</v>
      </c>
    </row>
    <row r="618" spans="1:18" x14ac:dyDescent="0.25">
      <c r="A618" s="13"/>
      <c r="B618" s="13"/>
      <c r="L618" s="52">
        <v>45762</v>
      </c>
      <c r="M618" s="53">
        <v>0.46929398148148149</v>
      </c>
      <c r="N618" s="51" t="s">
        <v>178</v>
      </c>
      <c r="O618" s="51" t="s">
        <v>323</v>
      </c>
      <c r="Q618" s="51" t="s">
        <v>524</v>
      </c>
      <c r="R618" s="51" t="s">
        <v>132</v>
      </c>
    </row>
    <row r="619" spans="1:18" x14ac:dyDescent="0.25">
      <c r="A619" s="13"/>
      <c r="B619" s="13"/>
      <c r="L619" s="52">
        <v>45762</v>
      </c>
      <c r="M619" s="53">
        <v>0.46929398148148149</v>
      </c>
      <c r="N619" s="51" t="s">
        <v>179</v>
      </c>
      <c r="O619" s="51" t="s">
        <v>323</v>
      </c>
      <c r="Q619" s="51" t="s">
        <v>524</v>
      </c>
      <c r="R619" s="51" t="s">
        <v>132</v>
      </c>
    </row>
    <row r="620" spans="1:18" x14ac:dyDescent="0.25">
      <c r="A620" s="13"/>
      <c r="B620" s="13"/>
      <c r="L620" s="52">
        <v>45762</v>
      </c>
      <c r="M620" s="53">
        <v>0.46929398148148149</v>
      </c>
      <c r="N620" s="51" t="s">
        <v>180</v>
      </c>
      <c r="O620" s="51" t="s">
        <v>323</v>
      </c>
      <c r="Q620" s="51" t="s">
        <v>524</v>
      </c>
      <c r="R620" s="51" t="s">
        <v>132</v>
      </c>
    </row>
    <row r="621" spans="1:18" x14ac:dyDescent="0.25">
      <c r="A621" s="13"/>
      <c r="B621" s="13"/>
      <c r="L621" s="52">
        <v>45762</v>
      </c>
      <c r="M621" s="53">
        <v>0.46929398148148149</v>
      </c>
      <c r="N621" s="51" t="s">
        <v>181</v>
      </c>
      <c r="O621" s="51" t="s">
        <v>323</v>
      </c>
      <c r="P621" s="51" t="s">
        <v>577</v>
      </c>
      <c r="Q621" s="51" t="s">
        <v>80</v>
      </c>
      <c r="R621" s="51" t="s">
        <v>78</v>
      </c>
    </row>
    <row r="622" spans="1:18" x14ac:dyDescent="0.25">
      <c r="A622" s="13"/>
      <c r="B622" s="13"/>
      <c r="L622" s="52">
        <v>45762</v>
      </c>
      <c r="M622" s="53">
        <v>0.46929398148148149</v>
      </c>
      <c r="N622" s="51" t="s">
        <v>182</v>
      </c>
      <c r="O622" s="51" t="s">
        <v>323</v>
      </c>
      <c r="Q622" s="51" t="s">
        <v>524</v>
      </c>
      <c r="R622" s="51" t="s">
        <v>132</v>
      </c>
    </row>
    <row r="623" spans="1:18" x14ac:dyDescent="0.25">
      <c r="A623" s="13"/>
      <c r="B623" s="13"/>
      <c r="L623" s="52">
        <v>45762</v>
      </c>
      <c r="M623" s="53">
        <v>0.46929398148148149</v>
      </c>
      <c r="N623" s="51" t="s">
        <v>183</v>
      </c>
      <c r="O623" s="51" t="s">
        <v>323</v>
      </c>
      <c r="Q623" s="51" t="s">
        <v>524</v>
      </c>
      <c r="R623" s="51" t="s">
        <v>132</v>
      </c>
    </row>
    <row r="624" spans="1:18" x14ac:dyDescent="0.25">
      <c r="A624" s="13"/>
      <c r="B624" s="13"/>
      <c r="L624" s="52">
        <v>45762</v>
      </c>
      <c r="M624" s="53">
        <v>0.46929398148148149</v>
      </c>
      <c r="N624" s="51" t="s">
        <v>184</v>
      </c>
      <c r="O624" s="51" t="s">
        <v>323</v>
      </c>
      <c r="P624" s="51" t="s">
        <v>578</v>
      </c>
      <c r="Q624" s="51" t="s">
        <v>80</v>
      </c>
      <c r="R624" s="51" t="s">
        <v>78</v>
      </c>
    </row>
    <row r="625" spans="1:18" x14ac:dyDescent="0.25">
      <c r="A625" s="13"/>
      <c r="B625" s="13"/>
      <c r="L625" s="52">
        <v>45762</v>
      </c>
      <c r="M625" s="53">
        <v>0.46929398148148149</v>
      </c>
      <c r="N625" s="51" t="s">
        <v>185</v>
      </c>
      <c r="O625" s="51" t="s">
        <v>323</v>
      </c>
      <c r="P625" s="51" t="s">
        <v>579</v>
      </c>
      <c r="Q625" s="51" t="s">
        <v>80</v>
      </c>
      <c r="R625" s="51" t="s">
        <v>78</v>
      </c>
    </row>
    <row r="626" spans="1:18" x14ac:dyDescent="0.25">
      <c r="A626" s="13"/>
      <c r="B626" s="13"/>
      <c r="L626" s="52">
        <v>45762</v>
      </c>
      <c r="M626" s="53">
        <v>0.46929398148148149</v>
      </c>
      <c r="N626" s="51" t="s">
        <v>186</v>
      </c>
      <c r="O626" s="51" t="s">
        <v>323</v>
      </c>
      <c r="P626" s="51" t="s">
        <v>580</v>
      </c>
      <c r="Q626" s="51" t="s">
        <v>80</v>
      </c>
      <c r="R626" s="51" t="s">
        <v>78</v>
      </c>
    </row>
    <row r="627" spans="1:18" x14ac:dyDescent="0.25">
      <c r="A627" s="13"/>
      <c r="B627" s="13"/>
      <c r="L627" s="52">
        <v>45762</v>
      </c>
      <c r="M627" s="53">
        <v>0.46929398148148149</v>
      </c>
      <c r="N627" s="51" t="s">
        <v>187</v>
      </c>
      <c r="O627" s="51" t="s">
        <v>323</v>
      </c>
      <c r="P627" s="51" t="s">
        <v>581</v>
      </c>
      <c r="Q627" s="51" t="s">
        <v>80</v>
      </c>
      <c r="R627" s="51" t="s">
        <v>78</v>
      </c>
    </row>
    <row r="628" spans="1:18" x14ac:dyDescent="0.25">
      <c r="A628" s="13"/>
      <c r="B628" s="13"/>
      <c r="L628" s="52">
        <v>45762</v>
      </c>
      <c r="M628" s="53">
        <v>0.46929398148148149</v>
      </c>
      <c r="N628" s="51" t="s">
        <v>188</v>
      </c>
      <c r="O628" s="51" t="s">
        <v>323</v>
      </c>
      <c r="P628" s="51" t="s">
        <v>582</v>
      </c>
      <c r="Q628" s="51" t="s">
        <v>80</v>
      </c>
      <c r="R628" s="51" t="s">
        <v>78</v>
      </c>
    </row>
    <row r="629" spans="1:18" x14ac:dyDescent="0.25">
      <c r="A629" s="13"/>
      <c r="B629" s="13"/>
      <c r="L629" s="52">
        <v>45762</v>
      </c>
      <c r="M629" s="53">
        <v>0.46929398148148149</v>
      </c>
      <c r="N629" s="51" t="s">
        <v>189</v>
      </c>
      <c r="O629" s="51" t="s">
        <v>323</v>
      </c>
      <c r="P629" s="51" t="s">
        <v>583</v>
      </c>
      <c r="Q629" s="51" t="s">
        <v>80</v>
      </c>
      <c r="R629" s="51" t="s">
        <v>78</v>
      </c>
    </row>
    <row r="630" spans="1:18" x14ac:dyDescent="0.25">
      <c r="A630" s="13"/>
      <c r="B630" s="13"/>
      <c r="L630" s="52">
        <v>45762</v>
      </c>
      <c r="M630" s="53">
        <v>0.46929398148148149</v>
      </c>
      <c r="N630" s="51" t="s">
        <v>190</v>
      </c>
      <c r="O630" s="51" t="s">
        <v>323</v>
      </c>
      <c r="P630" s="51" t="s">
        <v>584</v>
      </c>
      <c r="Q630" s="51" t="s">
        <v>80</v>
      </c>
      <c r="R630" s="51" t="s">
        <v>78</v>
      </c>
    </row>
    <row r="631" spans="1:18" x14ac:dyDescent="0.25">
      <c r="A631" s="13"/>
      <c r="B631" s="13"/>
      <c r="L631" s="52">
        <v>45762</v>
      </c>
      <c r="M631" s="53">
        <v>0.46929398148148149</v>
      </c>
      <c r="N631" s="51" t="s">
        <v>191</v>
      </c>
      <c r="O631" s="51" t="s">
        <v>323</v>
      </c>
      <c r="P631" s="51" t="s">
        <v>585</v>
      </c>
      <c r="Q631" s="51" t="s">
        <v>80</v>
      </c>
      <c r="R631" s="51" t="s">
        <v>78</v>
      </c>
    </row>
    <row r="632" spans="1:18" x14ac:dyDescent="0.25">
      <c r="A632" s="13"/>
      <c r="B632" s="13"/>
      <c r="L632" s="52">
        <v>45762</v>
      </c>
      <c r="M632" s="53">
        <v>0.46929398148148149</v>
      </c>
      <c r="N632" s="51" t="s">
        <v>192</v>
      </c>
      <c r="O632" s="51" t="s">
        <v>323</v>
      </c>
      <c r="Q632" s="51" t="s">
        <v>524</v>
      </c>
      <c r="R632" s="51" t="s">
        <v>132</v>
      </c>
    </row>
    <row r="633" spans="1:18" x14ac:dyDescent="0.25">
      <c r="A633" s="13"/>
      <c r="B633" s="13"/>
      <c r="L633" s="52">
        <v>45762</v>
      </c>
      <c r="M633" s="53">
        <v>0.46929398148148149</v>
      </c>
      <c r="N633" s="51" t="s">
        <v>193</v>
      </c>
      <c r="O633" s="51" t="s">
        <v>323</v>
      </c>
      <c r="P633" s="51" t="s">
        <v>586</v>
      </c>
      <c r="Q633" s="51" t="s">
        <v>80</v>
      </c>
      <c r="R633" s="51" t="s">
        <v>78</v>
      </c>
    </row>
    <row r="634" spans="1:18" x14ac:dyDescent="0.25">
      <c r="A634" s="13"/>
      <c r="B634" s="13"/>
      <c r="L634" s="52">
        <v>45762</v>
      </c>
      <c r="M634" s="53">
        <v>0.46929398148148149</v>
      </c>
      <c r="N634" s="51" t="s">
        <v>194</v>
      </c>
      <c r="O634" s="51" t="s">
        <v>323</v>
      </c>
      <c r="P634" s="51" t="s">
        <v>587</v>
      </c>
      <c r="Q634" s="51" t="s">
        <v>80</v>
      </c>
      <c r="R634" s="51" t="s">
        <v>78</v>
      </c>
    </row>
    <row r="635" spans="1:18" x14ac:dyDescent="0.25">
      <c r="A635" s="13"/>
      <c r="B635" s="13"/>
      <c r="L635" s="52">
        <v>45762</v>
      </c>
      <c r="M635" s="53">
        <v>0.46929398148148149</v>
      </c>
      <c r="N635" s="51" t="s">
        <v>195</v>
      </c>
      <c r="O635" s="51" t="s">
        <v>323</v>
      </c>
      <c r="Q635" s="51" t="s">
        <v>524</v>
      </c>
      <c r="R635" s="51" t="s">
        <v>132</v>
      </c>
    </row>
    <row r="636" spans="1:18" x14ac:dyDescent="0.25">
      <c r="A636" s="13"/>
      <c r="B636" s="13"/>
      <c r="L636" s="52">
        <v>45762</v>
      </c>
      <c r="M636" s="53">
        <v>0.46929398148148149</v>
      </c>
      <c r="N636" s="51" t="s">
        <v>196</v>
      </c>
      <c r="O636" s="51" t="s">
        <v>323</v>
      </c>
      <c r="P636" s="51" t="s">
        <v>588</v>
      </c>
      <c r="Q636" s="51" t="s">
        <v>80</v>
      </c>
      <c r="R636" s="51" t="s">
        <v>78</v>
      </c>
    </row>
    <row r="637" spans="1:18" x14ac:dyDescent="0.25">
      <c r="A637" s="13"/>
      <c r="B637" s="13"/>
      <c r="L637" s="52">
        <v>45762</v>
      </c>
      <c r="M637" s="53">
        <v>0.46929398148148149</v>
      </c>
      <c r="N637" s="51" t="s">
        <v>197</v>
      </c>
      <c r="O637" s="51" t="s">
        <v>323</v>
      </c>
      <c r="P637" s="51" t="s">
        <v>589</v>
      </c>
      <c r="Q637" s="51" t="s">
        <v>80</v>
      </c>
      <c r="R637" s="51" t="s">
        <v>78</v>
      </c>
    </row>
    <row r="638" spans="1:18" x14ac:dyDescent="0.25">
      <c r="A638" s="13"/>
      <c r="B638" s="13"/>
      <c r="L638" s="52">
        <v>45762</v>
      </c>
      <c r="M638" s="53">
        <v>0.46929398148148149</v>
      </c>
      <c r="N638" s="51" t="s">
        <v>198</v>
      </c>
      <c r="O638" s="51" t="s">
        <v>323</v>
      </c>
      <c r="P638" s="51" t="s">
        <v>105</v>
      </c>
      <c r="Q638" s="51" t="s">
        <v>80</v>
      </c>
      <c r="R638" s="51" t="s">
        <v>78</v>
      </c>
    </row>
    <row r="639" spans="1:18" x14ac:dyDescent="0.25">
      <c r="A639" s="13"/>
      <c r="B639" s="13"/>
      <c r="L639" s="52">
        <v>45762</v>
      </c>
      <c r="M639" s="53">
        <v>0.46929398148148149</v>
      </c>
      <c r="N639" s="51" t="s">
        <v>199</v>
      </c>
      <c r="O639" s="51" t="s">
        <v>323</v>
      </c>
      <c r="P639" s="51" t="s">
        <v>590</v>
      </c>
      <c r="Q639" s="51" t="s">
        <v>80</v>
      </c>
      <c r="R639" s="51" t="s">
        <v>78</v>
      </c>
    </row>
    <row r="640" spans="1:18" x14ac:dyDescent="0.25">
      <c r="A640" s="13"/>
      <c r="B640" s="13"/>
      <c r="L640" s="52">
        <v>45762</v>
      </c>
      <c r="M640" s="53">
        <v>0.46929398148148149</v>
      </c>
      <c r="N640" s="51" t="s">
        <v>200</v>
      </c>
      <c r="O640" s="51" t="s">
        <v>323</v>
      </c>
      <c r="P640" s="51" t="s">
        <v>591</v>
      </c>
      <c r="Q640" s="51" t="s">
        <v>80</v>
      </c>
      <c r="R640" s="51" t="s">
        <v>78</v>
      </c>
    </row>
    <row r="641" spans="1:18" x14ac:dyDescent="0.25">
      <c r="A641" s="13"/>
      <c r="B641" s="13"/>
      <c r="L641" s="52">
        <v>45762</v>
      </c>
      <c r="M641" s="53">
        <v>0.46929398148148149</v>
      </c>
      <c r="N641" s="51" t="s">
        <v>201</v>
      </c>
      <c r="O641" s="51" t="s">
        <v>323</v>
      </c>
      <c r="P641" s="51" t="s">
        <v>592</v>
      </c>
      <c r="Q641" s="51" t="s">
        <v>80</v>
      </c>
      <c r="R641" s="51" t="s">
        <v>78</v>
      </c>
    </row>
    <row r="642" spans="1:18" x14ac:dyDescent="0.25">
      <c r="A642" s="13"/>
      <c r="B642" s="13"/>
      <c r="L642" s="52">
        <v>45762</v>
      </c>
      <c r="M642" s="53">
        <v>0.46929398148148149</v>
      </c>
      <c r="N642" s="51" t="s">
        <v>202</v>
      </c>
      <c r="O642" s="51" t="s">
        <v>323</v>
      </c>
      <c r="P642" s="51" t="s">
        <v>593</v>
      </c>
      <c r="Q642" s="51" t="s">
        <v>80</v>
      </c>
      <c r="R642" s="51" t="s">
        <v>78</v>
      </c>
    </row>
    <row r="643" spans="1:18" x14ac:dyDescent="0.25">
      <c r="A643" s="13"/>
      <c r="B643" s="13"/>
      <c r="L643" s="52">
        <v>45762</v>
      </c>
      <c r="M643" s="53">
        <v>0.46929398148148149</v>
      </c>
      <c r="N643" s="51" t="s">
        <v>203</v>
      </c>
      <c r="O643" s="51" t="s">
        <v>323</v>
      </c>
      <c r="P643" s="51" t="s">
        <v>594</v>
      </c>
      <c r="Q643" s="51" t="s">
        <v>80</v>
      </c>
      <c r="R643" s="51" t="s">
        <v>78</v>
      </c>
    </row>
    <row r="644" spans="1:18" x14ac:dyDescent="0.25">
      <c r="A644" s="13"/>
      <c r="B644" s="13"/>
      <c r="L644" s="52">
        <v>45762</v>
      </c>
      <c r="M644" s="53">
        <v>0.46929398148148149</v>
      </c>
      <c r="N644" s="51" t="s">
        <v>204</v>
      </c>
      <c r="O644" s="51" t="s">
        <v>323</v>
      </c>
      <c r="P644" s="51" t="s">
        <v>595</v>
      </c>
      <c r="Q644" s="51" t="s">
        <v>80</v>
      </c>
      <c r="R644" s="51" t="s">
        <v>78</v>
      </c>
    </row>
    <row r="645" spans="1:18" x14ac:dyDescent="0.25">
      <c r="A645" s="13"/>
      <c r="B645" s="13"/>
      <c r="L645" s="52">
        <v>45762</v>
      </c>
      <c r="M645" s="53">
        <v>0.46929398148148149</v>
      </c>
      <c r="N645" s="51" t="s">
        <v>205</v>
      </c>
      <c r="O645" s="51" t="s">
        <v>323</v>
      </c>
      <c r="P645" s="51" t="s">
        <v>596</v>
      </c>
      <c r="Q645" s="51" t="s">
        <v>80</v>
      </c>
      <c r="R645" s="51" t="s">
        <v>78</v>
      </c>
    </row>
    <row r="646" spans="1:18" x14ac:dyDescent="0.25">
      <c r="A646" s="13"/>
      <c r="B646" s="13"/>
      <c r="L646" s="52">
        <v>45762</v>
      </c>
      <c r="M646" s="53">
        <v>0.46929398148148149</v>
      </c>
      <c r="N646" s="51" t="s">
        <v>206</v>
      </c>
      <c r="O646" s="51" t="s">
        <v>323</v>
      </c>
      <c r="P646" s="51" t="s">
        <v>597</v>
      </c>
      <c r="Q646" s="51" t="s">
        <v>80</v>
      </c>
      <c r="R646" s="51" t="s">
        <v>78</v>
      </c>
    </row>
    <row r="647" spans="1:18" x14ac:dyDescent="0.25">
      <c r="A647" s="13"/>
      <c r="B647" s="13"/>
      <c r="L647" s="52">
        <v>45762</v>
      </c>
      <c r="M647" s="53">
        <v>0.46929398148148149</v>
      </c>
      <c r="N647" s="51" t="s">
        <v>207</v>
      </c>
      <c r="O647" s="51" t="s">
        <v>323</v>
      </c>
      <c r="P647" s="51" t="s">
        <v>598</v>
      </c>
      <c r="Q647" s="51" t="s">
        <v>80</v>
      </c>
      <c r="R647" s="51" t="s">
        <v>78</v>
      </c>
    </row>
    <row r="648" spans="1:18" x14ac:dyDescent="0.25">
      <c r="A648" s="13"/>
      <c r="B648" s="13"/>
      <c r="L648" s="52">
        <v>45762</v>
      </c>
      <c r="M648" s="53">
        <v>0.46929398148148149</v>
      </c>
      <c r="N648" s="51" t="s">
        <v>208</v>
      </c>
      <c r="O648" s="51" t="s">
        <v>323</v>
      </c>
      <c r="P648" s="51" t="s">
        <v>599</v>
      </c>
      <c r="Q648" s="51" t="s">
        <v>80</v>
      </c>
      <c r="R648" s="51" t="s">
        <v>78</v>
      </c>
    </row>
    <row r="649" spans="1:18" x14ac:dyDescent="0.25">
      <c r="A649" s="13"/>
      <c r="B649" s="13"/>
      <c r="L649" s="52">
        <v>45762</v>
      </c>
      <c r="M649" s="53">
        <v>0.46929398148148149</v>
      </c>
      <c r="N649" s="51" t="s">
        <v>209</v>
      </c>
      <c r="O649" s="51" t="s">
        <v>323</v>
      </c>
      <c r="P649" s="51" t="s">
        <v>600</v>
      </c>
      <c r="Q649" s="51" t="s">
        <v>80</v>
      </c>
      <c r="R649" s="51" t="s">
        <v>78</v>
      </c>
    </row>
    <row r="650" spans="1:18" x14ac:dyDescent="0.25">
      <c r="A650" s="13"/>
      <c r="B650" s="13"/>
      <c r="L650" s="52">
        <v>45762</v>
      </c>
      <c r="M650" s="53">
        <v>0.46929398148148149</v>
      </c>
      <c r="N650" s="51" t="s">
        <v>210</v>
      </c>
      <c r="O650" s="51" t="s">
        <v>323</v>
      </c>
      <c r="P650" s="51" t="s">
        <v>601</v>
      </c>
      <c r="Q650" s="51" t="s">
        <v>80</v>
      </c>
      <c r="R650" s="51" t="s">
        <v>78</v>
      </c>
    </row>
    <row r="651" spans="1:18" x14ac:dyDescent="0.25">
      <c r="A651" s="13"/>
      <c r="B651" s="13"/>
      <c r="L651" s="52">
        <v>45762</v>
      </c>
      <c r="M651" s="53">
        <v>0.46929398148148149</v>
      </c>
      <c r="N651" s="51" t="s">
        <v>211</v>
      </c>
      <c r="O651" s="51" t="s">
        <v>323</v>
      </c>
      <c r="P651" s="51" t="s">
        <v>100</v>
      </c>
      <c r="Q651" s="51" t="s">
        <v>80</v>
      </c>
      <c r="R651" s="51" t="s">
        <v>78</v>
      </c>
    </row>
    <row r="652" spans="1:18" x14ac:dyDescent="0.25">
      <c r="A652" s="13"/>
      <c r="B652" s="13"/>
      <c r="L652" s="52">
        <v>45762</v>
      </c>
      <c r="M652" s="53">
        <v>0.46929398148148149</v>
      </c>
      <c r="N652" s="51" t="s">
        <v>212</v>
      </c>
      <c r="O652" s="51" t="s">
        <v>323</v>
      </c>
      <c r="P652" s="51" t="s">
        <v>101</v>
      </c>
      <c r="Q652" s="51" t="s">
        <v>80</v>
      </c>
      <c r="R652" s="51" t="s">
        <v>78</v>
      </c>
    </row>
    <row r="653" spans="1:18" x14ac:dyDescent="0.25">
      <c r="A653" s="13"/>
      <c r="B653" s="13"/>
      <c r="L653" s="52">
        <v>45762</v>
      </c>
      <c r="M653" s="53">
        <v>0.46929398148148149</v>
      </c>
      <c r="N653" s="51" t="s">
        <v>213</v>
      </c>
      <c r="O653" s="51" t="s">
        <v>323</v>
      </c>
      <c r="P653" s="51" t="s">
        <v>102</v>
      </c>
      <c r="Q653" s="51" t="s">
        <v>80</v>
      </c>
      <c r="R653" s="51" t="s">
        <v>78</v>
      </c>
    </row>
    <row r="654" spans="1:18" x14ac:dyDescent="0.25">
      <c r="A654" s="13"/>
      <c r="B654" s="13"/>
      <c r="L654" s="52">
        <v>45762</v>
      </c>
      <c r="M654" s="53">
        <v>0.46929398148148149</v>
      </c>
      <c r="N654" s="51" t="s">
        <v>214</v>
      </c>
      <c r="O654" s="51" t="s">
        <v>323</v>
      </c>
      <c r="P654" s="51" t="s">
        <v>103</v>
      </c>
      <c r="Q654" s="51" t="s">
        <v>80</v>
      </c>
      <c r="R654" s="51" t="s">
        <v>78</v>
      </c>
    </row>
    <row r="655" spans="1:18" x14ac:dyDescent="0.25">
      <c r="A655" s="13"/>
      <c r="B655" s="13"/>
      <c r="L655" s="52">
        <v>45762</v>
      </c>
      <c r="M655" s="53">
        <v>0.46929398148148149</v>
      </c>
      <c r="N655" s="51" t="s">
        <v>215</v>
      </c>
      <c r="O655" s="51" t="s">
        <v>323</v>
      </c>
      <c r="P655" s="51" t="s">
        <v>104</v>
      </c>
      <c r="Q655" s="51" t="s">
        <v>80</v>
      </c>
      <c r="R655" s="51" t="s">
        <v>78</v>
      </c>
    </row>
    <row r="656" spans="1:18" x14ac:dyDescent="0.25">
      <c r="A656" s="13"/>
      <c r="B656" s="13"/>
      <c r="L656" s="52">
        <v>45762</v>
      </c>
      <c r="M656" s="53">
        <v>0.46929398148148149</v>
      </c>
      <c r="N656" s="51" t="s">
        <v>216</v>
      </c>
      <c r="O656" s="51" t="s">
        <v>323</v>
      </c>
      <c r="P656" s="51" t="s">
        <v>602</v>
      </c>
      <c r="Q656" s="51" t="s">
        <v>80</v>
      </c>
      <c r="R656" s="51" t="s">
        <v>78</v>
      </c>
    </row>
    <row r="657" spans="1:18" x14ac:dyDescent="0.25">
      <c r="A657" s="13"/>
      <c r="B657" s="13"/>
      <c r="L657" s="52">
        <v>45762</v>
      </c>
      <c r="M657" s="53">
        <v>0.46929398148148149</v>
      </c>
      <c r="N657" s="51" t="s">
        <v>217</v>
      </c>
      <c r="O657" s="51" t="s">
        <v>323</v>
      </c>
      <c r="P657" s="51" t="s">
        <v>603</v>
      </c>
      <c r="Q657" s="51" t="s">
        <v>80</v>
      </c>
      <c r="R657" s="51" t="s">
        <v>78</v>
      </c>
    </row>
    <row r="658" spans="1:18" x14ac:dyDescent="0.25">
      <c r="A658" s="13"/>
      <c r="B658" s="13"/>
      <c r="L658" s="52">
        <v>45762</v>
      </c>
      <c r="M658" s="53">
        <v>0.46929398148148149</v>
      </c>
      <c r="N658" s="51" t="s">
        <v>218</v>
      </c>
      <c r="O658" s="51" t="s">
        <v>323</v>
      </c>
      <c r="P658" s="51" t="s">
        <v>604</v>
      </c>
      <c r="Q658" s="51" t="s">
        <v>80</v>
      </c>
      <c r="R658" s="51" t="s">
        <v>78</v>
      </c>
    </row>
    <row r="659" spans="1:18" x14ac:dyDescent="0.25">
      <c r="A659" s="13"/>
      <c r="B659" s="13"/>
      <c r="L659" s="52">
        <v>45762</v>
      </c>
      <c r="M659" s="53">
        <v>0.46929398148148149</v>
      </c>
      <c r="N659" s="51" t="s">
        <v>219</v>
      </c>
      <c r="O659" s="51" t="s">
        <v>323</v>
      </c>
      <c r="P659" s="51" t="s">
        <v>605</v>
      </c>
      <c r="Q659" s="51" t="s">
        <v>80</v>
      </c>
      <c r="R659" s="51" t="s">
        <v>78</v>
      </c>
    </row>
    <row r="660" spans="1:18" x14ac:dyDescent="0.25">
      <c r="A660" s="13"/>
      <c r="B660" s="13"/>
      <c r="L660" s="52">
        <v>45762</v>
      </c>
      <c r="M660" s="53">
        <v>0.46929398148148149</v>
      </c>
      <c r="N660" s="51" t="s">
        <v>220</v>
      </c>
      <c r="O660" s="51" t="s">
        <v>323</v>
      </c>
      <c r="P660" s="51" t="s">
        <v>606</v>
      </c>
      <c r="Q660" s="51" t="s">
        <v>80</v>
      </c>
      <c r="R660" s="51" t="s">
        <v>78</v>
      </c>
    </row>
    <row r="661" spans="1:18" x14ac:dyDescent="0.25">
      <c r="A661" s="13"/>
      <c r="B661" s="13"/>
      <c r="L661" s="52">
        <v>45762</v>
      </c>
      <c r="M661" s="53">
        <v>0.46929398148148149</v>
      </c>
      <c r="N661" s="51" t="s">
        <v>221</v>
      </c>
      <c r="O661" s="51" t="s">
        <v>323</v>
      </c>
      <c r="P661" s="51" t="s">
        <v>607</v>
      </c>
      <c r="Q661" s="51" t="s">
        <v>80</v>
      </c>
      <c r="R661" s="51" t="s">
        <v>78</v>
      </c>
    </row>
    <row r="662" spans="1:18" x14ac:dyDescent="0.25">
      <c r="A662" s="13"/>
      <c r="B662" s="13"/>
      <c r="L662" s="52">
        <v>45762</v>
      </c>
      <c r="M662" s="53">
        <v>0.46929398148148149</v>
      </c>
      <c r="N662" s="51" t="s">
        <v>222</v>
      </c>
      <c r="O662" s="51" t="s">
        <v>323</v>
      </c>
      <c r="P662" s="51" t="s">
        <v>608</v>
      </c>
      <c r="Q662" s="51" t="s">
        <v>80</v>
      </c>
      <c r="R662" s="51" t="s">
        <v>78</v>
      </c>
    </row>
    <row r="663" spans="1:18" x14ac:dyDescent="0.25">
      <c r="A663" s="13"/>
      <c r="B663" s="13"/>
      <c r="L663" s="52">
        <v>45762</v>
      </c>
      <c r="M663" s="53">
        <v>0.46929398148148149</v>
      </c>
      <c r="N663" s="51" t="s">
        <v>223</v>
      </c>
      <c r="O663" s="51" t="s">
        <v>323</v>
      </c>
      <c r="P663" s="51" t="s">
        <v>609</v>
      </c>
      <c r="Q663" s="51" t="s">
        <v>80</v>
      </c>
      <c r="R663" s="51" t="s">
        <v>78</v>
      </c>
    </row>
    <row r="664" spans="1:18" x14ac:dyDescent="0.25">
      <c r="A664" s="13"/>
      <c r="B664" s="13"/>
      <c r="L664" s="52">
        <v>45762</v>
      </c>
      <c r="M664" s="53">
        <v>0.46929398148148149</v>
      </c>
      <c r="N664" s="51" t="s">
        <v>224</v>
      </c>
      <c r="O664" s="51" t="s">
        <v>323</v>
      </c>
      <c r="P664" s="51" t="s">
        <v>610</v>
      </c>
      <c r="Q664" s="51" t="s">
        <v>80</v>
      </c>
      <c r="R664" s="51" t="s">
        <v>78</v>
      </c>
    </row>
    <row r="665" spans="1:18" x14ac:dyDescent="0.25">
      <c r="A665" s="13"/>
      <c r="B665" s="13"/>
      <c r="L665" s="52">
        <v>45762</v>
      </c>
      <c r="M665" s="53">
        <v>0.46929398148148149</v>
      </c>
      <c r="N665" s="51" t="s">
        <v>225</v>
      </c>
      <c r="O665" s="51" t="s">
        <v>323</v>
      </c>
      <c r="P665" s="51" t="s">
        <v>611</v>
      </c>
      <c r="Q665" s="51" t="s">
        <v>80</v>
      </c>
      <c r="R665" s="51" t="s">
        <v>78</v>
      </c>
    </row>
    <row r="666" spans="1:18" x14ac:dyDescent="0.25">
      <c r="A666" s="13"/>
      <c r="B666" s="13"/>
      <c r="L666" s="52">
        <v>45762</v>
      </c>
      <c r="M666" s="53">
        <v>0.46929398148148149</v>
      </c>
      <c r="N666" s="51" t="s">
        <v>226</v>
      </c>
      <c r="O666" s="51" t="s">
        <v>323</v>
      </c>
      <c r="P666" s="51" t="s">
        <v>612</v>
      </c>
      <c r="Q666" s="51" t="s">
        <v>80</v>
      </c>
      <c r="R666" s="51" t="s">
        <v>78</v>
      </c>
    </row>
    <row r="667" spans="1:18" x14ac:dyDescent="0.25">
      <c r="A667" s="13"/>
      <c r="B667" s="13"/>
      <c r="L667" s="52">
        <v>45762</v>
      </c>
      <c r="M667" s="53">
        <v>0.46929398148148149</v>
      </c>
      <c r="N667" s="51" t="s">
        <v>227</v>
      </c>
      <c r="O667" s="51" t="s">
        <v>323</v>
      </c>
      <c r="P667" s="51" t="s">
        <v>613</v>
      </c>
      <c r="Q667" s="51" t="s">
        <v>80</v>
      </c>
      <c r="R667" s="51" t="s">
        <v>78</v>
      </c>
    </row>
    <row r="668" spans="1:18" x14ac:dyDescent="0.25">
      <c r="A668" s="13"/>
      <c r="B668" s="13"/>
      <c r="L668" s="52">
        <v>45762</v>
      </c>
      <c r="M668" s="53">
        <v>0.46929398148148149</v>
      </c>
      <c r="N668" s="51" t="s">
        <v>228</v>
      </c>
      <c r="O668" s="51" t="s">
        <v>323</v>
      </c>
      <c r="P668" s="51" t="s">
        <v>614</v>
      </c>
      <c r="Q668" s="51" t="s">
        <v>80</v>
      </c>
      <c r="R668" s="51" t="s">
        <v>78</v>
      </c>
    </row>
    <row r="669" spans="1:18" x14ac:dyDescent="0.25">
      <c r="A669" s="13"/>
      <c r="B669" s="13"/>
      <c r="L669" s="52">
        <v>45762</v>
      </c>
      <c r="M669" s="53">
        <v>0.46929398148148149</v>
      </c>
      <c r="N669" s="51" t="s">
        <v>229</v>
      </c>
      <c r="O669" s="51" t="s">
        <v>323</v>
      </c>
      <c r="P669" s="51" t="s">
        <v>615</v>
      </c>
      <c r="Q669" s="51" t="s">
        <v>80</v>
      </c>
      <c r="R669" s="51" t="s">
        <v>78</v>
      </c>
    </row>
    <row r="670" spans="1:18" x14ac:dyDescent="0.25">
      <c r="A670" s="13"/>
      <c r="B670" s="13"/>
      <c r="L670" s="52">
        <v>45762</v>
      </c>
      <c r="M670" s="53">
        <v>0.46929398148148149</v>
      </c>
      <c r="N670" s="51" t="s">
        <v>230</v>
      </c>
      <c r="O670" s="51" t="s">
        <v>323</v>
      </c>
      <c r="P670" s="51" t="s">
        <v>616</v>
      </c>
      <c r="Q670" s="51" t="s">
        <v>80</v>
      </c>
      <c r="R670" s="51" t="s">
        <v>78</v>
      </c>
    </row>
    <row r="671" spans="1:18" x14ac:dyDescent="0.25">
      <c r="A671" s="13"/>
      <c r="B671" s="13"/>
      <c r="L671" s="52">
        <v>45762</v>
      </c>
      <c r="M671" s="53">
        <v>0.46929398148148149</v>
      </c>
      <c r="N671" s="51" t="s">
        <v>231</v>
      </c>
      <c r="O671" s="51" t="s">
        <v>323</v>
      </c>
      <c r="P671" s="51" t="s">
        <v>617</v>
      </c>
      <c r="Q671" s="51" t="s">
        <v>80</v>
      </c>
      <c r="R671" s="51" t="s">
        <v>78</v>
      </c>
    </row>
    <row r="672" spans="1:18" x14ac:dyDescent="0.25">
      <c r="A672" s="13"/>
      <c r="B672" s="13"/>
      <c r="L672" s="52">
        <v>45762</v>
      </c>
      <c r="M672" s="53">
        <v>0.46929398148148149</v>
      </c>
      <c r="N672" s="51" t="s">
        <v>232</v>
      </c>
      <c r="O672" s="51" t="s">
        <v>323</v>
      </c>
      <c r="P672" s="51" t="s">
        <v>618</v>
      </c>
      <c r="Q672" s="51" t="s">
        <v>80</v>
      </c>
      <c r="R672" s="51" t="s">
        <v>78</v>
      </c>
    </row>
    <row r="673" spans="1:18" x14ac:dyDescent="0.25">
      <c r="A673" s="13"/>
      <c r="B673" s="13"/>
      <c r="L673" s="52">
        <v>45762</v>
      </c>
      <c r="M673" s="53">
        <v>0.46929398148148149</v>
      </c>
      <c r="N673" s="51" t="s">
        <v>233</v>
      </c>
      <c r="O673" s="51" t="s">
        <v>323</v>
      </c>
      <c r="P673" s="51" t="s">
        <v>619</v>
      </c>
      <c r="Q673" s="51" t="s">
        <v>80</v>
      </c>
      <c r="R673" s="51" t="s">
        <v>78</v>
      </c>
    </row>
    <row r="674" spans="1:18" x14ac:dyDescent="0.25">
      <c r="A674" s="13"/>
      <c r="B674" s="13"/>
      <c r="L674" s="52">
        <v>45762</v>
      </c>
      <c r="M674" s="53">
        <v>0.46929398148148149</v>
      </c>
      <c r="N674" s="51" t="s">
        <v>234</v>
      </c>
      <c r="O674" s="51" t="s">
        <v>323</v>
      </c>
      <c r="P674" s="51" t="s">
        <v>620</v>
      </c>
      <c r="Q674" s="51" t="s">
        <v>80</v>
      </c>
      <c r="R674" s="51" t="s">
        <v>78</v>
      </c>
    </row>
    <row r="675" spans="1:18" x14ac:dyDescent="0.25">
      <c r="A675" s="13"/>
      <c r="B675" s="13"/>
      <c r="L675" s="52">
        <v>45762</v>
      </c>
      <c r="M675" s="53">
        <v>0.46929398148148149</v>
      </c>
      <c r="N675" s="51" t="s">
        <v>235</v>
      </c>
      <c r="O675" s="51" t="s">
        <v>323</v>
      </c>
      <c r="P675" s="51" t="s">
        <v>621</v>
      </c>
      <c r="Q675" s="51" t="s">
        <v>80</v>
      </c>
      <c r="R675" s="51" t="s">
        <v>78</v>
      </c>
    </row>
    <row r="676" spans="1:18" x14ac:dyDescent="0.25">
      <c r="A676" s="13"/>
      <c r="B676" s="13"/>
      <c r="L676" s="52">
        <v>45762</v>
      </c>
      <c r="M676" s="53">
        <v>0.46929398148148149</v>
      </c>
      <c r="N676" s="51" t="s">
        <v>236</v>
      </c>
      <c r="O676" s="51" t="s">
        <v>323</v>
      </c>
      <c r="P676" s="51" t="s">
        <v>622</v>
      </c>
      <c r="Q676" s="51" t="s">
        <v>80</v>
      </c>
      <c r="R676" s="51" t="s">
        <v>78</v>
      </c>
    </row>
    <row r="677" spans="1:18" x14ac:dyDescent="0.25">
      <c r="A677" s="13"/>
      <c r="B677" s="13"/>
      <c r="L677" s="52">
        <v>45762</v>
      </c>
      <c r="M677" s="53">
        <v>0.46929398148148149</v>
      </c>
      <c r="N677" s="51" t="s">
        <v>237</v>
      </c>
      <c r="O677" s="51" t="s">
        <v>323</v>
      </c>
      <c r="P677" s="51" t="s">
        <v>623</v>
      </c>
      <c r="Q677" s="51" t="s">
        <v>80</v>
      </c>
      <c r="R677" s="51" t="s">
        <v>78</v>
      </c>
    </row>
    <row r="678" spans="1:18" x14ac:dyDescent="0.25">
      <c r="A678" s="13"/>
      <c r="B678" s="13"/>
      <c r="L678" s="52">
        <v>45762</v>
      </c>
      <c r="M678" s="53">
        <v>0.46929398148148149</v>
      </c>
      <c r="N678" s="51" t="s">
        <v>238</v>
      </c>
      <c r="O678" s="51" t="s">
        <v>323</v>
      </c>
      <c r="P678" s="51" t="s">
        <v>624</v>
      </c>
      <c r="Q678" s="51" t="s">
        <v>80</v>
      </c>
      <c r="R678" s="51" t="s">
        <v>78</v>
      </c>
    </row>
    <row r="679" spans="1:18" x14ac:dyDescent="0.25">
      <c r="A679" s="13"/>
      <c r="B679" s="13"/>
      <c r="L679" s="52">
        <v>45762</v>
      </c>
      <c r="M679" s="53">
        <v>0.46929398148148149</v>
      </c>
      <c r="N679" s="51" t="s">
        <v>239</v>
      </c>
      <c r="O679" s="51" t="s">
        <v>323</v>
      </c>
      <c r="P679" s="51" t="s">
        <v>625</v>
      </c>
      <c r="Q679" s="51" t="s">
        <v>80</v>
      </c>
      <c r="R679" s="51" t="s">
        <v>78</v>
      </c>
    </row>
    <row r="680" spans="1:18" x14ac:dyDescent="0.25">
      <c r="A680" s="13"/>
      <c r="B680" s="13"/>
      <c r="L680" s="52">
        <v>45762</v>
      </c>
      <c r="M680" s="53">
        <v>0.46929398148148149</v>
      </c>
      <c r="N680" s="51" t="s">
        <v>240</v>
      </c>
      <c r="O680" s="51" t="s">
        <v>323</v>
      </c>
      <c r="P680" s="51" t="s">
        <v>626</v>
      </c>
      <c r="Q680" s="51" t="s">
        <v>80</v>
      </c>
      <c r="R680" s="51" t="s">
        <v>78</v>
      </c>
    </row>
    <row r="681" spans="1:18" x14ac:dyDescent="0.25">
      <c r="A681" s="13"/>
      <c r="B681" s="13"/>
      <c r="L681" s="52">
        <v>45762</v>
      </c>
      <c r="M681" s="53">
        <v>0.46929398148148149</v>
      </c>
      <c r="N681" s="51" t="s">
        <v>241</v>
      </c>
      <c r="O681" s="51" t="s">
        <v>323</v>
      </c>
      <c r="P681" s="51" t="s">
        <v>627</v>
      </c>
      <c r="Q681" s="51" t="s">
        <v>80</v>
      </c>
      <c r="R681" s="51" t="s">
        <v>78</v>
      </c>
    </row>
    <row r="682" spans="1:18" x14ac:dyDescent="0.25">
      <c r="A682" s="13"/>
      <c r="B682" s="13"/>
      <c r="L682" s="52">
        <v>45762</v>
      </c>
      <c r="M682" s="53">
        <v>0.46929398148148149</v>
      </c>
      <c r="N682" s="51" t="s">
        <v>242</v>
      </c>
      <c r="O682" s="51" t="s">
        <v>323</v>
      </c>
      <c r="P682" s="51" t="s">
        <v>628</v>
      </c>
      <c r="Q682" s="51" t="s">
        <v>80</v>
      </c>
      <c r="R682" s="51" t="s">
        <v>78</v>
      </c>
    </row>
    <row r="683" spans="1:18" x14ac:dyDescent="0.25">
      <c r="A683" s="13"/>
      <c r="B683" s="13"/>
      <c r="L683" s="52">
        <v>45762</v>
      </c>
      <c r="M683" s="53">
        <v>0.46929398148148149</v>
      </c>
      <c r="N683" s="51" t="s">
        <v>243</v>
      </c>
      <c r="O683" s="51" t="s">
        <v>323</v>
      </c>
      <c r="P683" s="51" t="s">
        <v>629</v>
      </c>
      <c r="Q683" s="51" t="s">
        <v>80</v>
      </c>
      <c r="R683" s="51" t="s">
        <v>78</v>
      </c>
    </row>
    <row r="684" spans="1:18" x14ac:dyDescent="0.25">
      <c r="A684" s="13"/>
      <c r="B684" s="13"/>
      <c r="L684" s="52">
        <v>45762</v>
      </c>
      <c r="M684" s="53">
        <v>0.46929398148148149</v>
      </c>
      <c r="N684" s="51" t="s">
        <v>244</v>
      </c>
      <c r="O684" s="51" t="s">
        <v>323</v>
      </c>
      <c r="P684" s="51" t="s">
        <v>630</v>
      </c>
      <c r="Q684" s="51" t="s">
        <v>80</v>
      </c>
      <c r="R684" s="51" t="s">
        <v>78</v>
      </c>
    </row>
    <row r="685" spans="1:18" x14ac:dyDescent="0.25">
      <c r="A685" s="13"/>
      <c r="B685" s="13"/>
      <c r="L685" s="52">
        <v>45762</v>
      </c>
      <c r="M685" s="53">
        <v>0.46929398148148149</v>
      </c>
      <c r="N685" s="51" t="s">
        <v>245</v>
      </c>
      <c r="O685" s="51" t="s">
        <v>323</v>
      </c>
      <c r="P685" s="51" t="s">
        <v>631</v>
      </c>
      <c r="Q685" s="51" t="s">
        <v>80</v>
      </c>
      <c r="R685" s="51" t="s">
        <v>78</v>
      </c>
    </row>
    <row r="686" spans="1:18" x14ac:dyDescent="0.25">
      <c r="A686" s="13"/>
      <c r="B686" s="13"/>
      <c r="L686" s="52">
        <v>45762</v>
      </c>
      <c r="M686" s="53">
        <v>0.46929398148148149</v>
      </c>
      <c r="N686" s="51" t="s">
        <v>246</v>
      </c>
      <c r="O686" s="51" t="s">
        <v>323</v>
      </c>
      <c r="P686" s="51" t="s">
        <v>632</v>
      </c>
      <c r="Q686" s="51" t="s">
        <v>80</v>
      </c>
      <c r="R686" s="51" t="s">
        <v>78</v>
      </c>
    </row>
    <row r="687" spans="1:18" x14ac:dyDescent="0.25">
      <c r="A687" s="13"/>
      <c r="B687" s="13"/>
      <c r="L687" s="52">
        <v>45762</v>
      </c>
      <c r="M687" s="53">
        <v>0.46929398148148149</v>
      </c>
      <c r="N687" s="51" t="s">
        <v>247</v>
      </c>
      <c r="O687" s="51" t="s">
        <v>323</v>
      </c>
      <c r="P687" s="51" t="s">
        <v>633</v>
      </c>
      <c r="Q687" s="51" t="s">
        <v>80</v>
      </c>
      <c r="R687" s="51" t="s">
        <v>78</v>
      </c>
    </row>
    <row r="688" spans="1:18" x14ac:dyDescent="0.25">
      <c r="A688" s="13"/>
      <c r="B688" s="13"/>
      <c r="L688" s="52">
        <v>45762</v>
      </c>
      <c r="M688" s="53">
        <v>0.46929398148148149</v>
      </c>
      <c r="N688" s="51" t="s">
        <v>248</v>
      </c>
      <c r="O688" s="51" t="s">
        <v>323</v>
      </c>
      <c r="P688" s="51" t="s">
        <v>634</v>
      </c>
      <c r="Q688" s="51" t="s">
        <v>80</v>
      </c>
      <c r="R688" s="51" t="s">
        <v>78</v>
      </c>
    </row>
    <row r="689" spans="1:18" x14ac:dyDescent="0.25">
      <c r="A689" s="13"/>
      <c r="B689" s="13"/>
      <c r="L689" s="52">
        <v>45762</v>
      </c>
      <c r="M689" s="53">
        <v>0.46929398148148149</v>
      </c>
      <c r="N689" s="51" t="s">
        <v>249</v>
      </c>
      <c r="O689" s="51" t="s">
        <v>323</v>
      </c>
      <c r="P689" s="51" t="s">
        <v>635</v>
      </c>
      <c r="Q689" s="51" t="s">
        <v>80</v>
      </c>
      <c r="R689" s="51" t="s">
        <v>78</v>
      </c>
    </row>
    <row r="690" spans="1:18" x14ac:dyDescent="0.25">
      <c r="A690" s="13"/>
      <c r="B690" s="13"/>
      <c r="L690" s="52">
        <v>45762</v>
      </c>
      <c r="M690" s="53">
        <v>0.46929398148148149</v>
      </c>
      <c r="N690" s="51" t="s">
        <v>250</v>
      </c>
      <c r="O690" s="51" t="s">
        <v>323</v>
      </c>
      <c r="P690" s="51" t="s">
        <v>636</v>
      </c>
      <c r="Q690" s="51" t="s">
        <v>80</v>
      </c>
      <c r="R690" s="51" t="s">
        <v>78</v>
      </c>
    </row>
    <row r="691" spans="1:18" x14ac:dyDescent="0.25">
      <c r="A691" s="13"/>
      <c r="B691" s="13"/>
      <c r="L691" s="52">
        <v>45762</v>
      </c>
      <c r="M691" s="53">
        <v>0.46929398148148149</v>
      </c>
      <c r="N691" s="51" t="s">
        <v>251</v>
      </c>
      <c r="O691" s="51" t="s">
        <v>323</v>
      </c>
      <c r="P691" s="51" t="s">
        <v>637</v>
      </c>
      <c r="Q691" s="51" t="s">
        <v>80</v>
      </c>
      <c r="R691" s="51" t="s">
        <v>78</v>
      </c>
    </row>
    <row r="692" spans="1:18" x14ac:dyDescent="0.25">
      <c r="A692" s="13"/>
      <c r="B692" s="13"/>
      <c r="L692" s="52">
        <v>45762</v>
      </c>
      <c r="M692" s="53">
        <v>0.46929398148148149</v>
      </c>
      <c r="N692" s="51" t="s">
        <v>252</v>
      </c>
      <c r="O692" s="51" t="s">
        <v>323</v>
      </c>
      <c r="P692" s="51" t="s">
        <v>638</v>
      </c>
      <c r="Q692" s="51" t="s">
        <v>80</v>
      </c>
      <c r="R692" s="51" t="s">
        <v>78</v>
      </c>
    </row>
    <row r="693" spans="1:18" x14ac:dyDescent="0.25">
      <c r="A693" s="13"/>
      <c r="B693" s="13"/>
      <c r="L693" s="52">
        <v>45762</v>
      </c>
      <c r="M693" s="53">
        <v>0.46929398148148149</v>
      </c>
      <c r="N693" s="51" t="s">
        <v>253</v>
      </c>
      <c r="O693" s="51" t="s">
        <v>323</v>
      </c>
      <c r="P693" s="51" t="s">
        <v>639</v>
      </c>
      <c r="Q693" s="51" t="s">
        <v>80</v>
      </c>
      <c r="R693" s="51" t="s">
        <v>78</v>
      </c>
    </row>
    <row r="694" spans="1:18" x14ac:dyDescent="0.25">
      <c r="A694" s="13"/>
      <c r="B694" s="13"/>
      <c r="L694" s="52">
        <v>45762</v>
      </c>
      <c r="M694" s="53">
        <v>0.46929398148148149</v>
      </c>
      <c r="N694" s="51" t="s">
        <v>254</v>
      </c>
      <c r="O694" s="51" t="s">
        <v>323</v>
      </c>
      <c r="P694" s="51" t="s">
        <v>640</v>
      </c>
      <c r="Q694" s="51" t="s">
        <v>80</v>
      </c>
      <c r="R694" s="51" t="s">
        <v>78</v>
      </c>
    </row>
    <row r="695" spans="1:18" x14ac:dyDescent="0.25">
      <c r="A695" s="13"/>
      <c r="B695" s="13"/>
      <c r="L695" s="52">
        <v>45762</v>
      </c>
      <c r="M695" s="53">
        <v>0.46929398148148149</v>
      </c>
      <c r="N695" s="51" t="s">
        <v>255</v>
      </c>
      <c r="O695" s="51" t="s">
        <v>323</v>
      </c>
      <c r="P695" s="51" t="s">
        <v>641</v>
      </c>
      <c r="Q695" s="51" t="s">
        <v>80</v>
      </c>
      <c r="R695" s="51" t="s">
        <v>78</v>
      </c>
    </row>
    <row r="696" spans="1:18" x14ac:dyDescent="0.25">
      <c r="A696" s="13"/>
      <c r="B696" s="13"/>
      <c r="L696" s="52">
        <v>45762</v>
      </c>
      <c r="M696" s="53">
        <v>0.46929398148148149</v>
      </c>
      <c r="N696" s="51" t="s">
        <v>256</v>
      </c>
      <c r="O696" s="51" t="s">
        <v>323</v>
      </c>
      <c r="P696" s="51" t="s">
        <v>642</v>
      </c>
      <c r="Q696" s="51" t="s">
        <v>80</v>
      </c>
      <c r="R696" s="51" t="s">
        <v>78</v>
      </c>
    </row>
    <row r="697" spans="1:18" x14ac:dyDescent="0.25">
      <c r="A697" s="13"/>
      <c r="B697" s="13"/>
      <c r="L697" s="52">
        <v>45762</v>
      </c>
      <c r="M697" s="53">
        <v>0.46929398148148149</v>
      </c>
      <c r="N697" s="51" t="s">
        <v>257</v>
      </c>
      <c r="O697" s="51" t="s">
        <v>323</v>
      </c>
      <c r="P697" s="51" t="s">
        <v>643</v>
      </c>
      <c r="Q697" s="51" t="s">
        <v>80</v>
      </c>
      <c r="R697" s="51" t="s">
        <v>78</v>
      </c>
    </row>
    <row r="698" spans="1:18" x14ac:dyDescent="0.25">
      <c r="A698" s="13"/>
      <c r="B698" s="13"/>
      <c r="L698" s="52">
        <v>45762</v>
      </c>
      <c r="M698" s="53">
        <v>0.46929398148148149</v>
      </c>
      <c r="N698" s="51" t="s">
        <v>258</v>
      </c>
      <c r="O698" s="51" t="s">
        <v>323</v>
      </c>
      <c r="P698" s="51" t="s">
        <v>644</v>
      </c>
      <c r="Q698" s="51" t="s">
        <v>80</v>
      </c>
      <c r="R698" s="51" t="s">
        <v>78</v>
      </c>
    </row>
    <row r="699" spans="1:18" x14ac:dyDescent="0.25">
      <c r="A699" s="13"/>
      <c r="B699" s="13"/>
      <c r="L699" s="52">
        <v>45762</v>
      </c>
      <c r="M699" s="53">
        <v>0.46929398148148149</v>
      </c>
      <c r="N699" s="51" t="s">
        <v>259</v>
      </c>
      <c r="O699" s="51" t="s">
        <v>323</v>
      </c>
      <c r="P699" s="51" t="s">
        <v>645</v>
      </c>
      <c r="Q699" s="51" t="s">
        <v>80</v>
      </c>
      <c r="R699" s="51" t="s">
        <v>78</v>
      </c>
    </row>
    <row r="700" spans="1:18" x14ac:dyDescent="0.25">
      <c r="A700" s="13"/>
      <c r="B700" s="13"/>
      <c r="L700" s="52">
        <v>45762</v>
      </c>
      <c r="M700" s="53">
        <v>0.46929398148148149</v>
      </c>
      <c r="N700" s="51" t="s">
        <v>260</v>
      </c>
      <c r="O700" s="51" t="s">
        <v>323</v>
      </c>
      <c r="P700" s="51" t="s">
        <v>646</v>
      </c>
      <c r="Q700" s="51" t="s">
        <v>80</v>
      </c>
      <c r="R700" s="51" t="s">
        <v>78</v>
      </c>
    </row>
    <row r="701" spans="1:18" x14ac:dyDescent="0.25">
      <c r="A701" s="13"/>
      <c r="B701" s="13"/>
      <c r="L701" s="52">
        <v>45762</v>
      </c>
      <c r="M701" s="53">
        <v>0.46929398148148149</v>
      </c>
      <c r="N701" s="51" t="s">
        <v>261</v>
      </c>
      <c r="O701" s="51" t="s">
        <v>323</v>
      </c>
      <c r="P701" s="51" t="s">
        <v>647</v>
      </c>
      <c r="Q701" s="51" t="s">
        <v>80</v>
      </c>
      <c r="R701" s="51" t="s">
        <v>78</v>
      </c>
    </row>
    <row r="702" spans="1:18" x14ac:dyDescent="0.25">
      <c r="A702" s="13"/>
      <c r="B702" s="13"/>
      <c r="L702" s="52">
        <v>45762</v>
      </c>
      <c r="M702" s="53">
        <v>0.46929398148148149</v>
      </c>
      <c r="N702" s="51" t="s">
        <v>262</v>
      </c>
      <c r="O702" s="51" t="s">
        <v>323</v>
      </c>
      <c r="P702" s="51" t="s">
        <v>648</v>
      </c>
      <c r="Q702" s="51" t="s">
        <v>80</v>
      </c>
      <c r="R702" s="51" t="s">
        <v>78</v>
      </c>
    </row>
    <row r="703" spans="1:18" x14ac:dyDescent="0.25">
      <c r="A703" s="13"/>
      <c r="B703" s="13"/>
      <c r="L703" s="52">
        <v>45762</v>
      </c>
      <c r="M703" s="53">
        <v>0.46929398148148149</v>
      </c>
      <c r="N703" s="51" t="s">
        <v>263</v>
      </c>
      <c r="O703" s="51" t="s">
        <v>323</v>
      </c>
      <c r="P703" s="51" t="s">
        <v>649</v>
      </c>
      <c r="Q703" s="51" t="s">
        <v>80</v>
      </c>
      <c r="R703" s="51" t="s">
        <v>78</v>
      </c>
    </row>
    <row r="704" spans="1:18" x14ac:dyDescent="0.25">
      <c r="A704" s="13"/>
      <c r="B704" s="13"/>
      <c r="L704" s="52">
        <v>45762</v>
      </c>
      <c r="M704" s="53">
        <v>0.46929398148148149</v>
      </c>
      <c r="N704" s="51" t="s">
        <v>264</v>
      </c>
      <c r="O704" s="51" t="s">
        <v>323</v>
      </c>
      <c r="P704" s="51" t="s">
        <v>650</v>
      </c>
      <c r="Q704" s="51" t="s">
        <v>80</v>
      </c>
      <c r="R704" s="51" t="s">
        <v>78</v>
      </c>
    </row>
    <row r="705" spans="1:18" x14ac:dyDescent="0.25">
      <c r="A705" s="13"/>
      <c r="B705" s="13"/>
      <c r="L705" s="52">
        <v>45762</v>
      </c>
      <c r="M705" s="53">
        <v>0.46929398148148149</v>
      </c>
      <c r="N705" s="51" t="s">
        <v>265</v>
      </c>
      <c r="O705" s="51" t="s">
        <v>323</v>
      </c>
      <c r="P705" s="51" t="s">
        <v>651</v>
      </c>
      <c r="Q705" s="51" t="s">
        <v>80</v>
      </c>
      <c r="R705" s="51" t="s">
        <v>78</v>
      </c>
    </row>
    <row r="706" spans="1:18" x14ac:dyDescent="0.25">
      <c r="A706" s="13"/>
      <c r="B706" s="13"/>
      <c r="L706" s="52">
        <v>45762</v>
      </c>
      <c r="M706" s="53">
        <v>0.46929398148148149</v>
      </c>
      <c r="N706" s="51" t="s">
        <v>266</v>
      </c>
      <c r="O706" s="51" t="s">
        <v>323</v>
      </c>
      <c r="P706" s="51" t="s">
        <v>652</v>
      </c>
      <c r="Q706" s="51" t="s">
        <v>80</v>
      </c>
      <c r="R706" s="51" t="s">
        <v>78</v>
      </c>
    </row>
    <row r="707" spans="1:18" x14ac:dyDescent="0.25">
      <c r="A707" s="13"/>
      <c r="B707" s="13"/>
      <c r="L707" s="52">
        <v>45762</v>
      </c>
      <c r="M707" s="53">
        <v>0.46929398148148149</v>
      </c>
      <c r="N707" s="51" t="s">
        <v>267</v>
      </c>
      <c r="O707" s="51" t="s">
        <v>323</v>
      </c>
      <c r="P707" s="51" t="s">
        <v>653</v>
      </c>
      <c r="Q707" s="51" t="s">
        <v>80</v>
      </c>
      <c r="R707" s="51" t="s">
        <v>78</v>
      </c>
    </row>
    <row r="708" spans="1:18" x14ac:dyDescent="0.25">
      <c r="A708" s="13"/>
      <c r="B708" s="13"/>
      <c r="L708" s="52">
        <v>45762</v>
      </c>
      <c r="M708" s="53">
        <v>0.46929398148148149</v>
      </c>
      <c r="N708" s="51" t="s">
        <v>268</v>
      </c>
      <c r="O708" s="51" t="s">
        <v>323</v>
      </c>
      <c r="P708" s="51" t="s">
        <v>654</v>
      </c>
      <c r="Q708" s="51" t="s">
        <v>80</v>
      </c>
      <c r="R708" s="51" t="s">
        <v>78</v>
      </c>
    </row>
    <row r="709" spans="1:18" x14ac:dyDescent="0.25">
      <c r="A709" s="13"/>
      <c r="B709" s="13"/>
      <c r="L709" s="52">
        <v>45762</v>
      </c>
      <c r="M709" s="53">
        <v>0.46929398148148149</v>
      </c>
      <c r="N709" s="51" t="s">
        <v>269</v>
      </c>
      <c r="O709" s="51" t="s">
        <v>323</v>
      </c>
      <c r="P709" s="51" t="s">
        <v>655</v>
      </c>
      <c r="Q709" s="51" t="s">
        <v>80</v>
      </c>
      <c r="R709" s="51" t="s">
        <v>78</v>
      </c>
    </row>
    <row r="710" spans="1:18" x14ac:dyDescent="0.25">
      <c r="A710" s="13"/>
      <c r="B710" s="13"/>
      <c r="L710" s="52">
        <v>45762</v>
      </c>
      <c r="M710" s="53">
        <v>0.46929398148148149</v>
      </c>
      <c r="N710" s="51" t="s">
        <v>270</v>
      </c>
      <c r="O710" s="51" t="s">
        <v>323</v>
      </c>
      <c r="P710" s="51" t="s">
        <v>656</v>
      </c>
      <c r="Q710" s="51" t="s">
        <v>80</v>
      </c>
      <c r="R710" s="51" t="s">
        <v>78</v>
      </c>
    </row>
    <row r="711" spans="1:18" x14ac:dyDescent="0.25">
      <c r="A711" s="13"/>
      <c r="B711" s="13"/>
      <c r="L711" s="52">
        <v>45762</v>
      </c>
      <c r="M711" s="53">
        <v>0.46929398148148149</v>
      </c>
      <c r="N711" s="51" t="s">
        <v>271</v>
      </c>
      <c r="O711" s="51" t="s">
        <v>323</v>
      </c>
      <c r="P711" s="51" t="s">
        <v>657</v>
      </c>
      <c r="Q711" s="51" t="s">
        <v>80</v>
      </c>
      <c r="R711" s="51" t="s">
        <v>78</v>
      </c>
    </row>
    <row r="712" spans="1:18" x14ac:dyDescent="0.25">
      <c r="A712" s="13"/>
      <c r="B712" s="13"/>
      <c r="L712" s="52">
        <v>45762</v>
      </c>
      <c r="M712" s="53">
        <v>0.46929398148148149</v>
      </c>
      <c r="N712" s="51" t="s">
        <v>272</v>
      </c>
      <c r="O712" s="51" t="s">
        <v>323</v>
      </c>
      <c r="P712" s="51" t="s">
        <v>658</v>
      </c>
      <c r="Q712" s="51" t="s">
        <v>80</v>
      </c>
      <c r="R712" s="51" t="s">
        <v>78</v>
      </c>
    </row>
    <row r="713" spans="1:18" x14ac:dyDescent="0.25">
      <c r="A713" s="13"/>
      <c r="B713" s="13"/>
      <c r="L713" s="52">
        <v>45762</v>
      </c>
      <c r="M713" s="53">
        <v>0.46929398148148149</v>
      </c>
      <c r="N713" s="51" t="s">
        <v>273</v>
      </c>
      <c r="O713" s="51" t="s">
        <v>323</v>
      </c>
      <c r="P713" s="51" t="s">
        <v>659</v>
      </c>
      <c r="Q713" s="51" t="s">
        <v>80</v>
      </c>
      <c r="R713" s="51" t="s">
        <v>78</v>
      </c>
    </row>
    <row r="714" spans="1:18" x14ac:dyDescent="0.25">
      <c r="A714" s="13"/>
      <c r="B714" s="13"/>
      <c r="L714" s="52">
        <v>45762</v>
      </c>
      <c r="M714" s="53">
        <v>0.46929398148148149</v>
      </c>
      <c r="N714" s="51" t="s">
        <v>274</v>
      </c>
      <c r="O714" s="51" t="s">
        <v>323</v>
      </c>
      <c r="P714" s="51" t="s">
        <v>660</v>
      </c>
      <c r="Q714" s="51" t="s">
        <v>80</v>
      </c>
      <c r="R714" s="51" t="s">
        <v>78</v>
      </c>
    </row>
    <row r="715" spans="1:18" x14ac:dyDescent="0.25">
      <c r="A715" s="13"/>
      <c r="B715" s="13"/>
      <c r="L715" s="52">
        <v>45762</v>
      </c>
      <c r="M715" s="53">
        <v>0.46929398148148149</v>
      </c>
      <c r="N715" s="51" t="s">
        <v>275</v>
      </c>
      <c r="O715" s="51" t="s">
        <v>323</v>
      </c>
      <c r="P715" s="51" t="s">
        <v>661</v>
      </c>
      <c r="Q715" s="51" t="s">
        <v>80</v>
      </c>
      <c r="R715" s="51" t="s">
        <v>78</v>
      </c>
    </row>
    <row r="716" spans="1:18" x14ac:dyDescent="0.25">
      <c r="A716" s="13"/>
      <c r="B716" s="13"/>
      <c r="L716" s="52">
        <v>45762</v>
      </c>
      <c r="M716" s="53">
        <v>0.46929398148148149</v>
      </c>
      <c r="N716" s="51" t="s">
        <v>276</v>
      </c>
      <c r="O716" s="51" t="s">
        <v>323</v>
      </c>
      <c r="P716" s="51" t="s">
        <v>662</v>
      </c>
      <c r="Q716" s="51" t="s">
        <v>80</v>
      </c>
      <c r="R716" s="51" t="s">
        <v>78</v>
      </c>
    </row>
    <row r="717" spans="1:18" x14ac:dyDescent="0.25">
      <c r="A717" s="13"/>
      <c r="B717" s="13"/>
      <c r="L717" s="52">
        <v>45762</v>
      </c>
      <c r="M717" s="53">
        <v>0.46929398148148149</v>
      </c>
      <c r="N717" s="51" t="s">
        <v>277</v>
      </c>
      <c r="O717" s="51" t="s">
        <v>323</v>
      </c>
      <c r="P717" s="51" t="s">
        <v>663</v>
      </c>
      <c r="Q717" s="51" t="s">
        <v>80</v>
      </c>
      <c r="R717" s="51" t="s">
        <v>78</v>
      </c>
    </row>
    <row r="718" spans="1:18" x14ac:dyDescent="0.25">
      <c r="A718" s="13"/>
      <c r="B718" s="13"/>
      <c r="L718" s="52">
        <v>45762</v>
      </c>
      <c r="M718" s="53">
        <v>0.46929398148148149</v>
      </c>
      <c r="N718" s="51" t="s">
        <v>278</v>
      </c>
      <c r="O718" s="51" t="s">
        <v>323</v>
      </c>
      <c r="P718" s="51" t="s">
        <v>664</v>
      </c>
      <c r="Q718" s="51" t="s">
        <v>80</v>
      </c>
      <c r="R718" s="51" t="s">
        <v>78</v>
      </c>
    </row>
    <row r="719" spans="1:18" x14ac:dyDescent="0.25">
      <c r="A719" s="13"/>
      <c r="B719" s="13"/>
      <c r="L719" s="52">
        <v>45762</v>
      </c>
      <c r="M719" s="53">
        <v>0.46929398148148149</v>
      </c>
      <c r="N719" s="51" t="s">
        <v>279</v>
      </c>
      <c r="O719" s="51" t="s">
        <v>323</v>
      </c>
      <c r="P719" s="51" t="s">
        <v>665</v>
      </c>
      <c r="Q719" s="51" t="s">
        <v>80</v>
      </c>
      <c r="R719" s="51" t="s">
        <v>78</v>
      </c>
    </row>
    <row r="720" spans="1:18" x14ac:dyDescent="0.25">
      <c r="A720" s="13"/>
      <c r="B720" s="13"/>
      <c r="L720" s="52">
        <v>45762</v>
      </c>
      <c r="M720" s="53">
        <v>0.46929398148148149</v>
      </c>
      <c r="N720" s="51" t="s">
        <v>280</v>
      </c>
      <c r="O720" s="51" t="s">
        <v>323</v>
      </c>
      <c r="P720" s="51" t="s">
        <v>666</v>
      </c>
      <c r="Q720" s="51" t="s">
        <v>80</v>
      </c>
      <c r="R720" s="51" t="s">
        <v>78</v>
      </c>
    </row>
    <row r="721" spans="1:18" x14ac:dyDescent="0.25">
      <c r="A721" s="13"/>
      <c r="B721" s="13"/>
      <c r="L721" s="52">
        <v>45762</v>
      </c>
      <c r="M721" s="53">
        <v>0.46929398148148149</v>
      </c>
      <c r="N721" s="51" t="s">
        <v>281</v>
      </c>
      <c r="O721" s="51" t="s">
        <v>323</v>
      </c>
      <c r="P721" s="51" t="s">
        <v>667</v>
      </c>
      <c r="Q721" s="51" t="s">
        <v>80</v>
      </c>
      <c r="R721" s="51" t="s">
        <v>78</v>
      </c>
    </row>
    <row r="722" spans="1:18" x14ac:dyDescent="0.25">
      <c r="A722" s="13"/>
      <c r="B722" s="13"/>
      <c r="L722" s="52">
        <v>45762</v>
      </c>
      <c r="M722" s="53">
        <v>0.46929398148148149</v>
      </c>
      <c r="N722" s="51" t="s">
        <v>282</v>
      </c>
      <c r="O722" s="51" t="s">
        <v>323</v>
      </c>
      <c r="Q722" s="51" t="s">
        <v>524</v>
      </c>
      <c r="R722" s="51" t="s">
        <v>132</v>
      </c>
    </row>
    <row r="723" spans="1:18" x14ac:dyDescent="0.25">
      <c r="A723" s="13"/>
      <c r="B723" s="13"/>
      <c r="L723" s="52">
        <v>45762</v>
      </c>
      <c r="M723" s="53">
        <v>0.46929398148148149</v>
      </c>
      <c r="N723" s="51" t="s">
        <v>283</v>
      </c>
      <c r="O723" s="51" t="s">
        <v>323</v>
      </c>
      <c r="Q723" s="51" t="s">
        <v>524</v>
      </c>
      <c r="R723" s="51" t="s">
        <v>132</v>
      </c>
    </row>
    <row r="724" spans="1:18" x14ac:dyDescent="0.25">
      <c r="A724" s="13"/>
      <c r="B724" s="13"/>
      <c r="L724" s="52">
        <v>45762</v>
      </c>
      <c r="M724" s="53">
        <v>0.46929398148148149</v>
      </c>
      <c r="N724" s="51" t="s">
        <v>284</v>
      </c>
      <c r="O724" s="51" t="s">
        <v>323</v>
      </c>
      <c r="Q724" s="51" t="s">
        <v>524</v>
      </c>
      <c r="R724" s="51" t="s">
        <v>132</v>
      </c>
    </row>
    <row r="725" spans="1:18" x14ac:dyDescent="0.25">
      <c r="A725" s="13"/>
      <c r="B725" s="13"/>
      <c r="L725" s="52">
        <v>45762</v>
      </c>
      <c r="M725" s="53">
        <v>0.46929398148148149</v>
      </c>
      <c r="N725" s="51" t="s">
        <v>285</v>
      </c>
      <c r="O725" s="51" t="s">
        <v>323</v>
      </c>
      <c r="P725" s="51" t="s">
        <v>668</v>
      </c>
      <c r="Q725" s="51" t="s">
        <v>80</v>
      </c>
      <c r="R725" s="51" t="s">
        <v>78</v>
      </c>
    </row>
    <row r="726" spans="1:18" x14ac:dyDescent="0.25">
      <c r="A726" s="13"/>
      <c r="B726" s="13"/>
      <c r="L726" s="52">
        <v>45762</v>
      </c>
      <c r="M726" s="53">
        <v>0.46929398148148149</v>
      </c>
      <c r="N726" s="51" t="s">
        <v>286</v>
      </c>
      <c r="O726" s="51" t="s">
        <v>323</v>
      </c>
      <c r="P726" s="51" t="s">
        <v>669</v>
      </c>
      <c r="Q726" s="51" t="s">
        <v>80</v>
      </c>
      <c r="R726" s="51" t="s">
        <v>78</v>
      </c>
    </row>
    <row r="727" spans="1:18" x14ac:dyDescent="0.25">
      <c r="A727" s="13"/>
      <c r="B727" s="13"/>
      <c r="L727" s="52">
        <v>45762</v>
      </c>
      <c r="M727" s="53">
        <v>0.46929398148148149</v>
      </c>
      <c r="N727" s="51" t="s">
        <v>287</v>
      </c>
      <c r="O727" s="51" t="s">
        <v>323</v>
      </c>
      <c r="P727" s="51" t="s">
        <v>670</v>
      </c>
      <c r="Q727" s="51" t="s">
        <v>80</v>
      </c>
      <c r="R727" s="51" t="s">
        <v>78</v>
      </c>
    </row>
    <row r="728" spans="1:18" x14ac:dyDescent="0.25">
      <c r="A728" s="13"/>
      <c r="B728" s="13"/>
      <c r="L728" s="52">
        <v>45762</v>
      </c>
      <c r="M728" s="53">
        <v>0.46929398148148149</v>
      </c>
      <c r="N728" s="51" t="s">
        <v>288</v>
      </c>
      <c r="O728" s="51" t="s">
        <v>323</v>
      </c>
      <c r="P728" s="51" t="s">
        <v>671</v>
      </c>
      <c r="Q728" s="51" t="s">
        <v>80</v>
      </c>
      <c r="R728" s="51" t="s">
        <v>78</v>
      </c>
    </row>
    <row r="729" spans="1:18" x14ac:dyDescent="0.25">
      <c r="A729" s="13"/>
      <c r="B729" s="13"/>
      <c r="L729" s="52">
        <v>45762</v>
      </c>
      <c r="M729" s="53">
        <v>0.46929398148148149</v>
      </c>
      <c r="N729" s="51" t="s">
        <v>289</v>
      </c>
      <c r="O729" s="51" t="s">
        <v>323</v>
      </c>
      <c r="P729" s="51" t="s">
        <v>672</v>
      </c>
      <c r="Q729" s="51" t="s">
        <v>80</v>
      </c>
      <c r="R729" s="51" t="s">
        <v>78</v>
      </c>
    </row>
    <row r="730" spans="1:18" x14ac:dyDescent="0.25">
      <c r="A730" s="13"/>
      <c r="B730" s="13"/>
      <c r="L730" s="52">
        <v>45762</v>
      </c>
      <c r="M730" s="53">
        <v>0.46929398148148149</v>
      </c>
      <c r="N730" s="51" t="s">
        <v>290</v>
      </c>
      <c r="O730" s="51" t="s">
        <v>323</v>
      </c>
      <c r="P730" s="51" t="s">
        <v>673</v>
      </c>
      <c r="Q730" s="51" t="s">
        <v>80</v>
      </c>
      <c r="R730" s="51" t="s">
        <v>78</v>
      </c>
    </row>
    <row r="731" spans="1:18" x14ac:dyDescent="0.25">
      <c r="A731" s="13"/>
      <c r="B731" s="13"/>
      <c r="L731" s="52">
        <v>45762</v>
      </c>
      <c r="M731" s="53">
        <v>0.46929398148148149</v>
      </c>
      <c r="N731" s="51" t="s">
        <v>291</v>
      </c>
      <c r="O731" s="51" t="s">
        <v>323</v>
      </c>
      <c r="P731" s="51" t="s">
        <v>674</v>
      </c>
      <c r="Q731" s="51" t="s">
        <v>80</v>
      </c>
      <c r="R731" s="51" t="s">
        <v>78</v>
      </c>
    </row>
    <row r="732" spans="1:18" x14ac:dyDescent="0.25">
      <c r="A732" s="13"/>
      <c r="B732" s="13"/>
      <c r="L732" s="52">
        <v>45762</v>
      </c>
      <c r="M732" s="53">
        <v>0.46929398148148149</v>
      </c>
      <c r="N732" s="51" t="s">
        <v>292</v>
      </c>
      <c r="O732" s="51" t="s">
        <v>323</v>
      </c>
      <c r="P732" s="51" t="s">
        <v>675</v>
      </c>
      <c r="Q732" s="51" t="s">
        <v>80</v>
      </c>
      <c r="R732" s="51" t="s">
        <v>78</v>
      </c>
    </row>
    <row r="733" spans="1:18" x14ac:dyDescent="0.25">
      <c r="A733" s="13"/>
      <c r="B733" s="13"/>
      <c r="L733" s="52">
        <v>45762</v>
      </c>
      <c r="M733" s="53">
        <v>0.46929398148148149</v>
      </c>
      <c r="N733" s="51" t="s">
        <v>293</v>
      </c>
      <c r="O733" s="51" t="s">
        <v>323</v>
      </c>
      <c r="P733" s="51" t="s">
        <v>676</v>
      </c>
      <c r="Q733" s="51" t="s">
        <v>80</v>
      </c>
      <c r="R733" s="51" t="s">
        <v>78</v>
      </c>
    </row>
    <row r="734" spans="1:18" x14ac:dyDescent="0.25">
      <c r="A734" s="13"/>
      <c r="B734" s="13"/>
      <c r="L734" s="52">
        <v>45762</v>
      </c>
      <c r="M734" s="53">
        <v>0.46929398148148149</v>
      </c>
      <c r="N734" s="51" t="s">
        <v>294</v>
      </c>
      <c r="O734" s="51" t="s">
        <v>323</v>
      </c>
      <c r="P734" s="51" t="s">
        <v>677</v>
      </c>
      <c r="Q734" s="51" t="s">
        <v>80</v>
      </c>
      <c r="R734" s="51" t="s">
        <v>78</v>
      </c>
    </row>
    <row r="735" spans="1:18" x14ac:dyDescent="0.25">
      <c r="A735" s="13"/>
      <c r="B735" s="13"/>
      <c r="L735" s="52">
        <v>45762</v>
      </c>
      <c r="M735" s="53">
        <v>0.46929398148148149</v>
      </c>
      <c r="N735" s="51" t="s">
        <v>295</v>
      </c>
      <c r="O735" s="51" t="s">
        <v>323</v>
      </c>
      <c r="P735" s="51" t="s">
        <v>678</v>
      </c>
      <c r="Q735" s="51" t="s">
        <v>80</v>
      </c>
      <c r="R735" s="51" t="s">
        <v>78</v>
      </c>
    </row>
    <row r="736" spans="1:18" x14ac:dyDescent="0.25">
      <c r="A736" s="13"/>
      <c r="B736" s="13"/>
      <c r="L736" s="52">
        <v>45762</v>
      </c>
      <c r="M736" s="53">
        <v>0.46929398148148149</v>
      </c>
      <c r="N736" s="51" t="s">
        <v>296</v>
      </c>
      <c r="O736" s="51" t="s">
        <v>323</v>
      </c>
      <c r="P736" s="51" t="s">
        <v>679</v>
      </c>
      <c r="Q736" s="51" t="s">
        <v>80</v>
      </c>
      <c r="R736" s="51" t="s">
        <v>78</v>
      </c>
    </row>
    <row r="737" spans="1:18" x14ac:dyDescent="0.25">
      <c r="A737" s="13"/>
      <c r="B737" s="13"/>
      <c r="L737" s="52">
        <v>45762</v>
      </c>
      <c r="M737" s="53">
        <v>0.46929398148148149</v>
      </c>
      <c r="N737" s="51" t="s">
        <v>297</v>
      </c>
      <c r="O737" s="51" t="s">
        <v>323</v>
      </c>
      <c r="P737" s="51" t="s">
        <v>680</v>
      </c>
      <c r="Q737" s="51" t="s">
        <v>80</v>
      </c>
      <c r="R737" s="51" t="s">
        <v>78</v>
      </c>
    </row>
    <row r="738" spans="1:18" x14ac:dyDescent="0.25">
      <c r="A738" s="13"/>
      <c r="B738" s="13"/>
      <c r="L738" s="52">
        <v>45762</v>
      </c>
      <c r="M738" s="53">
        <v>0.46929398148148149</v>
      </c>
      <c r="N738" s="51" t="s">
        <v>298</v>
      </c>
      <c r="O738" s="51" t="s">
        <v>323</v>
      </c>
      <c r="P738" s="51" t="s">
        <v>681</v>
      </c>
      <c r="Q738" s="51" t="s">
        <v>80</v>
      </c>
      <c r="R738" s="51" t="s">
        <v>78</v>
      </c>
    </row>
    <row r="739" spans="1:18" x14ac:dyDescent="0.25">
      <c r="A739" s="13"/>
      <c r="B739" s="13"/>
      <c r="L739" s="52">
        <v>45762</v>
      </c>
      <c r="M739" s="53">
        <v>0.46929398148148149</v>
      </c>
      <c r="N739" s="51" t="s">
        <v>299</v>
      </c>
      <c r="O739" s="51" t="s">
        <v>323</v>
      </c>
      <c r="P739" s="51" t="s">
        <v>682</v>
      </c>
      <c r="Q739" s="51" t="s">
        <v>80</v>
      </c>
      <c r="R739" s="51" t="s">
        <v>78</v>
      </c>
    </row>
    <row r="740" spans="1:18" x14ac:dyDescent="0.25">
      <c r="A740" s="13"/>
      <c r="B740" s="13"/>
      <c r="L740" s="52">
        <v>45762</v>
      </c>
      <c r="M740" s="53">
        <v>0.46929398148148149</v>
      </c>
      <c r="N740" s="51" t="s">
        <v>300</v>
      </c>
      <c r="O740" s="51" t="s">
        <v>323</v>
      </c>
      <c r="P740" s="51" t="s">
        <v>683</v>
      </c>
      <c r="Q740" s="51" t="s">
        <v>80</v>
      </c>
      <c r="R740" s="51" t="s">
        <v>78</v>
      </c>
    </row>
    <row r="741" spans="1:18" x14ac:dyDescent="0.25">
      <c r="A741" s="13"/>
      <c r="B741" s="13"/>
      <c r="L741" s="52">
        <v>45762</v>
      </c>
      <c r="M741" s="53">
        <v>0.46929398148148149</v>
      </c>
      <c r="N741" s="51" t="s">
        <v>301</v>
      </c>
      <c r="O741" s="51" t="s">
        <v>323</v>
      </c>
      <c r="P741" s="51" t="s">
        <v>684</v>
      </c>
      <c r="Q741" s="51" t="s">
        <v>80</v>
      </c>
      <c r="R741" s="51" t="s">
        <v>78</v>
      </c>
    </row>
    <row r="742" spans="1:18" x14ac:dyDescent="0.25">
      <c r="A742" s="13"/>
      <c r="B742" s="13"/>
      <c r="L742" s="52">
        <v>45762</v>
      </c>
      <c r="M742" s="53">
        <v>0.46929398148148149</v>
      </c>
      <c r="N742" s="51" t="s">
        <v>302</v>
      </c>
      <c r="O742" s="51" t="s">
        <v>323</v>
      </c>
      <c r="P742" s="51" t="s">
        <v>685</v>
      </c>
      <c r="Q742" s="51" t="s">
        <v>80</v>
      </c>
      <c r="R742" s="51" t="s">
        <v>78</v>
      </c>
    </row>
    <row r="743" spans="1:18" x14ac:dyDescent="0.25">
      <c r="A743" s="13"/>
      <c r="B743" s="13"/>
      <c r="L743" s="52">
        <v>45762</v>
      </c>
      <c r="M743" s="53">
        <v>0.46929398148148149</v>
      </c>
      <c r="N743" s="51" t="s">
        <v>303</v>
      </c>
      <c r="O743" s="51" t="s">
        <v>323</v>
      </c>
      <c r="P743" s="51" t="s">
        <v>686</v>
      </c>
      <c r="Q743" s="51" t="s">
        <v>80</v>
      </c>
      <c r="R743" s="51" t="s">
        <v>78</v>
      </c>
    </row>
    <row r="744" spans="1:18" x14ac:dyDescent="0.25">
      <c r="A744" s="13"/>
      <c r="B744" s="13"/>
      <c r="L744" s="52">
        <v>45762</v>
      </c>
      <c r="M744" s="53">
        <v>0.46929398148148149</v>
      </c>
      <c r="N744" s="51" t="s">
        <v>304</v>
      </c>
      <c r="O744" s="51" t="s">
        <v>323</v>
      </c>
      <c r="P744" s="51" t="s">
        <v>687</v>
      </c>
      <c r="Q744" s="51" t="s">
        <v>80</v>
      </c>
      <c r="R744" s="51" t="s">
        <v>78</v>
      </c>
    </row>
    <row r="745" spans="1:18" x14ac:dyDescent="0.25">
      <c r="A745" s="13"/>
      <c r="B745" s="13"/>
      <c r="L745" s="52">
        <v>45762</v>
      </c>
      <c r="M745" s="53">
        <v>0.46929398148148149</v>
      </c>
      <c r="N745" s="51" t="s">
        <v>305</v>
      </c>
      <c r="O745" s="51" t="s">
        <v>323</v>
      </c>
      <c r="P745" s="51" t="s">
        <v>688</v>
      </c>
      <c r="Q745" s="51" t="s">
        <v>80</v>
      </c>
      <c r="R745" s="51" t="s">
        <v>78</v>
      </c>
    </row>
    <row r="746" spans="1:18" x14ac:dyDescent="0.25">
      <c r="A746" s="13"/>
      <c r="B746" s="13"/>
      <c r="L746" s="52">
        <v>45762</v>
      </c>
      <c r="M746" s="53">
        <v>0.46930555555555553</v>
      </c>
      <c r="N746" s="51" t="s">
        <v>306</v>
      </c>
      <c r="O746" s="51" t="s">
        <v>323</v>
      </c>
      <c r="P746" s="51" t="s">
        <v>689</v>
      </c>
      <c r="Q746" s="51" t="s">
        <v>80</v>
      </c>
      <c r="R746" s="51" t="s">
        <v>78</v>
      </c>
    </row>
    <row r="747" spans="1:18" x14ac:dyDescent="0.25">
      <c r="A747" s="13"/>
      <c r="B747" s="13"/>
      <c r="L747" s="52">
        <v>45762</v>
      </c>
      <c r="M747" s="53">
        <v>0.46930555555555553</v>
      </c>
      <c r="N747" s="51" t="s">
        <v>307</v>
      </c>
      <c r="O747" s="51" t="s">
        <v>323</v>
      </c>
      <c r="P747" s="51" t="s">
        <v>690</v>
      </c>
      <c r="Q747" s="51" t="s">
        <v>80</v>
      </c>
      <c r="R747" s="51" t="s">
        <v>78</v>
      </c>
    </row>
    <row r="748" spans="1:18" x14ac:dyDescent="0.25">
      <c r="A748" s="13"/>
      <c r="B748" s="13"/>
      <c r="L748" s="52">
        <v>45762</v>
      </c>
      <c r="M748" s="53">
        <v>0.46930555555555553</v>
      </c>
      <c r="N748" s="51" t="s">
        <v>308</v>
      </c>
      <c r="O748" s="51" t="s">
        <v>323</v>
      </c>
      <c r="P748" s="51" t="s">
        <v>691</v>
      </c>
      <c r="Q748" s="51" t="s">
        <v>80</v>
      </c>
      <c r="R748" s="51" t="s">
        <v>78</v>
      </c>
    </row>
    <row r="749" spans="1:18" x14ac:dyDescent="0.25">
      <c r="A749" s="13"/>
      <c r="B749" s="13"/>
      <c r="L749" s="52">
        <v>45762</v>
      </c>
      <c r="M749" s="53">
        <v>0.46930555555555553</v>
      </c>
      <c r="N749" s="51" t="s">
        <v>309</v>
      </c>
      <c r="O749" s="51" t="s">
        <v>323</v>
      </c>
      <c r="P749" s="51" t="s">
        <v>692</v>
      </c>
      <c r="Q749" s="51" t="s">
        <v>80</v>
      </c>
      <c r="R749" s="51" t="s">
        <v>78</v>
      </c>
    </row>
    <row r="750" spans="1:18" x14ac:dyDescent="0.25">
      <c r="A750" s="13"/>
      <c r="B750" s="13"/>
      <c r="L750" s="52">
        <v>45762</v>
      </c>
      <c r="M750" s="53">
        <v>0.46930555555555553</v>
      </c>
      <c r="N750" s="51" t="s">
        <v>310</v>
      </c>
      <c r="O750" s="51" t="s">
        <v>323</v>
      </c>
      <c r="P750" s="51" t="s">
        <v>693</v>
      </c>
      <c r="Q750" s="51" t="s">
        <v>80</v>
      </c>
      <c r="R750" s="51" t="s">
        <v>78</v>
      </c>
    </row>
    <row r="751" spans="1:18" x14ac:dyDescent="0.25">
      <c r="A751" s="13"/>
      <c r="B751" s="13"/>
      <c r="L751" s="52">
        <v>45762</v>
      </c>
      <c r="M751" s="53">
        <v>0.46930555555555553</v>
      </c>
      <c r="N751" s="51" t="s">
        <v>311</v>
      </c>
      <c r="O751" s="51" t="s">
        <v>323</v>
      </c>
      <c r="P751" s="51" t="s">
        <v>694</v>
      </c>
      <c r="Q751" s="51" t="s">
        <v>80</v>
      </c>
      <c r="R751" s="51" t="s">
        <v>78</v>
      </c>
    </row>
    <row r="752" spans="1:18" x14ac:dyDescent="0.25">
      <c r="A752" s="13"/>
      <c r="B752" s="13"/>
      <c r="L752" s="52">
        <v>45762</v>
      </c>
      <c r="M752" s="53">
        <v>0.46930555555555553</v>
      </c>
      <c r="N752" s="51" t="s">
        <v>312</v>
      </c>
      <c r="O752" s="51" t="s">
        <v>323</v>
      </c>
      <c r="P752" s="51" t="s">
        <v>695</v>
      </c>
      <c r="Q752" s="51" t="s">
        <v>80</v>
      </c>
      <c r="R752" s="51" t="s">
        <v>78</v>
      </c>
    </row>
    <row r="753" spans="1:18" x14ac:dyDescent="0.25">
      <c r="A753" s="13"/>
      <c r="B753" s="13"/>
      <c r="L753" s="52">
        <v>45762</v>
      </c>
      <c r="M753" s="53">
        <v>0.46930555555555553</v>
      </c>
      <c r="N753" s="51" t="s">
        <v>313</v>
      </c>
      <c r="O753" s="51" t="s">
        <v>323</v>
      </c>
      <c r="P753" s="51" t="s">
        <v>696</v>
      </c>
      <c r="Q753" s="51" t="s">
        <v>80</v>
      </c>
      <c r="R753" s="51" t="s">
        <v>78</v>
      </c>
    </row>
    <row r="754" spans="1:18" x14ac:dyDescent="0.25">
      <c r="A754" s="13"/>
      <c r="B754" s="13"/>
      <c r="L754" s="52">
        <v>45762</v>
      </c>
      <c r="M754" s="53">
        <v>0.46930555555555553</v>
      </c>
      <c r="N754" s="51" t="s">
        <v>314</v>
      </c>
      <c r="O754" s="51" t="s">
        <v>323</v>
      </c>
      <c r="P754" s="51" t="s">
        <v>697</v>
      </c>
      <c r="Q754" s="51" t="s">
        <v>80</v>
      </c>
      <c r="R754" s="51" t="s">
        <v>78</v>
      </c>
    </row>
    <row r="755" spans="1:18" x14ac:dyDescent="0.25">
      <c r="A755" s="13"/>
      <c r="B755" s="13"/>
      <c r="L755" s="52">
        <v>45762</v>
      </c>
      <c r="M755" s="53">
        <v>0.46930555555555553</v>
      </c>
      <c r="N755" s="51" t="s">
        <v>315</v>
      </c>
      <c r="O755" s="51" t="s">
        <v>323</v>
      </c>
      <c r="P755" s="51" t="s">
        <v>698</v>
      </c>
      <c r="Q755" s="51" t="s">
        <v>80</v>
      </c>
      <c r="R755" s="51" t="s">
        <v>78</v>
      </c>
    </row>
    <row r="756" spans="1:18" x14ac:dyDescent="0.25">
      <c r="A756" s="13"/>
      <c r="B756" s="13"/>
      <c r="L756" s="52">
        <v>45762</v>
      </c>
      <c r="M756" s="53">
        <v>0.46930555555555553</v>
      </c>
      <c r="N756" s="51" t="s">
        <v>316</v>
      </c>
      <c r="O756" s="51" t="s">
        <v>323</v>
      </c>
      <c r="P756" s="51" t="s">
        <v>699</v>
      </c>
      <c r="Q756" s="51" t="s">
        <v>80</v>
      </c>
      <c r="R756" s="51" t="s">
        <v>78</v>
      </c>
    </row>
    <row r="757" spans="1:18" x14ac:dyDescent="0.25">
      <c r="A757" s="13"/>
      <c r="B757" s="13"/>
      <c r="L757" s="52">
        <v>45762</v>
      </c>
      <c r="M757" s="53">
        <v>0.46930555555555553</v>
      </c>
      <c r="N757" s="51" t="s">
        <v>317</v>
      </c>
      <c r="O757" s="51" t="s">
        <v>323</v>
      </c>
      <c r="P757" s="51" t="s">
        <v>700</v>
      </c>
      <c r="Q757" s="51" t="s">
        <v>80</v>
      </c>
      <c r="R757" s="51" t="s">
        <v>78</v>
      </c>
    </row>
    <row r="758" spans="1:18" x14ac:dyDescent="0.25">
      <c r="A758" s="13"/>
      <c r="B758" s="13"/>
      <c r="L758" s="52">
        <v>45762</v>
      </c>
      <c r="M758" s="53">
        <v>0.46930555555555553</v>
      </c>
      <c r="N758" s="51" t="s">
        <v>318</v>
      </c>
      <c r="O758" s="51" t="s">
        <v>323</v>
      </c>
      <c r="P758" s="51" t="s">
        <v>701</v>
      </c>
      <c r="Q758" s="51" t="s">
        <v>80</v>
      </c>
      <c r="R758" s="51" t="s">
        <v>78</v>
      </c>
    </row>
    <row r="759" spans="1:18" x14ac:dyDescent="0.25">
      <c r="A759" s="13"/>
      <c r="B759" s="13"/>
      <c r="L759" s="52">
        <v>45762</v>
      </c>
      <c r="M759" s="53">
        <v>0.46930555555555553</v>
      </c>
      <c r="N759" s="51" t="s">
        <v>319</v>
      </c>
      <c r="O759" s="51" t="s">
        <v>323</v>
      </c>
      <c r="P759" s="51" t="s">
        <v>702</v>
      </c>
      <c r="Q759" s="51" t="s">
        <v>80</v>
      </c>
      <c r="R759" s="51" t="s">
        <v>78</v>
      </c>
    </row>
    <row r="760" spans="1:18" x14ac:dyDescent="0.25">
      <c r="A760" s="13"/>
      <c r="B760" s="13"/>
      <c r="L760" s="52">
        <v>45762</v>
      </c>
      <c r="M760" s="53">
        <v>0.46930555555555553</v>
      </c>
      <c r="N760" s="51" t="s">
        <v>320</v>
      </c>
      <c r="O760" s="51" t="s">
        <v>323</v>
      </c>
      <c r="P760" s="51" t="s">
        <v>703</v>
      </c>
      <c r="Q760" s="51" t="s">
        <v>80</v>
      </c>
      <c r="R760" s="51" t="s">
        <v>78</v>
      </c>
    </row>
    <row r="761" spans="1:18" x14ac:dyDescent="0.25">
      <c r="A761" s="13"/>
      <c r="B761" s="13"/>
      <c r="L761" s="52">
        <v>45762</v>
      </c>
      <c r="M761" s="53">
        <v>0.46930555555555553</v>
      </c>
      <c r="N761" s="51" t="s">
        <v>321</v>
      </c>
      <c r="O761" s="51" t="s">
        <v>323</v>
      </c>
      <c r="P761" s="51" t="s">
        <v>704</v>
      </c>
      <c r="Q761" s="51" t="s">
        <v>80</v>
      </c>
      <c r="R761" s="51" t="s">
        <v>78</v>
      </c>
    </row>
    <row r="762" spans="1:18" x14ac:dyDescent="0.25">
      <c r="A762" s="13"/>
      <c r="B762" s="13"/>
      <c r="L762" s="52">
        <v>45762</v>
      </c>
      <c r="M762" s="53">
        <v>0.46930555555555553</v>
      </c>
      <c r="O762" s="51" t="s">
        <v>324</v>
      </c>
      <c r="Q762" s="51" t="s">
        <v>705</v>
      </c>
      <c r="R762" s="51" t="s">
        <v>78</v>
      </c>
    </row>
    <row r="763" spans="1:18" x14ac:dyDescent="0.25">
      <c r="A763" s="13"/>
      <c r="B763" s="13"/>
      <c r="L763" s="52">
        <v>45762</v>
      </c>
      <c r="M763" s="53">
        <v>0.46938657407407408</v>
      </c>
      <c r="O763" s="51" t="s">
        <v>324</v>
      </c>
      <c r="Q763" s="51" t="s">
        <v>330</v>
      </c>
      <c r="R763" s="51" t="s">
        <v>78</v>
      </c>
    </row>
    <row r="764" spans="1:18" x14ac:dyDescent="0.25">
      <c r="A764" s="13"/>
      <c r="B764" s="13"/>
      <c r="L764" s="52">
        <v>45762</v>
      </c>
      <c r="M764" s="53">
        <v>0.46938657407407408</v>
      </c>
      <c r="O764" s="51" t="s">
        <v>324</v>
      </c>
      <c r="Q764" s="51" t="s">
        <v>706</v>
      </c>
      <c r="R764" s="51" t="s">
        <v>78</v>
      </c>
    </row>
    <row r="765" spans="1:18" x14ac:dyDescent="0.25">
      <c r="A765" s="13"/>
      <c r="B765" s="13"/>
      <c r="L765" s="52">
        <v>45762</v>
      </c>
      <c r="M765" s="53">
        <v>0.46938657407407408</v>
      </c>
      <c r="N765" s="51" t="s">
        <v>138</v>
      </c>
      <c r="O765" s="51" t="s">
        <v>324</v>
      </c>
      <c r="P765" s="51" t="s">
        <v>707</v>
      </c>
      <c r="Q765" s="51" t="s">
        <v>80</v>
      </c>
      <c r="R765" s="51" t="s">
        <v>78</v>
      </c>
    </row>
    <row r="766" spans="1:18" x14ac:dyDescent="0.25">
      <c r="A766" s="13"/>
      <c r="B766" s="13"/>
      <c r="L766" s="52">
        <v>45762</v>
      </c>
      <c r="M766" s="53">
        <v>0.46938657407407408</v>
      </c>
      <c r="N766" s="51" t="s">
        <v>139</v>
      </c>
      <c r="O766" s="51" t="s">
        <v>324</v>
      </c>
      <c r="P766" s="51" t="s">
        <v>708</v>
      </c>
      <c r="Q766" s="51" t="s">
        <v>80</v>
      </c>
      <c r="R766" s="51" t="s">
        <v>78</v>
      </c>
    </row>
    <row r="767" spans="1:18" x14ac:dyDescent="0.25">
      <c r="A767" s="13"/>
      <c r="B767" s="13"/>
      <c r="L767" s="52">
        <v>45762</v>
      </c>
      <c r="M767" s="53">
        <v>0.46938657407407408</v>
      </c>
      <c r="N767" s="51" t="s">
        <v>140</v>
      </c>
      <c r="O767" s="51" t="s">
        <v>324</v>
      </c>
      <c r="P767" s="51" t="s">
        <v>709</v>
      </c>
      <c r="Q767" s="51" t="s">
        <v>80</v>
      </c>
      <c r="R767" s="51" t="s">
        <v>78</v>
      </c>
    </row>
    <row r="768" spans="1:18" x14ac:dyDescent="0.25">
      <c r="A768" s="13"/>
      <c r="B768" s="13"/>
      <c r="L768" s="52">
        <v>45762</v>
      </c>
      <c r="M768" s="53">
        <v>0.46938657407407408</v>
      </c>
      <c r="N768" s="51" t="s">
        <v>141</v>
      </c>
      <c r="O768" s="51" t="s">
        <v>324</v>
      </c>
      <c r="P768" s="51" t="s">
        <v>710</v>
      </c>
      <c r="Q768" s="51" t="s">
        <v>80</v>
      </c>
      <c r="R768" s="51" t="s">
        <v>78</v>
      </c>
    </row>
    <row r="769" spans="1:18" x14ac:dyDescent="0.25">
      <c r="A769" s="13"/>
      <c r="B769" s="13"/>
      <c r="L769" s="52">
        <v>45762</v>
      </c>
      <c r="M769" s="53">
        <v>0.46938657407407408</v>
      </c>
      <c r="N769" s="51" t="s">
        <v>142</v>
      </c>
      <c r="O769" s="51" t="s">
        <v>324</v>
      </c>
      <c r="P769" s="51" t="s">
        <v>711</v>
      </c>
      <c r="Q769" s="51" t="s">
        <v>80</v>
      </c>
      <c r="R769" s="51" t="s">
        <v>78</v>
      </c>
    </row>
    <row r="770" spans="1:18" x14ac:dyDescent="0.25">
      <c r="A770" s="13"/>
      <c r="B770" s="13"/>
      <c r="L770" s="52">
        <v>45762</v>
      </c>
      <c r="M770" s="53">
        <v>0.46938657407407408</v>
      </c>
      <c r="N770" s="51" t="s">
        <v>143</v>
      </c>
      <c r="O770" s="51" t="s">
        <v>324</v>
      </c>
      <c r="P770" s="51" t="s">
        <v>712</v>
      </c>
      <c r="Q770" s="51" t="s">
        <v>80</v>
      </c>
      <c r="R770" s="51" t="s">
        <v>78</v>
      </c>
    </row>
    <row r="771" spans="1:18" x14ac:dyDescent="0.25">
      <c r="A771" s="13"/>
      <c r="B771" s="13"/>
      <c r="L771" s="52">
        <v>45762</v>
      </c>
      <c r="M771" s="53">
        <v>0.46938657407407408</v>
      </c>
      <c r="N771" s="51" t="s">
        <v>144</v>
      </c>
      <c r="O771" s="51" t="s">
        <v>324</v>
      </c>
      <c r="P771" s="51" t="s">
        <v>713</v>
      </c>
      <c r="Q771" s="51" t="s">
        <v>80</v>
      </c>
      <c r="R771" s="51" t="s">
        <v>78</v>
      </c>
    </row>
    <row r="772" spans="1:18" x14ac:dyDescent="0.25">
      <c r="A772" s="13"/>
      <c r="B772" s="13"/>
      <c r="L772" s="52">
        <v>45762</v>
      </c>
      <c r="M772" s="53">
        <v>0.46938657407407408</v>
      </c>
      <c r="N772" s="51" t="s">
        <v>145</v>
      </c>
      <c r="O772" s="51" t="s">
        <v>324</v>
      </c>
      <c r="P772" s="51" t="s">
        <v>714</v>
      </c>
      <c r="Q772" s="51" t="s">
        <v>80</v>
      </c>
      <c r="R772" s="51" t="s">
        <v>78</v>
      </c>
    </row>
    <row r="773" spans="1:18" x14ac:dyDescent="0.25">
      <c r="A773" s="13"/>
      <c r="B773" s="13"/>
      <c r="L773" s="52">
        <v>45762</v>
      </c>
      <c r="M773" s="53">
        <v>0.46938657407407408</v>
      </c>
      <c r="N773" s="51" t="s">
        <v>146</v>
      </c>
      <c r="O773" s="51" t="s">
        <v>324</v>
      </c>
      <c r="Q773" s="51" t="s">
        <v>524</v>
      </c>
      <c r="R773" s="51" t="s">
        <v>132</v>
      </c>
    </row>
    <row r="774" spans="1:18" x14ac:dyDescent="0.25">
      <c r="A774" s="13"/>
      <c r="B774" s="13"/>
      <c r="L774" s="52">
        <v>45762</v>
      </c>
      <c r="M774" s="53">
        <v>0.46938657407407408</v>
      </c>
      <c r="N774" s="51" t="s">
        <v>147</v>
      </c>
      <c r="O774" s="51" t="s">
        <v>324</v>
      </c>
      <c r="Q774" s="51" t="s">
        <v>524</v>
      </c>
      <c r="R774" s="51" t="s">
        <v>132</v>
      </c>
    </row>
    <row r="775" spans="1:18" x14ac:dyDescent="0.25">
      <c r="A775" s="13"/>
      <c r="B775" s="13"/>
      <c r="L775" s="52">
        <v>45762</v>
      </c>
      <c r="M775" s="53">
        <v>0.46938657407407408</v>
      </c>
      <c r="N775" s="51" t="s">
        <v>148</v>
      </c>
      <c r="O775" s="51" t="s">
        <v>324</v>
      </c>
      <c r="Q775" s="51" t="s">
        <v>524</v>
      </c>
      <c r="R775" s="51" t="s">
        <v>132</v>
      </c>
    </row>
    <row r="776" spans="1:18" x14ac:dyDescent="0.25">
      <c r="A776" s="13"/>
      <c r="B776" s="13"/>
      <c r="L776" s="52">
        <v>45762</v>
      </c>
      <c r="M776" s="53">
        <v>0.46938657407407408</v>
      </c>
      <c r="N776" s="51" t="s">
        <v>149</v>
      </c>
      <c r="O776" s="51" t="s">
        <v>324</v>
      </c>
      <c r="Q776" s="51" t="s">
        <v>524</v>
      </c>
      <c r="R776" s="51" t="s">
        <v>132</v>
      </c>
    </row>
    <row r="777" spans="1:18" x14ac:dyDescent="0.25">
      <c r="A777" s="13"/>
      <c r="B777" s="13"/>
      <c r="L777" s="52">
        <v>45762</v>
      </c>
      <c r="M777" s="53">
        <v>0.46938657407407408</v>
      </c>
      <c r="N777" s="51" t="s">
        <v>150</v>
      </c>
      <c r="O777" s="51" t="s">
        <v>324</v>
      </c>
      <c r="Q777" s="51" t="s">
        <v>524</v>
      </c>
      <c r="R777" s="51" t="s">
        <v>132</v>
      </c>
    </row>
    <row r="778" spans="1:18" x14ac:dyDescent="0.25">
      <c r="A778" s="13"/>
      <c r="B778" s="13"/>
      <c r="L778" s="52">
        <v>45762</v>
      </c>
      <c r="M778" s="53">
        <v>0.46938657407407408</v>
      </c>
      <c r="N778" s="51" t="s">
        <v>151</v>
      </c>
      <c r="O778" s="51" t="s">
        <v>324</v>
      </c>
      <c r="Q778" s="51" t="s">
        <v>524</v>
      </c>
      <c r="R778" s="51" t="s">
        <v>132</v>
      </c>
    </row>
    <row r="779" spans="1:18" x14ac:dyDescent="0.25">
      <c r="A779" s="13"/>
      <c r="B779" s="13"/>
      <c r="L779" s="52">
        <v>45762</v>
      </c>
      <c r="M779" s="53">
        <v>0.46938657407407408</v>
      </c>
      <c r="N779" s="51" t="s">
        <v>152</v>
      </c>
      <c r="O779" s="51" t="s">
        <v>324</v>
      </c>
      <c r="Q779" s="51" t="s">
        <v>524</v>
      </c>
      <c r="R779" s="51" t="s">
        <v>132</v>
      </c>
    </row>
    <row r="780" spans="1:18" x14ac:dyDescent="0.25">
      <c r="A780" s="13"/>
      <c r="B780" s="13"/>
      <c r="L780" s="52">
        <v>45762</v>
      </c>
      <c r="M780" s="53">
        <v>0.46938657407407408</v>
      </c>
      <c r="N780" s="51" t="s">
        <v>153</v>
      </c>
      <c r="O780" s="51" t="s">
        <v>324</v>
      </c>
      <c r="Q780" s="51" t="s">
        <v>524</v>
      </c>
      <c r="R780" s="51" t="s">
        <v>132</v>
      </c>
    </row>
    <row r="781" spans="1:18" x14ac:dyDescent="0.25">
      <c r="A781" s="13"/>
      <c r="B781" s="13"/>
      <c r="L781" s="52">
        <v>45762</v>
      </c>
      <c r="M781" s="53">
        <v>0.46938657407407408</v>
      </c>
      <c r="N781" s="51" t="s">
        <v>154</v>
      </c>
      <c r="O781" s="51" t="s">
        <v>324</v>
      </c>
      <c r="Q781" s="51" t="s">
        <v>524</v>
      </c>
      <c r="R781" s="51" t="s">
        <v>132</v>
      </c>
    </row>
    <row r="782" spans="1:18" x14ac:dyDescent="0.25">
      <c r="A782" s="13"/>
      <c r="B782" s="13"/>
      <c r="L782" s="52">
        <v>45762</v>
      </c>
      <c r="M782" s="53">
        <v>0.46938657407407408</v>
      </c>
      <c r="N782" s="51" t="s">
        <v>155</v>
      </c>
      <c r="O782" s="51" t="s">
        <v>324</v>
      </c>
      <c r="Q782" s="51" t="s">
        <v>524</v>
      </c>
      <c r="R782" s="51" t="s">
        <v>132</v>
      </c>
    </row>
    <row r="783" spans="1:18" x14ac:dyDescent="0.25">
      <c r="A783" s="13"/>
      <c r="B783" s="13"/>
      <c r="L783" s="52">
        <v>45762</v>
      </c>
      <c r="M783" s="53">
        <v>0.46938657407407408</v>
      </c>
      <c r="N783" s="51" t="s">
        <v>156</v>
      </c>
      <c r="O783" s="51" t="s">
        <v>324</v>
      </c>
      <c r="Q783" s="51" t="s">
        <v>524</v>
      </c>
      <c r="R783" s="51" t="s">
        <v>132</v>
      </c>
    </row>
    <row r="784" spans="1:18" x14ac:dyDescent="0.25">
      <c r="A784" s="13"/>
      <c r="B784" s="13"/>
      <c r="L784" s="52">
        <v>45762</v>
      </c>
      <c r="M784" s="53">
        <v>0.46938657407407408</v>
      </c>
      <c r="N784" s="51" t="s">
        <v>157</v>
      </c>
      <c r="O784" s="51" t="s">
        <v>324</v>
      </c>
      <c r="P784" s="51" t="s">
        <v>715</v>
      </c>
      <c r="Q784" s="51" t="s">
        <v>80</v>
      </c>
      <c r="R784" s="51" t="s">
        <v>78</v>
      </c>
    </row>
    <row r="785" spans="1:18" x14ac:dyDescent="0.25">
      <c r="A785" s="13"/>
      <c r="B785" s="13"/>
      <c r="L785" s="52">
        <v>45762</v>
      </c>
      <c r="M785" s="53">
        <v>0.46938657407407408</v>
      </c>
      <c r="N785" s="51" t="s">
        <v>158</v>
      </c>
      <c r="O785" s="51" t="s">
        <v>324</v>
      </c>
      <c r="P785" s="51" t="s">
        <v>716</v>
      </c>
      <c r="Q785" s="51" t="s">
        <v>80</v>
      </c>
      <c r="R785" s="51" t="s">
        <v>78</v>
      </c>
    </row>
    <row r="786" spans="1:18" x14ac:dyDescent="0.25">
      <c r="A786" s="13"/>
      <c r="B786" s="13"/>
      <c r="L786" s="52">
        <v>45762</v>
      </c>
      <c r="M786" s="53">
        <v>0.46938657407407408</v>
      </c>
      <c r="N786" s="51" t="s">
        <v>159</v>
      </c>
      <c r="O786" s="51" t="s">
        <v>324</v>
      </c>
      <c r="P786" s="51" t="s">
        <v>717</v>
      </c>
      <c r="Q786" s="51" t="s">
        <v>80</v>
      </c>
      <c r="R786" s="51" t="s">
        <v>78</v>
      </c>
    </row>
    <row r="787" spans="1:18" x14ac:dyDescent="0.25">
      <c r="A787" s="13"/>
      <c r="B787" s="13"/>
      <c r="L787" s="52">
        <v>45762</v>
      </c>
      <c r="M787" s="53">
        <v>0.46938657407407408</v>
      </c>
      <c r="N787" s="51" t="s">
        <v>160</v>
      </c>
      <c r="O787" s="51" t="s">
        <v>324</v>
      </c>
      <c r="P787" s="51" t="s">
        <v>718</v>
      </c>
      <c r="Q787" s="51" t="s">
        <v>80</v>
      </c>
      <c r="R787" s="51" t="s">
        <v>78</v>
      </c>
    </row>
    <row r="788" spans="1:18" x14ac:dyDescent="0.25">
      <c r="A788" s="13"/>
      <c r="B788" s="13"/>
      <c r="L788" s="52">
        <v>45762</v>
      </c>
      <c r="M788" s="53">
        <v>0.46938657407407408</v>
      </c>
      <c r="N788" s="51" t="s">
        <v>161</v>
      </c>
      <c r="O788" s="51" t="s">
        <v>324</v>
      </c>
      <c r="P788" s="51" t="s">
        <v>719</v>
      </c>
      <c r="Q788" s="51" t="s">
        <v>80</v>
      </c>
      <c r="R788" s="51" t="s">
        <v>78</v>
      </c>
    </row>
    <row r="789" spans="1:18" x14ac:dyDescent="0.25">
      <c r="A789" s="13"/>
      <c r="B789" s="13"/>
      <c r="L789" s="52">
        <v>45762</v>
      </c>
      <c r="M789" s="53">
        <v>0.46938657407407408</v>
      </c>
      <c r="N789" s="51" t="s">
        <v>162</v>
      </c>
      <c r="O789" s="51" t="s">
        <v>324</v>
      </c>
      <c r="P789" s="51" t="s">
        <v>720</v>
      </c>
      <c r="Q789" s="51" t="s">
        <v>80</v>
      </c>
      <c r="R789" s="51" t="s">
        <v>78</v>
      </c>
    </row>
    <row r="790" spans="1:18" x14ac:dyDescent="0.25">
      <c r="A790" s="13"/>
      <c r="B790" s="13"/>
      <c r="L790" s="52">
        <v>45762</v>
      </c>
      <c r="M790" s="53">
        <v>0.46938657407407408</v>
      </c>
      <c r="N790" s="51" t="s">
        <v>163</v>
      </c>
      <c r="O790" s="51" t="s">
        <v>324</v>
      </c>
      <c r="Q790" s="51" t="s">
        <v>524</v>
      </c>
      <c r="R790" s="51" t="s">
        <v>132</v>
      </c>
    </row>
    <row r="791" spans="1:18" x14ac:dyDescent="0.25">
      <c r="A791" s="13"/>
      <c r="B791" s="13"/>
      <c r="L791" s="52">
        <v>45762</v>
      </c>
      <c r="M791" s="53">
        <v>0.46938657407407408</v>
      </c>
      <c r="N791" s="51" t="s">
        <v>164</v>
      </c>
      <c r="O791" s="51" t="s">
        <v>324</v>
      </c>
      <c r="Q791" s="51" t="s">
        <v>524</v>
      </c>
      <c r="R791" s="51" t="s">
        <v>132</v>
      </c>
    </row>
    <row r="792" spans="1:18" x14ac:dyDescent="0.25">
      <c r="A792" s="13"/>
      <c r="B792" s="13"/>
      <c r="L792" s="52">
        <v>45762</v>
      </c>
      <c r="M792" s="53">
        <v>0.46938657407407408</v>
      </c>
      <c r="N792" s="51" t="s">
        <v>165</v>
      </c>
      <c r="O792" s="51" t="s">
        <v>324</v>
      </c>
      <c r="Q792" s="51" t="s">
        <v>524</v>
      </c>
      <c r="R792" s="51" t="s">
        <v>132</v>
      </c>
    </row>
    <row r="793" spans="1:18" x14ac:dyDescent="0.25">
      <c r="A793" s="13"/>
      <c r="B793" s="13"/>
      <c r="L793" s="52">
        <v>45762</v>
      </c>
      <c r="M793" s="53">
        <v>0.46938657407407408</v>
      </c>
      <c r="N793" s="51" t="s">
        <v>166</v>
      </c>
      <c r="O793" s="51" t="s">
        <v>324</v>
      </c>
      <c r="P793" s="51" t="s">
        <v>721</v>
      </c>
      <c r="Q793" s="51" t="s">
        <v>80</v>
      </c>
      <c r="R793" s="51" t="s">
        <v>78</v>
      </c>
    </row>
    <row r="794" spans="1:18" x14ac:dyDescent="0.25">
      <c r="A794" s="13"/>
      <c r="B794" s="13"/>
      <c r="L794" s="52">
        <v>45762</v>
      </c>
      <c r="M794" s="53">
        <v>0.46938657407407408</v>
      </c>
      <c r="N794" s="51" t="s">
        <v>167</v>
      </c>
      <c r="O794" s="51" t="s">
        <v>324</v>
      </c>
      <c r="P794" s="51" t="s">
        <v>722</v>
      </c>
      <c r="Q794" s="51" t="s">
        <v>80</v>
      </c>
      <c r="R794" s="51" t="s">
        <v>78</v>
      </c>
    </row>
    <row r="795" spans="1:18" x14ac:dyDescent="0.25">
      <c r="A795" s="13"/>
      <c r="B795" s="13"/>
      <c r="L795" s="52">
        <v>45762</v>
      </c>
      <c r="M795" s="53">
        <v>0.46938657407407408</v>
      </c>
      <c r="N795" s="51" t="s">
        <v>168</v>
      </c>
      <c r="O795" s="51" t="s">
        <v>324</v>
      </c>
      <c r="P795" s="51" t="s">
        <v>723</v>
      </c>
      <c r="Q795" s="51" t="s">
        <v>80</v>
      </c>
      <c r="R795" s="51" t="s">
        <v>78</v>
      </c>
    </row>
    <row r="796" spans="1:18" x14ac:dyDescent="0.25">
      <c r="A796" s="13"/>
      <c r="B796" s="13"/>
      <c r="L796" s="52">
        <v>45762</v>
      </c>
      <c r="M796" s="53">
        <v>0.46938657407407408</v>
      </c>
      <c r="N796" s="51" t="s">
        <v>169</v>
      </c>
      <c r="O796" s="51" t="s">
        <v>324</v>
      </c>
      <c r="P796" s="51" t="s">
        <v>724</v>
      </c>
      <c r="Q796" s="51" t="s">
        <v>80</v>
      </c>
      <c r="R796" s="51" t="s">
        <v>78</v>
      </c>
    </row>
    <row r="797" spans="1:18" x14ac:dyDescent="0.25">
      <c r="A797" s="13"/>
      <c r="B797" s="13"/>
      <c r="L797" s="52">
        <v>45762</v>
      </c>
      <c r="M797" s="53">
        <v>0.46938657407407408</v>
      </c>
      <c r="N797" s="51" t="s">
        <v>170</v>
      </c>
      <c r="O797" s="51" t="s">
        <v>324</v>
      </c>
      <c r="P797" s="51" t="s">
        <v>725</v>
      </c>
      <c r="Q797" s="51" t="s">
        <v>80</v>
      </c>
      <c r="R797" s="51" t="s">
        <v>78</v>
      </c>
    </row>
    <row r="798" spans="1:18" x14ac:dyDescent="0.25">
      <c r="A798" s="13"/>
      <c r="B798" s="13"/>
      <c r="L798" s="52">
        <v>45762</v>
      </c>
      <c r="M798" s="53">
        <v>0.46938657407407408</v>
      </c>
      <c r="N798" s="51" t="s">
        <v>171</v>
      </c>
      <c r="O798" s="51" t="s">
        <v>324</v>
      </c>
      <c r="P798" s="51" t="s">
        <v>726</v>
      </c>
      <c r="Q798" s="51" t="s">
        <v>80</v>
      </c>
      <c r="R798" s="51" t="s">
        <v>78</v>
      </c>
    </row>
    <row r="799" spans="1:18" x14ac:dyDescent="0.25">
      <c r="A799" s="13"/>
      <c r="B799" s="13"/>
      <c r="L799" s="52">
        <v>45762</v>
      </c>
      <c r="M799" s="53">
        <v>0.46938657407407408</v>
      </c>
      <c r="N799" s="51" t="s">
        <v>172</v>
      </c>
      <c r="O799" s="51" t="s">
        <v>324</v>
      </c>
      <c r="Q799" s="51" t="s">
        <v>524</v>
      </c>
      <c r="R799" s="51" t="s">
        <v>132</v>
      </c>
    </row>
    <row r="800" spans="1:18" x14ac:dyDescent="0.25">
      <c r="A800" s="13"/>
      <c r="B800" s="13"/>
      <c r="L800" s="52">
        <v>45762</v>
      </c>
      <c r="M800" s="53">
        <v>0.46938657407407408</v>
      </c>
      <c r="N800" s="51" t="s">
        <v>173</v>
      </c>
      <c r="O800" s="51" t="s">
        <v>324</v>
      </c>
      <c r="Q800" s="51" t="s">
        <v>524</v>
      </c>
      <c r="R800" s="51" t="s">
        <v>132</v>
      </c>
    </row>
    <row r="801" spans="1:18" x14ac:dyDescent="0.25">
      <c r="A801" s="13"/>
      <c r="B801" s="13"/>
      <c r="L801" s="52">
        <v>45762</v>
      </c>
      <c r="M801" s="53">
        <v>0.46938657407407408</v>
      </c>
      <c r="N801" s="51" t="s">
        <v>174</v>
      </c>
      <c r="O801" s="51" t="s">
        <v>324</v>
      </c>
      <c r="Q801" s="51" t="s">
        <v>524</v>
      </c>
      <c r="R801" s="51" t="s">
        <v>132</v>
      </c>
    </row>
    <row r="802" spans="1:18" x14ac:dyDescent="0.25">
      <c r="A802" s="13"/>
      <c r="B802" s="13"/>
      <c r="L802" s="52">
        <v>45762</v>
      </c>
      <c r="M802" s="53">
        <v>0.46938657407407408</v>
      </c>
      <c r="N802" s="51" t="s">
        <v>175</v>
      </c>
      <c r="O802" s="51" t="s">
        <v>324</v>
      </c>
      <c r="Q802" s="51" t="s">
        <v>524</v>
      </c>
      <c r="R802" s="51" t="s">
        <v>132</v>
      </c>
    </row>
    <row r="803" spans="1:18" x14ac:dyDescent="0.25">
      <c r="A803" s="13"/>
      <c r="B803" s="13"/>
      <c r="L803" s="52">
        <v>45762</v>
      </c>
      <c r="M803" s="53">
        <v>0.46938657407407408</v>
      </c>
      <c r="N803" s="51" t="s">
        <v>176</v>
      </c>
      <c r="O803" s="51" t="s">
        <v>324</v>
      </c>
      <c r="Q803" s="51" t="s">
        <v>524</v>
      </c>
      <c r="R803" s="51" t="s">
        <v>132</v>
      </c>
    </row>
    <row r="804" spans="1:18" x14ac:dyDescent="0.25">
      <c r="A804" s="13"/>
      <c r="B804" s="13"/>
      <c r="L804" s="52">
        <v>45762</v>
      </c>
      <c r="M804" s="53">
        <v>0.46938657407407408</v>
      </c>
      <c r="N804" s="51" t="s">
        <v>177</v>
      </c>
      <c r="O804" s="51" t="s">
        <v>324</v>
      </c>
      <c r="Q804" s="51" t="s">
        <v>524</v>
      </c>
      <c r="R804" s="51" t="s">
        <v>132</v>
      </c>
    </row>
    <row r="805" spans="1:18" x14ac:dyDescent="0.25">
      <c r="A805" s="13"/>
      <c r="B805" s="13"/>
      <c r="L805" s="52">
        <v>45762</v>
      </c>
      <c r="M805" s="53">
        <v>0.46938657407407408</v>
      </c>
      <c r="N805" s="51" t="s">
        <v>177</v>
      </c>
      <c r="O805" s="51" t="s">
        <v>324</v>
      </c>
      <c r="Q805" s="51" t="s">
        <v>524</v>
      </c>
      <c r="R805" s="51" t="s">
        <v>132</v>
      </c>
    </row>
    <row r="806" spans="1:18" x14ac:dyDescent="0.25">
      <c r="A806" s="13"/>
      <c r="B806" s="13"/>
      <c r="L806" s="52">
        <v>45762</v>
      </c>
      <c r="M806" s="53">
        <v>0.46938657407407408</v>
      </c>
      <c r="N806" s="51" t="s">
        <v>178</v>
      </c>
      <c r="O806" s="51" t="s">
        <v>324</v>
      </c>
      <c r="Q806" s="51" t="s">
        <v>524</v>
      </c>
      <c r="R806" s="51" t="s">
        <v>132</v>
      </c>
    </row>
    <row r="807" spans="1:18" x14ac:dyDescent="0.25">
      <c r="A807" s="13"/>
      <c r="B807" s="13"/>
      <c r="L807" s="52">
        <v>45762</v>
      </c>
      <c r="M807" s="53">
        <v>0.46938657407407408</v>
      </c>
      <c r="N807" s="51" t="s">
        <v>178</v>
      </c>
      <c r="O807" s="51" t="s">
        <v>324</v>
      </c>
      <c r="Q807" s="51" t="s">
        <v>524</v>
      </c>
      <c r="R807" s="51" t="s">
        <v>132</v>
      </c>
    </row>
    <row r="808" spans="1:18" x14ac:dyDescent="0.25">
      <c r="A808" s="13"/>
      <c r="B808" s="13"/>
      <c r="L808" s="52">
        <v>45762</v>
      </c>
      <c r="M808" s="53">
        <v>0.46938657407407408</v>
      </c>
      <c r="N808" s="51" t="s">
        <v>179</v>
      </c>
      <c r="O808" s="51" t="s">
        <v>324</v>
      </c>
      <c r="Q808" s="51" t="s">
        <v>524</v>
      </c>
      <c r="R808" s="51" t="s">
        <v>132</v>
      </c>
    </row>
    <row r="809" spans="1:18" x14ac:dyDescent="0.25">
      <c r="A809" s="13"/>
      <c r="B809" s="13"/>
      <c r="L809" s="52">
        <v>45762</v>
      </c>
      <c r="M809" s="53">
        <v>0.46938657407407408</v>
      </c>
      <c r="N809" s="51" t="s">
        <v>180</v>
      </c>
      <c r="O809" s="51" t="s">
        <v>324</v>
      </c>
      <c r="Q809" s="51" t="s">
        <v>524</v>
      </c>
      <c r="R809" s="51" t="s">
        <v>132</v>
      </c>
    </row>
    <row r="810" spans="1:18" x14ac:dyDescent="0.25">
      <c r="A810" s="13"/>
      <c r="B810" s="13"/>
      <c r="L810" s="52">
        <v>45762</v>
      </c>
      <c r="M810" s="53">
        <v>0.46938657407407408</v>
      </c>
      <c r="N810" s="51" t="s">
        <v>181</v>
      </c>
      <c r="O810" s="51" t="s">
        <v>324</v>
      </c>
      <c r="P810" s="51" t="s">
        <v>727</v>
      </c>
      <c r="Q810" s="51" t="s">
        <v>80</v>
      </c>
      <c r="R810" s="51" t="s">
        <v>78</v>
      </c>
    </row>
    <row r="811" spans="1:18" x14ac:dyDescent="0.25">
      <c r="A811" s="13"/>
      <c r="B811" s="13"/>
      <c r="L811" s="52">
        <v>45762</v>
      </c>
      <c r="M811" s="53">
        <v>0.46938657407407408</v>
      </c>
      <c r="N811" s="51" t="s">
        <v>182</v>
      </c>
      <c r="O811" s="51" t="s">
        <v>324</v>
      </c>
      <c r="Q811" s="51" t="s">
        <v>524</v>
      </c>
      <c r="R811" s="51" t="s">
        <v>132</v>
      </c>
    </row>
    <row r="812" spans="1:18" x14ac:dyDescent="0.25">
      <c r="A812" s="13"/>
      <c r="B812" s="13"/>
      <c r="L812" s="52">
        <v>45762</v>
      </c>
      <c r="M812" s="53">
        <v>0.46938657407407408</v>
      </c>
      <c r="N812" s="51" t="s">
        <v>183</v>
      </c>
      <c r="O812" s="51" t="s">
        <v>324</v>
      </c>
      <c r="Q812" s="51" t="s">
        <v>524</v>
      </c>
      <c r="R812" s="51" t="s">
        <v>132</v>
      </c>
    </row>
    <row r="813" spans="1:18" x14ac:dyDescent="0.25">
      <c r="A813" s="13"/>
      <c r="B813" s="13"/>
      <c r="L813" s="52">
        <v>45762</v>
      </c>
      <c r="M813" s="53">
        <v>0.46938657407407408</v>
      </c>
      <c r="N813" s="51" t="s">
        <v>184</v>
      </c>
      <c r="O813" s="51" t="s">
        <v>324</v>
      </c>
      <c r="P813" s="51" t="s">
        <v>728</v>
      </c>
      <c r="Q813" s="51" t="s">
        <v>80</v>
      </c>
      <c r="R813" s="51" t="s">
        <v>78</v>
      </c>
    </row>
    <row r="814" spans="1:18" x14ac:dyDescent="0.25">
      <c r="A814" s="13"/>
      <c r="B814" s="13"/>
      <c r="L814" s="52">
        <v>45762</v>
      </c>
      <c r="M814" s="53">
        <v>0.46938657407407408</v>
      </c>
      <c r="N814" s="51" t="s">
        <v>185</v>
      </c>
      <c r="O814" s="51" t="s">
        <v>324</v>
      </c>
      <c r="P814" s="51" t="s">
        <v>729</v>
      </c>
      <c r="Q814" s="51" t="s">
        <v>80</v>
      </c>
      <c r="R814" s="51" t="s">
        <v>78</v>
      </c>
    </row>
    <row r="815" spans="1:18" x14ac:dyDescent="0.25">
      <c r="A815" s="13"/>
      <c r="B815" s="13"/>
      <c r="L815" s="52">
        <v>45762</v>
      </c>
      <c r="M815" s="53">
        <v>0.46938657407407408</v>
      </c>
      <c r="N815" s="51" t="s">
        <v>186</v>
      </c>
      <c r="O815" s="51" t="s">
        <v>324</v>
      </c>
      <c r="P815" s="51" t="s">
        <v>730</v>
      </c>
      <c r="Q815" s="51" t="s">
        <v>80</v>
      </c>
      <c r="R815" s="51" t="s">
        <v>78</v>
      </c>
    </row>
    <row r="816" spans="1:18" x14ac:dyDescent="0.25">
      <c r="A816" s="13"/>
      <c r="B816" s="13"/>
      <c r="L816" s="52">
        <v>45762</v>
      </c>
      <c r="M816" s="53">
        <v>0.46938657407407408</v>
      </c>
      <c r="N816" s="51" t="s">
        <v>187</v>
      </c>
      <c r="O816" s="51" t="s">
        <v>324</v>
      </c>
      <c r="P816" s="51" t="s">
        <v>731</v>
      </c>
      <c r="Q816" s="51" t="s">
        <v>80</v>
      </c>
      <c r="R816" s="51" t="s">
        <v>78</v>
      </c>
    </row>
    <row r="817" spans="1:18" x14ac:dyDescent="0.25">
      <c r="A817" s="13"/>
      <c r="B817" s="13"/>
      <c r="L817" s="52">
        <v>45762</v>
      </c>
      <c r="M817" s="53">
        <v>0.46938657407407408</v>
      </c>
      <c r="N817" s="51" t="s">
        <v>188</v>
      </c>
      <c r="O817" s="51" t="s">
        <v>324</v>
      </c>
      <c r="P817" s="51" t="s">
        <v>732</v>
      </c>
      <c r="Q817" s="51" t="s">
        <v>80</v>
      </c>
      <c r="R817" s="51" t="s">
        <v>78</v>
      </c>
    </row>
    <row r="818" spans="1:18" x14ac:dyDescent="0.25">
      <c r="A818" s="13"/>
      <c r="B818" s="13"/>
      <c r="L818" s="52">
        <v>45762</v>
      </c>
      <c r="M818" s="53">
        <v>0.46938657407407408</v>
      </c>
      <c r="N818" s="51" t="s">
        <v>189</v>
      </c>
      <c r="O818" s="51" t="s">
        <v>324</v>
      </c>
      <c r="P818" s="51" t="s">
        <v>733</v>
      </c>
      <c r="Q818" s="51" t="s">
        <v>80</v>
      </c>
      <c r="R818" s="51" t="s">
        <v>78</v>
      </c>
    </row>
    <row r="819" spans="1:18" x14ac:dyDescent="0.25">
      <c r="A819" s="13"/>
      <c r="B819" s="13"/>
      <c r="L819" s="52">
        <v>45762</v>
      </c>
      <c r="M819" s="53">
        <v>0.46938657407407408</v>
      </c>
      <c r="N819" s="51" t="s">
        <v>190</v>
      </c>
      <c r="O819" s="51" t="s">
        <v>324</v>
      </c>
      <c r="P819" s="51" t="s">
        <v>734</v>
      </c>
      <c r="Q819" s="51" t="s">
        <v>80</v>
      </c>
      <c r="R819" s="51" t="s">
        <v>78</v>
      </c>
    </row>
    <row r="820" spans="1:18" x14ac:dyDescent="0.25">
      <c r="A820" s="13"/>
      <c r="B820" s="13"/>
      <c r="L820" s="52">
        <v>45762</v>
      </c>
      <c r="M820" s="53">
        <v>0.46938657407407408</v>
      </c>
      <c r="N820" s="51" t="s">
        <v>191</v>
      </c>
      <c r="O820" s="51" t="s">
        <v>324</v>
      </c>
      <c r="P820" s="51" t="s">
        <v>735</v>
      </c>
      <c r="Q820" s="51" t="s">
        <v>80</v>
      </c>
      <c r="R820" s="51" t="s">
        <v>78</v>
      </c>
    </row>
    <row r="821" spans="1:18" x14ac:dyDescent="0.25">
      <c r="A821" s="13"/>
      <c r="B821" s="13"/>
      <c r="L821" s="52">
        <v>45762</v>
      </c>
      <c r="M821" s="53">
        <v>0.46938657407407408</v>
      </c>
      <c r="N821" s="51" t="s">
        <v>192</v>
      </c>
      <c r="O821" s="51" t="s">
        <v>324</v>
      </c>
      <c r="Q821" s="51" t="s">
        <v>524</v>
      </c>
      <c r="R821" s="51" t="s">
        <v>132</v>
      </c>
    </row>
    <row r="822" spans="1:18" x14ac:dyDescent="0.25">
      <c r="A822" s="13"/>
      <c r="B822" s="13"/>
      <c r="L822" s="52">
        <v>45762</v>
      </c>
      <c r="M822" s="53">
        <v>0.46938657407407408</v>
      </c>
      <c r="N822" s="51" t="s">
        <v>193</v>
      </c>
      <c r="O822" s="51" t="s">
        <v>324</v>
      </c>
      <c r="P822" s="51" t="s">
        <v>736</v>
      </c>
      <c r="Q822" s="51" t="s">
        <v>80</v>
      </c>
      <c r="R822" s="51" t="s">
        <v>78</v>
      </c>
    </row>
    <row r="823" spans="1:18" x14ac:dyDescent="0.25">
      <c r="A823" s="13"/>
      <c r="B823" s="13"/>
      <c r="L823" s="52">
        <v>45762</v>
      </c>
      <c r="M823" s="53">
        <v>0.46938657407407408</v>
      </c>
      <c r="N823" s="51" t="s">
        <v>194</v>
      </c>
      <c r="O823" s="51" t="s">
        <v>324</v>
      </c>
      <c r="P823" s="51" t="s">
        <v>737</v>
      </c>
      <c r="Q823" s="51" t="s">
        <v>80</v>
      </c>
      <c r="R823" s="51" t="s">
        <v>78</v>
      </c>
    </row>
    <row r="824" spans="1:18" x14ac:dyDescent="0.25">
      <c r="A824" s="13"/>
      <c r="B824" s="13"/>
      <c r="L824" s="52">
        <v>45762</v>
      </c>
      <c r="M824" s="53">
        <v>0.46938657407407408</v>
      </c>
      <c r="N824" s="51" t="s">
        <v>195</v>
      </c>
      <c r="O824" s="51" t="s">
        <v>324</v>
      </c>
      <c r="Q824" s="51" t="s">
        <v>524</v>
      </c>
      <c r="R824" s="51" t="s">
        <v>132</v>
      </c>
    </row>
    <row r="825" spans="1:18" x14ac:dyDescent="0.25">
      <c r="A825" s="13"/>
      <c r="B825" s="13"/>
      <c r="L825" s="52">
        <v>45762</v>
      </c>
      <c r="M825" s="53">
        <v>0.46938657407407408</v>
      </c>
      <c r="N825" s="51" t="s">
        <v>196</v>
      </c>
      <c r="O825" s="51" t="s">
        <v>324</v>
      </c>
      <c r="P825" s="51" t="s">
        <v>738</v>
      </c>
      <c r="Q825" s="51" t="s">
        <v>80</v>
      </c>
      <c r="R825" s="51" t="s">
        <v>78</v>
      </c>
    </row>
    <row r="826" spans="1:18" x14ac:dyDescent="0.25">
      <c r="A826" s="13"/>
      <c r="B826" s="13"/>
      <c r="L826" s="52">
        <v>45762</v>
      </c>
      <c r="M826" s="53">
        <v>0.46938657407407408</v>
      </c>
      <c r="N826" s="51" t="s">
        <v>197</v>
      </c>
      <c r="O826" s="51" t="s">
        <v>324</v>
      </c>
      <c r="P826" s="51" t="s">
        <v>739</v>
      </c>
      <c r="Q826" s="51" t="s">
        <v>80</v>
      </c>
      <c r="R826" s="51" t="s">
        <v>78</v>
      </c>
    </row>
    <row r="827" spans="1:18" x14ac:dyDescent="0.25">
      <c r="A827" s="13"/>
      <c r="B827" s="13"/>
      <c r="L827" s="52">
        <v>45762</v>
      </c>
      <c r="M827" s="53">
        <v>0.46938657407407408</v>
      </c>
      <c r="N827" s="51" t="s">
        <v>198</v>
      </c>
      <c r="O827" s="51" t="s">
        <v>324</v>
      </c>
      <c r="P827" s="51" t="s">
        <v>111</v>
      </c>
      <c r="Q827" s="51" t="s">
        <v>80</v>
      </c>
      <c r="R827" s="51" t="s">
        <v>78</v>
      </c>
    </row>
    <row r="828" spans="1:18" x14ac:dyDescent="0.25">
      <c r="A828" s="13"/>
      <c r="B828" s="13"/>
      <c r="L828" s="52">
        <v>45762</v>
      </c>
      <c r="M828" s="53">
        <v>0.46938657407407408</v>
      </c>
      <c r="N828" s="51" t="s">
        <v>199</v>
      </c>
      <c r="O828" s="51" t="s">
        <v>324</v>
      </c>
      <c r="P828" s="51" t="s">
        <v>740</v>
      </c>
      <c r="Q828" s="51" t="s">
        <v>80</v>
      </c>
      <c r="R828" s="51" t="s">
        <v>78</v>
      </c>
    </row>
    <row r="829" spans="1:18" x14ac:dyDescent="0.25">
      <c r="A829" s="13"/>
      <c r="B829" s="13"/>
      <c r="L829" s="52">
        <v>45762</v>
      </c>
      <c r="M829" s="53">
        <v>0.46938657407407408</v>
      </c>
      <c r="N829" s="51" t="s">
        <v>200</v>
      </c>
      <c r="O829" s="51" t="s">
        <v>324</v>
      </c>
      <c r="P829" s="51" t="s">
        <v>741</v>
      </c>
      <c r="Q829" s="51" t="s">
        <v>80</v>
      </c>
      <c r="R829" s="51" t="s">
        <v>78</v>
      </c>
    </row>
    <row r="830" spans="1:18" x14ac:dyDescent="0.25">
      <c r="A830" s="13"/>
      <c r="B830" s="13"/>
      <c r="L830" s="52">
        <v>45762</v>
      </c>
      <c r="M830" s="53">
        <v>0.46938657407407408</v>
      </c>
      <c r="N830" s="51" t="s">
        <v>201</v>
      </c>
      <c r="O830" s="51" t="s">
        <v>324</v>
      </c>
      <c r="P830" s="51" t="s">
        <v>742</v>
      </c>
      <c r="Q830" s="51" t="s">
        <v>80</v>
      </c>
      <c r="R830" s="51" t="s">
        <v>78</v>
      </c>
    </row>
    <row r="831" spans="1:18" x14ac:dyDescent="0.25">
      <c r="A831" s="13"/>
      <c r="B831" s="13"/>
      <c r="L831" s="52">
        <v>45762</v>
      </c>
      <c r="M831" s="53">
        <v>0.46938657407407408</v>
      </c>
      <c r="N831" s="51" t="s">
        <v>202</v>
      </c>
      <c r="O831" s="51" t="s">
        <v>324</v>
      </c>
      <c r="P831" s="51" t="s">
        <v>743</v>
      </c>
      <c r="Q831" s="51" t="s">
        <v>80</v>
      </c>
      <c r="R831" s="51" t="s">
        <v>78</v>
      </c>
    </row>
    <row r="832" spans="1:18" x14ac:dyDescent="0.25">
      <c r="A832" s="13"/>
      <c r="B832" s="13"/>
      <c r="L832" s="52">
        <v>45762</v>
      </c>
      <c r="M832" s="53">
        <v>0.46938657407407408</v>
      </c>
      <c r="N832" s="51" t="s">
        <v>203</v>
      </c>
      <c r="O832" s="51" t="s">
        <v>324</v>
      </c>
      <c r="P832" s="51" t="s">
        <v>744</v>
      </c>
      <c r="Q832" s="51" t="s">
        <v>80</v>
      </c>
      <c r="R832" s="51" t="s">
        <v>78</v>
      </c>
    </row>
    <row r="833" spans="1:18" x14ac:dyDescent="0.25">
      <c r="A833" s="13"/>
      <c r="B833" s="13"/>
      <c r="L833" s="52">
        <v>45762</v>
      </c>
      <c r="M833" s="53">
        <v>0.46938657407407408</v>
      </c>
      <c r="N833" s="51" t="s">
        <v>204</v>
      </c>
      <c r="O833" s="51" t="s">
        <v>324</v>
      </c>
      <c r="P833" s="51" t="s">
        <v>745</v>
      </c>
      <c r="Q833" s="51" t="s">
        <v>80</v>
      </c>
      <c r="R833" s="51" t="s">
        <v>78</v>
      </c>
    </row>
    <row r="834" spans="1:18" x14ac:dyDescent="0.25">
      <c r="A834" s="13"/>
      <c r="B834" s="13"/>
      <c r="L834" s="52">
        <v>45762</v>
      </c>
      <c r="M834" s="53">
        <v>0.46938657407407408</v>
      </c>
      <c r="N834" s="51" t="s">
        <v>205</v>
      </c>
      <c r="O834" s="51" t="s">
        <v>324</v>
      </c>
      <c r="P834" s="51" t="s">
        <v>746</v>
      </c>
      <c r="Q834" s="51" t="s">
        <v>80</v>
      </c>
      <c r="R834" s="51" t="s">
        <v>78</v>
      </c>
    </row>
    <row r="835" spans="1:18" x14ac:dyDescent="0.25">
      <c r="A835" s="13"/>
      <c r="B835" s="13"/>
      <c r="L835" s="52">
        <v>45762</v>
      </c>
      <c r="M835" s="53">
        <v>0.46938657407407408</v>
      </c>
      <c r="N835" s="51" t="s">
        <v>206</v>
      </c>
      <c r="O835" s="51" t="s">
        <v>324</v>
      </c>
      <c r="P835" s="51" t="s">
        <v>747</v>
      </c>
      <c r="Q835" s="51" t="s">
        <v>80</v>
      </c>
      <c r="R835" s="51" t="s">
        <v>78</v>
      </c>
    </row>
    <row r="836" spans="1:18" x14ac:dyDescent="0.25">
      <c r="A836" s="13"/>
      <c r="B836" s="13"/>
      <c r="L836" s="52">
        <v>45762</v>
      </c>
      <c r="M836" s="53">
        <v>0.46938657407407408</v>
      </c>
      <c r="N836" s="51" t="s">
        <v>207</v>
      </c>
      <c r="O836" s="51" t="s">
        <v>324</v>
      </c>
      <c r="P836" s="51" t="s">
        <v>748</v>
      </c>
      <c r="Q836" s="51" t="s">
        <v>80</v>
      </c>
      <c r="R836" s="51" t="s">
        <v>78</v>
      </c>
    </row>
    <row r="837" spans="1:18" x14ac:dyDescent="0.25">
      <c r="A837" s="13"/>
      <c r="B837" s="13"/>
      <c r="L837" s="52">
        <v>45762</v>
      </c>
      <c r="M837" s="53">
        <v>0.46938657407407408</v>
      </c>
      <c r="N837" s="51" t="s">
        <v>208</v>
      </c>
      <c r="O837" s="51" t="s">
        <v>324</v>
      </c>
      <c r="P837" s="51" t="s">
        <v>749</v>
      </c>
      <c r="Q837" s="51" t="s">
        <v>80</v>
      </c>
      <c r="R837" s="51" t="s">
        <v>78</v>
      </c>
    </row>
    <row r="838" spans="1:18" x14ac:dyDescent="0.25">
      <c r="A838" s="13"/>
      <c r="B838" s="13"/>
      <c r="L838" s="52">
        <v>45762</v>
      </c>
      <c r="M838" s="53">
        <v>0.46938657407407408</v>
      </c>
      <c r="N838" s="51" t="s">
        <v>209</v>
      </c>
      <c r="O838" s="51" t="s">
        <v>324</v>
      </c>
      <c r="P838" s="51" t="s">
        <v>750</v>
      </c>
      <c r="Q838" s="51" t="s">
        <v>80</v>
      </c>
      <c r="R838" s="51" t="s">
        <v>78</v>
      </c>
    </row>
    <row r="839" spans="1:18" x14ac:dyDescent="0.25">
      <c r="A839" s="13"/>
      <c r="B839" s="13"/>
      <c r="L839" s="52">
        <v>45762</v>
      </c>
      <c r="M839" s="53">
        <v>0.46938657407407408</v>
      </c>
      <c r="N839" s="51" t="s">
        <v>210</v>
      </c>
      <c r="O839" s="51" t="s">
        <v>324</v>
      </c>
      <c r="P839" s="51" t="s">
        <v>751</v>
      </c>
      <c r="Q839" s="51" t="s">
        <v>80</v>
      </c>
      <c r="R839" s="51" t="s">
        <v>78</v>
      </c>
    </row>
    <row r="840" spans="1:18" x14ac:dyDescent="0.25">
      <c r="A840" s="13"/>
      <c r="B840" s="13"/>
      <c r="L840" s="52">
        <v>45762</v>
      </c>
      <c r="M840" s="53">
        <v>0.46938657407407408</v>
      </c>
      <c r="N840" s="51" t="s">
        <v>211</v>
      </c>
      <c r="O840" s="51" t="s">
        <v>324</v>
      </c>
      <c r="P840" s="51" t="s">
        <v>106</v>
      </c>
      <c r="Q840" s="51" t="s">
        <v>80</v>
      </c>
      <c r="R840" s="51" t="s">
        <v>78</v>
      </c>
    </row>
    <row r="841" spans="1:18" x14ac:dyDescent="0.25">
      <c r="A841" s="13"/>
      <c r="B841" s="13"/>
      <c r="L841" s="52">
        <v>45762</v>
      </c>
      <c r="M841" s="53">
        <v>0.46938657407407408</v>
      </c>
      <c r="N841" s="51" t="s">
        <v>212</v>
      </c>
      <c r="O841" s="51" t="s">
        <v>324</v>
      </c>
      <c r="P841" s="51" t="s">
        <v>107</v>
      </c>
      <c r="Q841" s="51" t="s">
        <v>80</v>
      </c>
      <c r="R841" s="51" t="s">
        <v>78</v>
      </c>
    </row>
    <row r="842" spans="1:18" x14ac:dyDescent="0.25">
      <c r="A842" s="13"/>
      <c r="B842" s="13"/>
      <c r="L842" s="52">
        <v>45762</v>
      </c>
      <c r="M842" s="53">
        <v>0.46938657407407408</v>
      </c>
      <c r="N842" s="51" t="s">
        <v>213</v>
      </c>
      <c r="O842" s="51" t="s">
        <v>324</v>
      </c>
      <c r="P842" s="51" t="s">
        <v>108</v>
      </c>
      <c r="Q842" s="51" t="s">
        <v>80</v>
      </c>
      <c r="R842" s="51" t="s">
        <v>78</v>
      </c>
    </row>
    <row r="843" spans="1:18" x14ac:dyDescent="0.25">
      <c r="A843" s="13"/>
      <c r="B843" s="13"/>
      <c r="L843" s="52">
        <v>45762</v>
      </c>
      <c r="M843" s="53">
        <v>0.46938657407407408</v>
      </c>
      <c r="N843" s="51" t="s">
        <v>214</v>
      </c>
      <c r="O843" s="51" t="s">
        <v>324</v>
      </c>
      <c r="P843" s="51" t="s">
        <v>109</v>
      </c>
      <c r="Q843" s="51" t="s">
        <v>80</v>
      </c>
      <c r="R843" s="51" t="s">
        <v>78</v>
      </c>
    </row>
    <row r="844" spans="1:18" x14ac:dyDescent="0.25">
      <c r="A844" s="13"/>
      <c r="B844" s="13"/>
      <c r="L844" s="52">
        <v>45762</v>
      </c>
      <c r="M844" s="53">
        <v>0.46938657407407408</v>
      </c>
      <c r="N844" s="51" t="s">
        <v>215</v>
      </c>
      <c r="O844" s="51" t="s">
        <v>324</v>
      </c>
      <c r="P844" s="51" t="s">
        <v>110</v>
      </c>
      <c r="Q844" s="51" t="s">
        <v>80</v>
      </c>
      <c r="R844" s="51" t="s">
        <v>78</v>
      </c>
    </row>
    <row r="845" spans="1:18" x14ac:dyDescent="0.25">
      <c r="A845" s="13"/>
      <c r="B845" s="13"/>
      <c r="L845" s="52">
        <v>45762</v>
      </c>
      <c r="M845" s="53">
        <v>0.46938657407407408</v>
      </c>
      <c r="N845" s="51" t="s">
        <v>216</v>
      </c>
      <c r="O845" s="51" t="s">
        <v>324</v>
      </c>
      <c r="P845" s="51" t="s">
        <v>752</v>
      </c>
      <c r="Q845" s="51" t="s">
        <v>80</v>
      </c>
      <c r="R845" s="51" t="s">
        <v>78</v>
      </c>
    </row>
    <row r="846" spans="1:18" x14ac:dyDescent="0.25">
      <c r="A846" s="13"/>
      <c r="B846" s="13"/>
      <c r="L846" s="52">
        <v>45762</v>
      </c>
      <c r="M846" s="53">
        <v>0.46938657407407408</v>
      </c>
      <c r="N846" s="51" t="s">
        <v>217</v>
      </c>
      <c r="O846" s="51" t="s">
        <v>324</v>
      </c>
      <c r="P846" s="51" t="s">
        <v>753</v>
      </c>
      <c r="Q846" s="51" t="s">
        <v>80</v>
      </c>
      <c r="R846" s="51" t="s">
        <v>78</v>
      </c>
    </row>
    <row r="847" spans="1:18" x14ac:dyDescent="0.25">
      <c r="A847" s="13"/>
      <c r="B847" s="13"/>
      <c r="L847" s="52">
        <v>45762</v>
      </c>
      <c r="M847" s="53">
        <v>0.46938657407407408</v>
      </c>
      <c r="N847" s="51" t="s">
        <v>218</v>
      </c>
      <c r="O847" s="51" t="s">
        <v>324</v>
      </c>
      <c r="P847" s="51" t="s">
        <v>754</v>
      </c>
      <c r="Q847" s="51" t="s">
        <v>80</v>
      </c>
      <c r="R847" s="51" t="s">
        <v>78</v>
      </c>
    </row>
    <row r="848" spans="1:18" x14ac:dyDescent="0.25">
      <c r="A848" s="13"/>
      <c r="B848" s="13"/>
      <c r="L848" s="52">
        <v>45762</v>
      </c>
      <c r="M848" s="53">
        <v>0.46938657407407408</v>
      </c>
      <c r="N848" s="51" t="s">
        <v>219</v>
      </c>
      <c r="O848" s="51" t="s">
        <v>324</v>
      </c>
      <c r="P848" s="51" t="s">
        <v>755</v>
      </c>
      <c r="Q848" s="51" t="s">
        <v>80</v>
      </c>
      <c r="R848" s="51" t="s">
        <v>78</v>
      </c>
    </row>
    <row r="849" spans="1:18" x14ac:dyDescent="0.25">
      <c r="A849" s="13"/>
      <c r="B849" s="13"/>
      <c r="L849" s="52">
        <v>45762</v>
      </c>
      <c r="M849" s="53">
        <v>0.46938657407407408</v>
      </c>
      <c r="N849" s="51" t="s">
        <v>220</v>
      </c>
      <c r="O849" s="51" t="s">
        <v>324</v>
      </c>
      <c r="P849" s="51" t="s">
        <v>756</v>
      </c>
      <c r="Q849" s="51" t="s">
        <v>80</v>
      </c>
      <c r="R849" s="51" t="s">
        <v>78</v>
      </c>
    </row>
    <row r="850" spans="1:18" x14ac:dyDescent="0.25">
      <c r="A850" s="13"/>
      <c r="B850" s="13"/>
      <c r="L850" s="52">
        <v>45762</v>
      </c>
      <c r="M850" s="53">
        <v>0.46938657407407408</v>
      </c>
      <c r="N850" s="51" t="s">
        <v>221</v>
      </c>
      <c r="O850" s="51" t="s">
        <v>324</v>
      </c>
      <c r="P850" s="51" t="s">
        <v>757</v>
      </c>
      <c r="Q850" s="51" t="s">
        <v>80</v>
      </c>
      <c r="R850" s="51" t="s">
        <v>78</v>
      </c>
    </row>
    <row r="851" spans="1:18" x14ac:dyDescent="0.25">
      <c r="A851" s="13"/>
      <c r="B851" s="13"/>
      <c r="L851" s="52">
        <v>45762</v>
      </c>
      <c r="M851" s="53">
        <v>0.46938657407407408</v>
      </c>
      <c r="N851" s="51" t="s">
        <v>222</v>
      </c>
      <c r="O851" s="51" t="s">
        <v>324</v>
      </c>
      <c r="P851" s="51" t="s">
        <v>758</v>
      </c>
      <c r="Q851" s="51" t="s">
        <v>80</v>
      </c>
      <c r="R851" s="51" t="s">
        <v>78</v>
      </c>
    </row>
    <row r="852" spans="1:18" x14ac:dyDescent="0.25">
      <c r="A852" s="13"/>
      <c r="B852" s="13"/>
      <c r="L852" s="52">
        <v>45762</v>
      </c>
      <c r="M852" s="53">
        <v>0.46938657407407408</v>
      </c>
      <c r="N852" s="51" t="s">
        <v>223</v>
      </c>
      <c r="O852" s="51" t="s">
        <v>324</v>
      </c>
      <c r="P852" s="51" t="s">
        <v>759</v>
      </c>
      <c r="Q852" s="51" t="s">
        <v>80</v>
      </c>
      <c r="R852" s="51" t="s">
        <v>78</v>
      </c>
    </row>
    <row r="853" spans="1:18" x14ac:dyDescent="0.25">
      <c r="A853" s="13"/>
      <c r="B853" s="13"/>
      <c r="L853" s="52">
        <v>45762</v>
      </c>
      <c r="M853" s="53">
        <v>0.46938657407407408</v>
      </c>
      <c r="N853" s="51" t="s">
        <v>224</v>
      </c>
      <c r="O853" s="51" t="s">
        <v>324</v>
      </c>
      <c r="P853" s="51" t="s">
        <v>760</v>
      </c>
      <c r="Q853" s="51" t="s">
        <v>80</v>
      </c>
      <c r="R853" s="51" t="s">
        <v>78</v>
      </c>
    </row>
    <row r="854" spans="1:18" x14ac:dyDescent="0.25">
      <c r="A854" s="13"/>
      <c r="B854" s="13"/>
      <c r="L854" s="52">
        <v>45762</v>
      </c>
      <c r="M854" s="53">
        <v>0.46938657407407408</v>
      </c>
      <c r="N854" s="51" t="s">
        <v>225</v>
      </c>
      <c r="O854" s="51" t="s">
        <v>324</v>
      </c>
      <c r="P854" s="51" t="s">
        <v>761</v>
      </c>
      <c r="Q854" s="51" t="s">
        <v>80</v>
      </c>
      <c r="R854" s="51" t="s">
        <v>78</v>
      </c>
    </row>
    <row r="855" spans="1:18" x14ac:dyDescent="0.25">
      <c r="A855" s="13"/>
      <c r="B855" s="13"/>
      <c r="L855" s="52">
        <v>45762</v>
      </c>
      <c r="M855" s="53">
        <v>0.46938657407407408</v>
      </c>
      <c r="N855" s="51" t="s">
        <v>226</v>
      </c>
      <c r="O855" s="51" t="s">
        <v>324</v>
      </c>
      <c r="P855" s="51" t="s">
        <v>762</v>
      </c>
      <c r="Q855" s="51" t="s">
        <v>80</v>
      </c>
      <c r="R855" s="51" t="s">
        <v>78</v>
      </c>
    </row>
    <row r="856" spans="1:18" x14ac:dyDescent="0.25">
      <c r="A856" s="13"/>
      <c r="B856" s="13"/>
      <c r="L856" s="52">
        <v>45762</v>
      </c>
      <c r="M856" s="53">
        <v>0.46938657407407408</v>
      </c>
      <c r="N856" s="51" t="s">
        <v>227</v>
      </c>
      <c r="O856" s="51" t="s">
        <v>324</v>
      </c>
      <c r="P856" s="51" t="s">
        <v>763</v>
      </c>
      <c r="Q856" s="51" t="s">
        <v>80</v>
      </c>
      <c r="R856" s="51" t="s">
        <v>78</v>
      </c>
    </row>
    <row r="857" spans="1:18" x14ac:dyDescent="0.25">
      <c r="A857" s="13"/>
      <c r="B857" s="13"/>
      <c r="L857" s="52">
        <v>45762</v>
      </c>
      <c r="M857" s="53">
        <v>0.46938657407407408</v>
      </c>
      <c r="N857" s="51" t="s">
        <v>228</v>
      </c>
      <c r="O857" s="51" t="s">
        <v>324</v>
      </c>
      <c r="P857" s="51" t="s">
        <v>764</v>
      </c>
      <c r="Q857" s="51" t="s">
        <v>80</v>
      </c>
      <c r="R857" s="51" t="s">
        <v>78</v>
      </c>
    </row>
    <row r="858" spans="1:18" x14ac:dyDescent="0.25">
      <c r="A858" s="13"/>
      <c r="B858" s="13"/>
      <c r="L858" s="52">
        <v>45762</v>
      </c>
      <c r="M858" s="53">
        <v>0.46938657407407408</v>
      </c>
      <c r="N858" s="51" t="s">
        <v>229</v>
      </c>
      <c r="O858" s="51" t="s">
        <v>324</v>
      </c>
      <c r="P858" s="51" t="s">
        <v>765</v>
      </c>
      <c r="Q858" s="51" t="s">
        <v>80</v>
      </c>
      <c r="R858" s="51" t="s">
        <v>78</v>
      </c>
    </row>
    <row r="859" spans="1:18" x14ac:dyDescent="0.25">
      <c r="A859" s="13"/>
      <c r="B859" s="13"/>
      <c r="L859" s="52">
        <v>45762</v>
      </c>
      <c r="M859" s="53">
        <v>0.46938657407407408</v>
      </c>
      <c r="N859" s="51" t="s">
        <v>230</v>
      </c>
      <c r="O859" s="51" t="s">
        <v>324</v>
      </c>
      <c r="P859" s="51" t="s">
        <v>766</v>
      </c>
      <c r="Q859" s="51" t="s">
        <v>80</v>
      </c>
      <c r="R859" s="51" t="s">
        <v>78</v>
      </c>
    </row>
    <row r="860" spans="1:18" x14ac:dyDescent="0.25">
      <c r="A860" s="13"/>
      <c r="B860" s="13"/>
      <c r="L860" s="52">
        <v>45762</v>
      </c>
      <c r="M860" s="53">
        <v>0.46938657407407408</v>
      </c>
      <c r="N860" s="51" t="s">
        <v>231</v>
      </c>
      <c r="O860" s="51" t="s">
        <v>324</v>
      </c>
      <c r="P860" s="51" t="s">
        <v>767</v>
      </c>
      <c r="Q860" s="51" t="s">
        <v>80</v>
      </c>
      <c r="R860" s="51" t="s">
        <v>78</v>
      </c>
    </row>
    <row r="861" spans="1:18" x14ac:dyDescent="0.25">
      <c r="A861" s="13"/>
      <c r="B861" s="13"/>
      <c r="L861" s="52">
        <v>45762</v>
      </c>
      <c r="M861" s="53">
        <v>0.46938657407407408</v>
      </c>
      <c r="N861" s="51" t="s">
        <v>232</v>
      </c>
      <c r="O861" s="51" t="s">
        <v>324</v>
      </c>
      <c r="P861" s="51" t="s">
        <v>768</v>
      </c>
      <c r="Q861" s="51" t="s">
        <v>80</v>
      </c>
      <c r="R861" s="51" t="s">
        <v>78</v>
      </c>
    </row>
    <row r="862" spans="1:18" x14ac:dyDescent="0.25">
      <c r="A862" s="13"/>
      <c r="B862" s="13"/>
      <c r="L862" s="52">
        <v>45762</v>
      </c>
      <c r="M862" s="53">
        <v>0.46938657407407408</v>
      </c>
      <c r="N862" s="51" t="s">
        <v>233</v>
      </c>
      <c r="O862" s="51" t="s">
        <v>324</v>
      </c>
      <c r="P862" s="51" t="s">
        <v>769</v>
      </c>
      <c r="Q862" s="51" t="s">
        <v>80</v>
      </c>
      <c r="R862" s="51" t="s">
        <v>78</v>
      </c>
    </row>
    <row r="863" spans="1:18" x14ac:dyDescent="0.25">
      <c r="A863" s="13"/>
      <c r="B863" s="13"/>
      <c r="L863" s="52">
        <v>45762</v>
      </c>
      <c r="M863" s="53">
        <v>0.46938657407407408</v>
      </c>
      <c r="N863" s="51" t="s">
        <v>234</v>
      </c>
      <c r="O863" s="51" t="s">
        <v>324</v>
      </c>
      <c r="P863" s="51" t="s">
        <v>770</v>
      </c>
      <c r="Q863" s="51" t="s">
        <v>80</v>
      </c>
      <c r="R863" s="51" t="s">
        <v>78</v>
      </c>
    </row>
    <row r="864" spans="1:18" x14ac:dyDescent="0.25">
      <c r="A864" s="13"/>
      <c r="B864" s="13"/>
      <c r="L864" s="52">
        <v>45762</v>
      </c>
      <c r="M864" s="53">
        <v>0.46938657407407408</v>
      </c>
      <c r="N864" s="51" t="s">
        <v>235</v>
      </c>
      <c r="O864" s="51" t="s">
        <v>324</v>
      </c>
      <c r="P864" s="51" t="s">
        <v>771</v>
      </c>
      <c r="Q864" s="51" t="s">
        <v>80</v>
      </c>
      <c r="R864" s="51" t="s">
        <v>78</v>
      </c>
    </row>
    <row r="865" spans="1:18" x14ac:dyDescent="0.25">
      <c r="A865" s="13"/>
      <c r="B865" s="13"/>
      <c r="L865" s="52">
        <v>45762</v>
      </c>
      <c r="M865" s="53">
        <v>0.46938657407407408</v>
      </c>
      <c r="N865" s="51" t="s">
        <v>236</v>
      </c>
      <c r="O865" s="51" t="s">
        <v>324</v>
      </c>
      <c r="P865" s="51" t="s">
        <v>772</v>
      </c>
      <c r="Q865" s="51" t="s">
        <v>80</v>
      </c>
      <c r="R865" s="51" t="s">
        <v>78</v>
      </c>
    </row>
    <row r="866" spans="1:18" x14ac:dyDescent="0.25">
      <c r="A866" s="13"/>
      <c r="B866" s="13"/>
      <c r="L866" s="52">
        <v>45762</v>
      </c>
      <c r="M866" s="53">
        <v>0.46938657407407408</v>
      </c>
      <c r="N866" s="51" t="s">
        <v>237</v>
      </c>
      <c r="O866" s="51" t="s">
        <v>324</v>
      </c>
      <c r="P866" s="51" t="s">
        <v>773</v>
      </c>
      <c r="Q866" s="51" t="s">
        <v>80</v>
      </c>
      <c r="R866" s="51" t="s">
        <v>78</v>
      </c>
    </row>
    <row r="867" spans="1:18" x14ac:dyDescent="0.25">
      <c r="A867" s="13"/>
      <c r="B867" s="13"/>
      <c r="L867" s="52">
        <v>45762</v>
      </c>
      <c r="M867" s="53">
        <v>0.46938657407407408</v>
      </c>
      <c r="N867" s="51" t="s">
        <v>238</v>
      </c>
      <c r="O867" s="51" t="s">
        <v>324</v>
      </c>
      <c r="P867" s="51" t="s">
        <v>774</v>
      </c>
      <c r="Q867" s="51" t="s">
        <v>80</v>
      </c>
      <c r="R867" s="51" t="s">
        <v>78</v>
      </c>
    </row>
    <row r="868" spans="1:18" x14ac:dyDescent="0.25">
      <c r="A868" s="13"/>
      <c r="B868" s="13"/>
      <c r="L868" s="52">
        <v>45762</v>
      </c>
      <c r="M868" s="53">
        <v>0.46938657407407408</v>
      </c>
      <c r="N868" s="51" t="s">
        <v>239</v>
      </c>
      <c r="O868" s="51" t="s">
        <v>324</v>
      </c>
      <c r="P868" s="51" t="s">
        <v>775</v>
      </c>
      <c r="Q868" s="51" t="s">
        <v>80</v>
      </c>
      <c r="R868" s="51" t="s">
        <v>78</v>
      </c>
    </row>
    <row r="869" spans="1:18" x14ac:dyDescent="0.25">
      <c r="A869" s="13"/>
      <c r="B869" s="13"/>
      <c r="L869" s="52">
        <v>45762</v>
      </c>
      <c r="M869" s="53">
        <v>0.46938657407407408</v>
      </c>
      <c r="N869" s="51" t="s">
        <v>240</v>
      </c>
      <c r="O869" s="51" t="s">
        <v>324</v>
      </c>
      <c r="P869" s="51" t="s">
        <v>776</v>
      </c>
      <c r="Q869" s="51" t="s">
        <v>80</v>
      </c>
      <c r="R869" s="51" t="s">
        <v>78</v>
      </c>
    </row>
    <row r="870" spans="1:18" x14ac:dyDescent="0.25">
      <c r="A870" s="13"/>
      <c r="B870" s="13"/>
      <c r="L870" s="52">
        <v>45762</v>
      </c>
      <c r="M870" s="53">
        <v>0.46938657407407408</v>
      </c>
      <c r="N870" s="51" t="s">
        <v>241</v>
      </c>
      <c r="O870" s="51" t="s">
        <v>324</v>
      </c>
      <c r="P870" s="51" t="s">
        <v>777</v>
      </c>
      <c r="Q870" s="51" t="s">
        <v>80</v>
      </c>
      <c r="R870" s="51" t="s">
        <v>78</v>
      </c>
    </row>
    <row r="871" spans="1:18" x14ac:dyDescent="0.25">
      <c r="A871" s="13"/>
      <c r="B871" s="13"/>
      <c r="L871" s="52">
        <v>45762</v>
      </c>
      <c r="M871" s="53">
        <v>0.46938657407407408</v>
      </c>
      <c r="N871" s="51" t="s">
        <v>242</v>
      </c>
      <c r="O871" s="51" t="s">
        <v>324</v>
      </c>
      <c r="P871" s="51" t="s">
        <v>778</v>
      </c>
      <c r="Q871" s="51" t="s">
        <v>80</v>
      </c>
      <c r="R871" s="51" t="s">
        <v>78</v>
      </c>
    </row>
    <row r="872" spans="1:18" x14ac:dyDescent="0.25">
      <c r="A872" s="13"/>
      <c r="B872" s="13"/>
      <c r="L872" s="52">
        <v>45762</v>
      </c>
      <c r="M872" s="53">
        <v>0.46938657407407408</v>
      </c>
      <c r="N872" s="51" t="s">
        <v>243</v>
      </c>
      <c r="O872" s="51" t="s">
        <v>324</v>
      </c>
      <c r="P872" s="51" t="s">
        <v>779</v>
      </c>
      <c r="Q872" s="51" t="s">
        <v>80</v>
      </c>
      <c r="R872" s="51" t="s">
        <v>78</v>
      </c>
    </row>
    <row r="873" spans="1:18" x14ac:dyDescent="0.25">
      <c r="A873" s="13"/>
      <c r="B873" s="13"/>
      <c r="L873" s="52">
        <v>45762</v>
      </c>
      <c r="M873" s="53">
        <v>0.46938657407407408</v>
      </c>
      <c r="N873" s="51" t="s">
        <v>244</v>
      </c>
      <c r="O873" s="51" t="s">
        <v>324</v>
      </c>
      <c r="P873" s="51" t="s">
        <v>780</v>
      </c>
      <c r="Q873" s="51" t="s">
        <v>80</v>
      </c>
      <c r="R873" s="51" t="s">
        <v>78</v>
      </c>
    </row>
    <row r="874" spans="1:18" x14ac:dyDescent="0.25">
      <c r="A874" s="13"/>
      <c r="B874" s="13"/>
      <c r="L874" s="52">
        <v>45762</v>
      </c>
      <c r="M874" s="53">
        <v>0.46938657407407408</v>
      </c>
      <c r="N874" s="51" t="s">
        <v>245</v>
      </c>
      <c r="O874" s="51" t="s">
        <v>324</v>
      </c>
      <c r="P874" s="51" t="s">
        <v>781</v>
      </c>
      <c r="Q874" s="51" t="s">
        <v>80</v>
      </c>
      <c r="R874" s="51" t="s">
        <v>78</v>
      </c>
    </row>
    <row r="875" spans="1:18" x14ac:dyDescent="0.25">
      <c r="A875" s="13"/>
      <c r="B875" s="13"/>
      <c r="L875" s="52">
        <v>45762</v>
      </c>
      <c r="M875" s="53">
        <v>0.46938657407407408</v>
      </c>
      <c r="N875" s="51" t="s">
        <v>246</v>
      </c>
      <c r="O875" s="51" t="s">
        <v>324</v>
      </c>
      <c r="P875" s="51" t="s">
        <v>782</v>
      </c>
      <c r="Q875" s="51" t="s">
        <v>80</v>
      </c>
      <c r="R875" s="51" t="s">
        <v>78</v>
      </c>
    </row>
    <row r="876" spans="1:18" x14ac:dyDescent="0.25">
      <c r="A876" s="13"/>
      <c r="B876" s="13"/>
      <c r="L876" s="52">
        <v>45762</v>
      </c>
      <c r="M876" s="53">
        <v>0.46938657407407408</v>
      </c>
      <c r="N876" s="51" t="s">
        <v>247</v>
      </c>
      <c r="O876" s="51" t="s">
        <v>324</v>
      </c>
      <c r="P876" s="51" t="s">
        <v>783</v>
      </c>
      <c r="Q876" s="51" t="s">
        <v>80</v>
      </c>
      <c r="R876" s="51" t="s">
        <v>78</v>
      </c>
    </row>
    <row r="877" spans="1:18" x14ac:dyDescent="0.25">
      <c r="A877" s="13"/>
      <c r="B877" s="13"/>
      <c r="L877" s="52">
        <v>45762</v>
      </c>
      <c r="M877" s="53">
        <v>0.46938657407407408</v>
      </c>
      <c r="N877" s="51" t="s">
        <v>248</v>
      </c>
      <c r="O877" s="51" t="s">
        <v>324</v>
      </c>
      <c r="P877" s="51" t="s">
        <v>784</v>
      </c>
      <c r="Q877" s="51" t="s">
        <v>80</v>
      </c>
      <c r="R877" s="51" t="s">
        <v>78</v>
      </c>
    </row>
    <row r="878" spans="1:18" x14ac:dyDescent="0.25">
      <c r="A878" s="13"/>
      <c r="B878" s="13"/>
      <c r="L878" s="52">
        <v>45762</v>
      </c>
      <c r="M878" s="53">
        <v>0.46938657407407408</v>
      </c>
      <c r="N878" s="51" t="s">
        <v>249</v>
      </c>
      <c r="O878" s="51" t="s">
        <v>324</v>
      </c>
      <c r="P878" s="51" t="s">
        <v>785</v>
      </c>
      <c r="Q878" s="51" t="s">
        <v>80</v>
      </c>
      <c r="R878" s="51" t="s">
        <v>78</v>
      </c>
    </row>
    <row r="879" spans="1:18" x14ac:dyDescent="0.25">
      <c r="A879" s="13"/>
      <c r="B879" s="13"/>
      <c r="L879" s="52">
        <v>45762</v>
      </c>
      <c r="M879" s="53">
        <v>0.46938657407407408</v>
      </c>
      <c r="N879" s="51" t="s">
        <v>250</v>
      </c>
      <c r="O879" s="51" t="s">
        <v>324</v>
      </c>
      <c r="P879" s="51" t="s">
        <v>786</v>
      </c>
      <c r="Q879" s="51" t="s">
        <v>80</v>
      </c>
      <c r="R879" s="51" t="s">
        <v>78</v>
      </c>
    </row>
    <row r="880" spans="1:18" x14ac:dyDescent="0.25">
      <c r="A880" s="13"/>
      <c r="B880" s="13"/>
      <c r="L880" s="52">
        <v>45762</v>
      </c>
      <c r="M880" s="53">
        <v>0.46938657407407408</v>
      </c>
      <c r="N880" s="51" t="s">
        <v>251</v>
      </c>
      <c r="O880" s="51" t="s">
        <v>324</v>
      </c>
      <c r="P880" s="51" t="s">
        <v>787</v>
      </c>
      <c r="Q880" s="51" t="s">
        <v>80</v>
      </c>
      <c r="R880" s="51" t="s">
        <v>78</v>
      </c>
    </row>
    <row r="881" spans="1:18" x14ac:dyDescent="0.25">
      <c r="A881" s="13"/>
      <c r="B881" s="13"/>
      <c r="L881" s="52">
        <v>45762</v>
      </c>
      <c r="M881" s="53">
        <v>0.46938657407407408</v>
      </c>
      <c r="N881" s="51" t="s">
        <v>252</v>
      </c>
      <c r="O881" s="51" t="s">
        <v>324</v>
      </c>
      <c r="P881" s="51" t="s">
        <v>788</v>
      </c>
      <c r="Q881" s="51" t="s">
        <v>80</v>
      </c>
      <c r="R881" s="51" t="s">
        <v>78</v>
      </c>
    </row>
    <row r="882" spans="1:18" x14ac:dyDescent="0.25">
      <c r="A882" s="13"/>
      <c r="B882" s="13"/>
      <c r="L882" s="52">
        <v>45762</v>
      </c>
      <c r="M882" s="53">
        <v>0.46938657407407408</v>
      </c>
      <c r="N882" s="51" t="s">
        <v>253</v>
      </c>
      <c r="O882" s="51" t="s">
        <v>324</v>
      </c>
      <c r="P882" s="51" t="s">
        <v>789</v>
      </c>
      <c r="Q882" s="51" t="s">
        <v>80</v>
      </c>
      <c r="R882" s="51" t="s">
        <v>78</v>
      </c>
    </row>
    <row r="883" spans="1:18" x14ac:dyDescent="0.25">
      <c r="A883" s="13"/>
      <c r="B883" s="13"/>
      <c r="L883" s="52">
        <v>45762</v>
      </c>
      <c r="M883" s="53">
        <v>0.46938657407407408</v>
      </c>
      <c r="N883" s="51" t="s">
        <v>254</v>
      </c>
      <c r="O883" s="51" t="s">
        <v>324</v>
      </c>
      <c r="P883" s="51" t="s">
        <v>790</v>
      </c>
      <c r="Q883" s="51" t="s">
        <v>80</v>
      </c>
      <c r="R883" s="51" t="s">
        <v>78</v>
      </c>
    </row>
    <row r="884" spans="1:18" x14ac:dyDescent="0.25">
      <c r="A884" s="13"/>
      <c r="B884" s="13"/>
      <c r="L884" s="52">
        <v>45762</v>
      </c>
      <c r="M884" s="53">
        <v>0.46938657407407408</v>
      </c>
      <c r="N884" s="51" t="s">
        <v>255</v>
      </c>
      <c r="O884" s="51" t="s">
        <v>324</v>
      </c>
      <c r="P884" s="51" t="s">
        <v>791</v>
      </c>
      <c r="Q884" s="51" t="s">
        <v>80</v>
      </c>
      <c r="R884" s="51" t="s">
        <v>78</v>
      </c>
    </row>
    <row r="885" spans="1:18" x14ac:dyDescent="0.25">
      <c r="A885" s="13"/>
      <c r="B885" s="13"/>
      <c r="L885" s="52">
        <v>45762</v>
      </c>
      <c r="M885" s="53">
        <v>0.46938657407407408</v>
      </c>
      <c r="N885" s="51" t="s">
        <v>256</v>
      </c>
      <c r="O885" s="51" t="s">
        <v>324</v>
      </c>
      <c r="P885" s="51" t="s">
        <v>792</v>
      </c>
      <c r="Q885" s="51" t="s">
        <v>80</v>
      </c>
      <c r="R885" s="51" t="s">
        <v>78</v>
      </c>
    </row>
    <row r="886" spans="1:18" x14ac:dyDescent="0.25">
      <c r="A886" s="13"/>
      <c r="B886" s="13"/>
      <c r="L886" s="52">
        <v>45762</v>
      </c>
      <c r="M886" s="53">
        <v>0.46938657407407408</v>
      </c>
      <c r="N886" s="51" t="s">
        <v>257</v>
      </c>
      <c r="O886" s="51" t="s">
        <v>324</v>
      </c>
      <c r="P886" s="51" t="s">
        <v>793</v>
      </c>
      <c r="Q886" s="51" t="s">
        <v>80</v>
      </c>
      <c r="R886" s="51" t="s">
        <v>78</v>
      </c>
    </row>
    <row r="887" spans="1:18" x14ac:dyDescent="0.25">
      <c r="A887" s="13"/>
      <c r="B887" s="13"/>
      <c r="L887" s="52">
        <v>45762</v>
      </c>
      <c r="M887" s="53">
        <v>0.46938657407407408</v>
      </c>
      <c r="N887" s="51" t="s">
        <v>258</v>
      </c>
      <c r="O887" s="51" t="s">
        <v>324</v>
      </c>
      <c r="P887" s="51" t="s">
        <v>794</v>
      </c>
      <c r="Q887" s="51" t="s">
        <v>80</v>
      </c>
      <c r="R887" s="51" t="s">
        <v>78</v>
      </c>
    </row>
    <row r="888" spans="1:18" x14ac:dyDescent="0.25">
      <c r="A888" s="13"/>
      <c r="B888" s="13"/>
      <c r="L888" s="52">
        <v>45762</v>
      </c>
      <c r="M888" s="53">
        <v>0.46938657407407408</v>
      </c>
      <c r="N888" s="51" t="s">
        <v>259</v>
      </c>
      <c r="O888" s="51" t="s">
        <v>324</v>
      </c>
      <c r="P888" s="51" t="s">
        <v>795</v>
      </c>
      <c r="Q888" s="51" t="s">
        <v>80</v>
      </c>
      <c r="R888" s="51" t="s">
        <v>78</v>
      </c>
    </row>
    <row r="889" spans="1:18" x14ac:dyDescent="0.25">
      <c r="A889" s="13"/>
      <c r="B889" s="13"/>
      <c r="L889" s="52">
        <v>45762</v>
      </c>
      <c r="M889" s="53">
        <v>0.46938657407407408</v>
      </c>
      <c r="N889" s="51" t="s">
        <v>260</v>
      </c>
      <c r="O889" s="51" t="s">
        <v>324</v>
      </c>
      <c r="P889" s="51" t="s">
        <v>796</v>
      </c>
      <c r="Q889" s="51" t="s">
        <v>80</v>
      </c>
      <c r="R889" s="51" t="s">
        <v>78</v>
      </c>
    </row>
    <row r="890" spans="1:18" x14ac:dyDescent="0.25">
      <c r="A890" s="13"/>
      <c r="B890" s="13"/>
      <c r="L890" s="52">
        <v>45762</v>
      </c>
      <c r="M890" s="53">
        <v>0.46938657407407408</v>
      </c>
      <c r="N890" s="51" t="s">
        <v>261</v>
      </c>
      <c r="O890" s="51" t="s">
        <v>324</v>
      </c>
      <c r="P890" s="51" t="s">
        <v>797</v>
      </c>
      <c r="Q890" s="51" t="s">
        <v>80</v>
      </c>
      <c r="R890" s="51" t="s">
        <v>78</v>
      </c>
    </row>
    <row r="891" spans="1:18" x14ac:dyDescent="0.25">
      <c r="A891" s="13"/>
      <c r="B891" s="13"/>
      <c r="L891" s="52">
        <v>45762</v>
      </c>
      <c r="M891" s="53">
        <v>0.46938657407407408</v>
      </c>
      <c r="N891" s="51" t="s">
        <v>262</v>
      </c>
      <c r="O891" s="51" t="s">
        <v>324</v>
      </c>
      <c r="P891" s="51" t="s">
        <v>798</v>
      </c>
      <c r="Q891" s="51" t="s">
        <v>80</v>
      </c>
      <c r="R891" s="51" t="s">
        <v>78</v>
      </c>
    </row>
    <row r="892" spans="1:18" x14ac:dyDescent="0.25">
      <c r="A892" s="13"/>
      <c r="B892" s="13"/>
      <c r="L892" s="52">
        <v>45762</v>
      </c>
      <c r="M892" s="53">
        <v>0.46938657407407408</v>
      </c>
      <c r="N892" s="51" t="s">
        <v>263</v>
      </c>
      <c r="O892" s="51" t="s">
        <v>324</v>
      </c>
      <c r="P892" s="51" t="s">
        <v>799</v>
      </c>
      <c r="Q892" s="51" t="s">
        <v>80</v>
      </c>
      <c r="R892" s="51" t="s">
        <v>78</v>
      </c>
    </row>
    <row r="893" spans="1:18" x14ac:dyDescent="0.25">
      <c r="A893" s="13"/>
      <c r="B893" s="13"/>
      <c r="L893" s="52">
        <v>45762</v>
      </c>
      <c r="M893" s="53">
        <v>0.46938657407407408</v>
      </c>
      <c r="N893" s="51" t="s">
        <v>264</v>
      </c>
      <c r="O893" s="51" t="s">
        <v>324</v>
      </c>
      <c r="P893" s="51" t="s">
        <v>800</v>
      </c>
      <c r="Q893" s="51" t="s">
        <v>80</v>
      </c>
      <c r="R893" s="51" t="s">
        <v>78</v>
      </c>
    </row>
    <row r="894" spans="1:18" x14ac:dyDescent="0.25">
      <c r="A894" s="13"/>
      <c r="B894" s="13"/>
      <c r="L894" s="52">
        <v>45762</v>
      </c>
      <c r="M894" s="53">
        <v>0.46938657407407408</v>
      </c>
      <c r="N894" s="51" t="s">
        <v>265</v>
      </c>
      <c r="O894" s="51" t="s">
        <v>324</v>
      </c>
      <c r="P894" s="51" t="s">
        <v>801</v>
      </c>
      <c r="Q894" s="51" t="s">
        <v>80</v>
      </c>
      <c r="R894" s="51" t="s">
        <v>78</v>
      </c>
    </row>
    <row r="895" spans="1:18" x14ac:dyDescent="0.25">
      <c r="A895" s="13"/>
      <c r="B895" s="13"/>
      <c r="L895" s="52">
        <v>45762</v>
      </c>
      <c r="M895" s="53">
        <v>0.46938657407407408</v>
      </c>
      <c r="N895" s="51" t="s">
        <v>266</v>
      </c>
      <c r="O895" s="51" t="s">
        <v>324</v>
      </c>
      <c r="P895" s="51" t="s">
        <v>802</v>
      </c>
      <c r="Q895" s="51" t="s">
        <v>80</v>
      </c>
      <c r="R895" s="51" t="s">
        <v>78</v>
      </c>
    </row>
    <row r="896" spans="1:18" x14ac:dyDescent="0.25">
      <c r="A896" s="13"/>
      <c r="B896" s="13"/>
      <c r="L896" s="52">
        <v>45762</v>
      </c>
      <c r="M896" s="53">
        <v>0.46938657407407408</v>
      </c>
      <c r="N896" s="51" t="s">
        <v>267</v>
      </c>
      <c r="O896" s="51" t="s">
        <v>324</v>
      </c>
      <c r="P896" s="51" t="s">
        <v>803</v>
      </c>
      <c r="Q896" s="51" t="s">
        <v>80</v>
      </c>
      <c r="R896" s="51" t="s">
        <v>78</v>
      </c>
    </row>
    <row r="897" spans="1:18" x14ac:dyDescent="0.25">
      <c r="A897" s="13"/>
      <c r="B897" s="13"/>
      <c r="L897" s="52">
        <v>45762</v>
      </c>
      <c r="M897" s="53">
        <v>0.46938657407407408</v>
      </c>
      <c r="N897" s="51" t="s">
        <v>268</v>
      </c>
      <c r="O897" s="51" t="s">
        <v>324</v>
      </c>
      <c r="P897" s="51" t="s">
        <v>804</v>
      </c>
      <c r="Q897" s="51" t="s">
        <v>80</v>
      </c>
      <c r="R897" s="51" t="s">
        <v>78</v>
      </c>
    </row>
    <row r="898" spans="1:18" x14ac:dyDescent="0.25">
      <c r="A898" s="13"/>
      <c r="B898" s="13"/>
      <c r="L898" s="52">
        <v>45762</v>
      </c>
      <c r="M898" s="53">
        <v>0.46938657407407408</v>
      </c>
      <c r="N898" s="51" t="s">
        <v>269</v>
      </c>
      <c r="O898" s="51" t="s">
        <v>324</v>
      </c>
      <c r="P898" s="51" t="s">
        <v>805</v>
      </c>
      <c r="Q898" s="51" t="s">
        <v>80</v>
      </c>
      <c r="R898" s="51" t="s">
        <v>78</v>
      </c>
    </row>
    <row r="899" spans="1:18" x14ac:dyDescent="0.25">
      <c r="A899" s="13"/>
      <c r="B899" s="13"/>
      <c r="L899" s="52">
        <v>45762</v>
      </c>
      <c r="M899" s="53">
        <v>0.46938657407407408</v>
      </c>
      <c r="N899" s="51" t="s">
        <v>270</v>
      </c>
      <c r="O899" s="51" t="s">
        <v>324</v>
      </c>
      <c r="P899" s="51" t="s">
        <v>806</v>
      </c>
      <c r="Q899" s="51" t="s">
        <v>80</v>
      </c>
      <c r="R899" s="51" t="s">
        <v>78</v>
      </c>
    </row>
    <row r="900" spans="1:18" x14ac:dyDescent="0.25">
      <c r="A900" s="13"/>
      <c r="B900" s="13"/>
      <c r="L900" s="52">
        <v>45762</v>
      </c>
      <c r="M900" s="53">
        <v>0.46938657407407408</v>
      </c>
      <c r="N900" s="51" t="s">
        <v>271</v>
      </c>
      <c r="O900" s="51" t="s">
        <v>324</v>
      </c>
      <c r="P900" s="51" t="s">
        <v>807</v>
      </c>
      <c r="Q900" s="51" t="s">
        <v>80</v>
      </c>
      <c r="R900" s="51" t="s">
        <v>78</v>
      </c>
    </row>
    <row r="901" spans="1:18" x14ac:dyDescent="0.25">
      <c r="A901" s="13"/>
      <c r="B901" s="13"/>
      <c r="L901" s="52">
        <v>45762</v>
      </c>
      <c r="M901" s="53">
        <v>0.46938657407407408</v>
      </c>
      <c r="N901" s="51" t="s">
        <v>272</v>
      </c>
      <c r="O901" s="51" t="s">
        <v>324</v>
      </c>
      <c r="P901" s="51" t="s">
        <v>808</v>
      </c>
      <c r="Q901" s="51" t="s">
        <v>80</v>
      </c>
      <c r="R901" s="51" t="s">
        <v>78</v>
      </c>
    </row>
    <row r="902" spans="1:18" x14ac:dyDescent="0.25">
      <c r="A902" s="13"/>
      <c r="B902" s="13"/>
      <c r="L902" s="52">
        <v>45762</v>
      </c>
      <c r="M902" s="53">
        <v>0.46938657407407408</v>
      </c>
      <c r="N902" s="51" t="s">
        <v>273</v>
      </c>
      <c r="O902" s="51" t="s">
        <v>324</v>
      </c>
      <c r="P902" s="51" t="s">
        <v>809</v>
      </c>
      <c r="Q902" s="51" t="s">
        <v>80</v>
      </c>
      <c r="R902" s="51" t="s">
        <v>78</v>
      </c>
    </row>
    <row r="903" spans="1:18" x14ac:dyDescent="0.25">
      <c r="A903" s="13"/>
      <c r="B903" s="13"/>
      <c r="L903" s="52">
        <v>45762</v>
      </c>
      <c r="M903" s="53">
        <v>0.46938657407407408</v>
      </c>
      <c r="N903" s="51" t="s">
        <v>274</v>
      </c>
      <c r="O903" s="51" t="s">
        <v>324</v>
      </c>
      <c r="P903" s="51" t="s">
        <v>810</v>
      </c>
      <c r="Q903" s="51" t="s">
        <v>80</v>
      </c>
      <c r="R903" s="51" t="s">
        <v>78</v>
      </c>
    </row>
    <row r="904" spans="1:18" x14ac:dyDescent="0.25">
      <c r="A904" s="13"/>
      <c r="B904" s="13"/>
      <c r="L904" s="52">
        <v>45762</v>
      </c>
      <c r="M904" s="53">
        <v>0.46938657407407408</v>
      </c>
      <c r="N904" s="51" t="s">
        <v>275</v>
      </c>
      <c r="O904" s="51" t="s">
        <v>324</v>
      </c>
      <c r="P904" s="51" t="s">
        <v>811</v>
      </c>
      <c r="Q904" s="51" t="s">
        <v>80</v>
      </c>
      <c r="R904" s="51" t="s">
        <v>78</v>
      </c>
    </row>
    <row r="905" spans="1:18" x14ac:dyDescent="0.25">
      <c r="A905" s="13"/>
      <c r="B905" s="13"/>
      <c r="L905" s="52">
        <v>45762</v>
      </c>
      <c r="M905" s="53">
        <v>0.46938657407407408</v>
      </c>
      <c r="N905" s="51" t="s">
        <v>276</v>
      </c>
      <c r="O905" s="51" t="s">
        <v>324</v>
      </c>
      <c r="P905" s="51" t="s">
        <v>812</v>
      </c>
      <c r="Q905" s="51" t="s">
        <v>80</v>
      </c>
      <c r="R905" s="51" t="s">
        <v>78</v>
      </c>
    </row>
    <row r="906" spans="1:18" x14ac:dyDescent="0.25">
      <c r="A906" s="13"/>
      <c r="B906" s="13"/>
      <c r="L906" s="52">
        <v>45762</v>
      </c>
      <c r="M906" s="53">
        <v>0.46938657407407408</v>
      </c>
      <c r="N906" s="51" t="s">
        <v>277</v>
      </c>
      <c r="O906" s="51" t="s">
        <v>324</v>
      </c>
      <c r="P906" s="51" t="s">
        <v>813</v>
      </c>
      <c r="Q906" s="51" t="s">
        <v>80</v>
      </c>
      <c r="R906" s="51" t="s">
        <v>78</v>
      </c>
    </row>
    <row r="907" spans="1:18" x14ac:dyDescent="0.25">
      <c r="A907" s="13"/>
      <c r="B907" s="13"/>
      <c r="L907" s="52">
        <v>45762</v>
      </c>
      <c r="M907" s="53">
        <v>0.46938657407407408</v>
      </c>
      <c r="N907" s="51" t="s">
        <v>278</v>
      </c>
      <c r="O907" s="51" t="s">
        <v>324</v>
      </c>
      <c r="P907" s="51" t="s">
        <v>814</v>
      </c>
      <c r="Q907" s="51" t="s">
        <v>80</v>
      </c>
      <c r="R907" s="51" t="s">
        <v>78</v>
      </c>
    </row>
    <row r="908" spans="1:18" x14ac:dyDescent="0.25">
      <c r="A908" s="13"/>
      <c r="B908" s="13"/>
      <c r="L908" s="52">
        <v>45762</v>
      </c>
      <c r="M908" s="53">
        <v>0.46938657407407408</v>
      </c>
      <c r="N908" s="51" t="s">
        <v>279</v>
      </c>
      <c r="O908" s="51" t="s">
        <v>324</v>
      </c>
      <c r="P908" s="51" t="s">
        <v>815</v>
      </c>
      <c r="Q908" s="51" t="s">
        <v>80</v>
      </c>
      <c r="R908" s="51" t="s">
        <v>78</v>
      </c>
    </row>
    <row r="909" spans="1:18" x14ac:dyDescent="0.25">
      <c r="A909" s="13"/>
      <c r="B909" s="13"/>
      <c r="L909" s="52">
        <v>45762</v>
      </c>
      <c r="M909" s="53">
        <v>0.46938657407407408</v>
      </c>
      <c r="N909" s="51" t="s">
        <v>280</v>
      </c>
      <c r="O909" s="51" t="s">
        <v>324</v>
      </c>
      <c r="P909" s="51" t="s">
        <v>816</v>
      </c>
      <c r="Q909" s="51" t="s">
        <v>80</v>
      </c>
      <c r="R909" s="51" t="s">
        <v>78</v>
      </c>
    </row>
    <row r="910" spans="1:18" x14ac:dyDescent="0.25">
      <c r="A910" s="13"/>
      <c r="B910" s="13"/>
      <c r="L910" s="52">
        <v>45762</v>
      </c>
      <c r="M910" s="53">
        <v>0.46938657407407408</v>
      </c>
      <c r="N910" s="51" t="s">
        <v>281</v>
      </c>
      <c r="O910" s="51" t="s">
        <v>324</v>
      </c>
      <c r="P910" s="51" t="s">
        <v>817</v>
      </c>
      <c r="Q910" s="51" t="s">
        <v>80</v>
      </c>
      <c r="R910" s="51" t="s">
        <v>78</v>
      </c>
    </row>
    <row r="911" spans="1:18" x14ac:dyDescent="0.25">
      <c r="A911" s="13"/>
      <c r="B911" s="13"/>
      <c r="L911" s="52">
        <v>45762</v>
      </c>
      <c r="M911" s="53">
        <v>0.46938657407407408</v>
      </c>
      <c r="N911" s="51" t="s">
        <v>282</v>
      </c>
      <c r="O911" s="51" t="s">
        <v>324</v>
      </c>
      <c r="Q911" s="51" t="s">
        <v>524</v>
      </c>
      <c r="R911" s="51" t="s">
        <v>132</v>
      </c>
    </row>
    <row r="912" spans="1:18" x14ac:dyDescent="0.25">
      <c r="A912" s="13"/>
      <c r="B912" s="13"/>
      <c r="L912" s="52">
        <v>45762</v>
      </c>
      <c r="M912" s="53">
        <v>0.46938657407407408</v>
      </c>
      <c r="N912" s="51" t="s">
        <v>283</v>
      </c>
      <c r="O912" s="51" t="s">
        <v>324</v>
      </c>
      <c r="Q912" s="51" t="s">
        <v>524</v>
      </c>
      <c r="R912" s="51" t="s">
        <v>132</v>
      </c>
    </row>
    <row r="913" spans="1:18" x14ac:dyDescent="0.25">
      <c r="A913" s="13"/>
      <c r="B913" s="13"/>
      <c r="L913" s="52">
        <v>45762</v>
      </c>
      <c r="M913" s="53">
        <v>0.46938657407407408</v>
      </c>
      <c r="N913" s="51" t="s">
        <v>284</v>
      </c>
      <c r="O913" s="51" t="s">
        <v>324</v>
      </c>
      <c r="Q913" s="51" t="s">
        <v>524</v>
      </c>
      <c r="R913" s="51" t="s">
        <v>132</v>
      </c>
    </row>
    <row r="914" spans="1:18" x14ac:dyDescent="0.25">
      <c r="A914" s="13"/>
      <c r="B914" s="13"/>
      <c r="L914" s="52">
        <v>45762</v>
      </c>
      <c r="M914" s="53">
        <v>0.46938657407407408</v>
      </c>
      <c r="N914" s="51" t="s">
        <v>285</v>
      </c>
      <c r="O914" s="51" t="s">
        <v>324</v>
      </c>
      <c r="P914" s="51" t="s">
        <v>818</v>
      </c>
      <c r="Q914" s="51" t="s">
        <v>80</v>
      </c>
      <c r="R914" s="51" t="s">
        <v>78</v>
      </c>
    </row>
    <row r="915" spans="1:18" x14ac:dyDescent="0.25">
      <c r="A915" s="13"/>
      <c r="B915" s="13"/>
      <c r="L915" s="52">
        <v>45762</v>
      </c>
      <c r="M915" s="53">
        <v>0.46938657407407408</v>
      </c>
      <c r="N915" s="51" t="s">
        <v>286</v>
      </c>
      <c r="O915" s="51" t="s">
        <v>324</v>
      </c>
      <c r="P915" s="51" t="s">
        <v>819</v>
      </c>
      <c r="Q915" s="51" t="s">
        <v>80</v>
      </c>
      <c r="R915" s="51" t="s">
        <v>78</v>
      </c>
    </row>
    <row r="916" spans="1:18" x14ac:dyDescent="0.25">
      <c r="A916" s="13"/>
      <c r="B916" s="13"/>
      <c r="L916" s="52">
        <v>45762</v>
      </c>
      <c r="M916" s="53">
        <v>0.46938657407407408</v>
      </c>
      <c r="N916" s="51" t="s">
        <v>287</v>
      </c>
      <c r="O916" s="51" t="s">
        <v>324</v>
      </c>
      <c r="P916" s="51" t="s">
        <v>820</v>
      </c>
      <c r="Q916" s="51" t="s">
        <v>80</v>
      </c>
      <c r="R916" s="51" t="s">
        <v>78</v>
      </c>
    </row>
    <row r="917" spans="1:18" x14ac:dyDescent="0.25">
      <c r="A917" s="13"/>
      <c r="B917" s="13"/>
      <c r="L917" s="52">
        <v>45762</v>
      </c>
      <c r="M917" s="53">
        <v>0.46938657407407408</v>
      </c>
      <c r="N917" s="51" t="s">
        <v>288</v>
      </c>
      <c r="O917" s="51" t="s">
        <v>324</v>
      </c>
      <c r="P917" s="51" t="s">
        <v>821</v>
      </c>
      <c r="Q917" s="51" t="s">
        <v>80</v>
      </c>
      <c r="R917" s="51" t="s">
        <v>78</v>
      </c>
    </row>
    <row r="918" spans="1:18" x14ac:dyDescent="0.25">
      <c r="A918" s="13"/>
      <c r="B918" s="13"/>
      <c r="L918" s="52">
        <v>45762</v>
      </c>
      <c r="M918" s="53">
        <v>0.46938657407407408</v>
      </c>
      <c r="N918" s="51" t="s">
        <v>289</v>
      </c>
      <c r="O918" s="51" t="s">
        <v>324</v>
      </c>
      <c r="P918" s="51" t="s">
        <v>822</v>
      </c>
      <c r="Q918" s="51" t="s">
        <v>80</v>
      </c>
      <c r="R918" s="51" t="s">
        <v>78</v>
      </c>
    </row>
    <row r="919" spans="1:18" x14ac:dyDescent="0.25">
      <c r="A919" s="13"/>
      <c r="B919" s="13"/>
      <c r="L919" s="52">
        <v>45762</v>
      </c>
      <c r="M919" s="53">
        <v>0.46938657407407408</v>
      </c>
      <c r="N919" s="51" t="s">
        <v>290</v>
      </c>
      <c r="O919" s="51" t="s">
        <v>324</v>
      </c>
      <c r="P919" s="51" t="s">
        <v>823</v>
      </c>
      <c r="Q919" s="51" t="s">
        <v>80</v>
      </c>
      <c r="R919" s="51" t="s">
        <v>78</v>
      </c>
    </row>
    <row r="920" spans="1:18" x14ac:dyDescent="0.25">
      <c r="A920" s="13"/>
      <c r="B920" s="13"/>
      <c r="L920" s="52">
        <v>45762</v>
      </c>
      <c r="M920" s="53">
        <v>0.46938657407407408</v>
      </c>
      <c r="N920" s="51" t="s">
        <v>291</v>
      </c>
      <c r="O920" s="51" t="s">
        <v>324</v>
      </c>
      <c r="P920" s="51" t="s">
        <v>824</v>
      </c>
      <c r="Q920" s="51" t="s">
        <v>80</v>
      </c>
      <c r="R920" s="51" t="s">
        <v>78</v>
      </c>
    </row>
    <row r="921" spans="1:18" x14ac:dyDescent="0.25">
      <c r="A921" s="13"/>
      <c r="B921" s="13"/>
      <c r="L921" s="52">
        <v>45762</v>
      </c>
      <c r="M921" s="53">
        <v>0.46938657407407408</v>
      </c>
      <c r="N921" s="51" t="s">
        <v>292</v>
      </c>
      <c r="O921" s="51" t="s">
        <v>324</v>
      </c>
      <c r="P921" s="51" t="s">
        <v>825</v>
      </c>
      <c r="Q921" s="51" t="s">
        <v>80</v>
      </c>
      <c r="R921" s="51" t="s">
        <v>78</v>
      </c>
    </row>
    <row r="922" spans="1:18" x14ac:dyDescent="0.25">
      <c r="A922" s="13"/>
      <c r="B922" s="13"/>
      <c r="L922" s="52">
        <v>45762</v>
      </c>
      <c r="M922" s="53">
        <v>0.46938657407407408</v>
      </c>
      <c r="N922" s="51" t="s">
        <v>293</v>
      </c>
      <c r="O922" s="51" t="s">
        <v>324</v>
      </c>
      <c r="P922" s="51" t="s">
        <v>826</v>
      </c>
      <c r="Q922" s="51" t="s">
        <v>80</v>
      </c>
      <c r="R922" s="51" t="s">
        <v>78</v>
      </c>
    </row>
    <row r="923" spans="1:18" x14ac:dyDescent="0.25">
      <c r="A923" s="13"/>
      <c r="B923" s="13"/>
      <c r="L923" s="52">
        <v>45762</v>
      </c>
      <c r="M923" s="53">
        <v>0.46938657407407408</v>
      </c>
      <c r="N923" s="51" t="s">
        <v>294</v>
      </c>
      <c r="O923" s="51" t="s">
        <v>324</v>
      </c>
      <c r="P923" s="51" t="s">
        <v>827</v>
      </c>
      <c r="Q923" s="51" t="s">
        <v>80</v>
      </c>
      <c r="R923" s="51" t="s">
        <v>78</v>
      </c>
    </row>
    <row r="924" spans="1:18" x14ac:dyDescent="0.25">
      <c r="A924" s="13"/>
      <c r="B924" s="13"/>
      <c r="L924" s="52">
        <v>45762</v>
      </c>
      <c r="M924" s="53">
        <v>0.46938657407407408</v>
      </c>
      <c r="N924" s="51" t="s">
        <v>295</v>
      </c>
      <c r="O924" s="51" t="s">
        <v>324</v>
      </c>
      <c r="P924" s="51" t="s">
        <v>828</v>
      </c>
      <c r="Q924" s="51" t="s">
        <v>80</v>
      </c>
      <c r="R924" s="51" t="s">
        <v>78</v>
      </c>
    </row>
    <row r="925" spans="1:18" x14ac:dyDescent="0.25">
      <c r="A925" s="13"/>
      <c r="B925" s="13"/>
      <c r="L925" s="52">
        <v>45762</v>
      </c>
      <c r="M925" s="53">
        <v>0.46938657407407408</v>
      </c>
      <c r="N925" s="51" t="s">
        <v>296</v>
      </c>
      <c r="O925" s="51" t="s">
        <v>324</v>
      </c>
      <c r="P925" s="51" t="s">
        <v>829</v>
      </c>
      <c r="Q925" s="51" t="s">
        <v>80</v>
      </c>
      <c r="R925" s="51" t="s">
        <v>78</v>
      </c>
    </row>
    <row r="926" spans="1:18" x14ac:dyDescent="0.25">
      <c r="A926" s="13"/>
      <c r="B926" s="13"/>
      <c r="L926" s="52">
        <v>45762</v>
      </c>
      <c r="M926" s="53">
        <v>0.46938657407407408</v>
      </c>
      <c r="N926" s="51" t="s">
        <v>297</v>
      </c>
      <c r="O926" s="51" t="s">
        <v>324</v>
      </c>
      <c r="P926" s="51" t="s">
        <v>830</v>
      </c>
      <c r="Q926" s="51" t="s">
        <v>80</v>
      </c>
      <c r="R926" s="51" t="s">
        <v>78</v>
      </c>
    </row>
    <row r="927" spans="1:18" x14ac:dyDescent="0.25">
      <c r="A927" s="13"/>
      <c r="B927" s="13"/>
      <c r="L927" s="52">
        <v>45762</v>
      </c>
      <c r="M927" s="53">
        <v>0.46938657407407408</v>
      </c>
      <c r="N927" s="51" t="s">
        <v>298</v>
      </c>
      <c r="O927" s="51" t="s">
        <v>324</v>
      </c>
      <c r="P927" s="51" t="s">
        <v>831</v>
      </c>
      <c r="Q927" s="51" t="s">
        <v>80</v>
      </c>
      <c r="R927" s="51" t="s">
        <v>78</v>
      </c>
    </row>
    <row r="928" spans="1:18" x14ac:dyDescent="0.25">
      <c r="A928" s="13"/>
      <c r="B928" s="13"/>
      <c r="L928" s="52">
        <v>45762</v>
      </c>
      <c r="M928" s="53">
        <v>0.46938657407407408</v>
      </c>
      <c r="N928" s="51" t="s">
        <v>299</v>
      </c>
      <c r="O928" s="51" t="s">
        <v>324</v>
      </c>
      <c r="P928" s="51" t="s">
        <v>832</v>
      </c>
      <c r="Q928" s="51" t="s">
        <v>80</v>
      </c>
      <c r="R928" s="51" t="s">
        <v>78</v>
      </c>
    </row>
    <row r="929" spans="1:18" x14ac:dyDescent="0.25">
      <c r="A929" s="13"/>
      <c r="B929" s="13"/>
      <c r="L929" s="52">
        <v>45762</v>
      </c>
      <c r="M929" s="53">
        <v>0.46938657407407408</v>
      </c>
      <c r="N929" s="51" t="s">
        <v>300</v>
      </c>
      <c r="O929" s="51" t="s">
        <v>324</v>
      </c>
      <c r="P929" s="51" t="s">
        <v>833</v>
      </c>
      <c r="Q929" s="51" t="s">
        <v>80</v>
      </c>
      <c r="R929" s="51" t="s">
        <v>78</v>
      </c>
    </row>
    <row r="930" spans="1:18" x14ac:dyDescent="0.25">
      <c r="A930" s="13"/>
      <c r="B930" s="13"/>
      <c r="L930" s="52">
        <v>45762</v>
      </c>
      <c r="M930" s="53">
        <v>0.46938657407407408</v>
      </c>
      <c r="N930" s="51" t="s">
        <v>301</v>
      </c>
      <c r="O930" s="51" t="s">
        <v>324</v>
      </c>
      <c r="P930" s="51" t="s">
        <v>834</v>
      </c>
      <c r="Q930" s="51" t="s">
        <v>80</v>
      </c>
      <c r="R930" s="51" t="s">
        <v>78</v>
      </c>
    </row>
    <row r="931" spans="1:18" x14ac:dyDescent="0.25">
      <c r="A931" s="13"/>
      <c r="B931" s="13"/>
      <c r="L931" s="52">
        <v>45762</v>
      </c>
      <c r="M931" s="53">
        <v>0.46938657407407408</v>
      </c>
      <c r="N931" s="51" t="s">
        <v>302</v>
      </c>
      <c r="O931" s="51" t="s">
        <v>324</v>
      </c>
      <c r="P931" s="51" t="s">
        <v>835</v>
      </c>
      <c r="Q931" s="51" t="s">
        <v>80</v>
      </c>
      <c r="R931" s="51" t="s">
        <v>78</v>
      </c>
    </row>
    <row r="932" spans="1:18" x14ac:dyDescent="0.25">
      <c r="A932" s="13"/>
      <c r="B932" s="13"/>
      <c r="L932" s="52">
        <v>45762</v>
      </c>
      <c r="M932" s="53">
        <v>0.46938657407407408</v>
      </c>
      <c r="N932" s="51" t="s">
        <v>303</v>
      </c>
      <c r="O932" s="51" t="s">
        <v>324</v>
      </c>
      <c r="P932" s="51" t="s">
        <v>836</v>
      </c>
      <c r="Q932" s="51" t="s">
        <v>80</v>
      </c>
      <c r="R932" s="51" t="s">
        <v>78</v>
      </c>
    </row>
    <row r="933" spans="1:18" x14ac:dyDescent="0.25">
      <c r="A933" s="13"/>
      <c r="B933" s="13"/>
      <c r="L933" s="52">
        <v>45762</v>
      </c>
      <c r="M933" s="53">
        <v>0.46938657407407408</v>
      </c>
      <c r="N933" s="51" t="s">
        <v>304</v>
      </c>
      <c r="O933" s="51" t="s">
        <v>324</v>
      </c>
      <c r="P933" s="51" t="s">
        <v>837</v>
      </c>
      <c r="Q933" s="51" t="s">
        <v>80</v>
      </c>
      <c r="R933" s="51" t="s">
        <v>78</v>
      </c>
    </row>
    <row r="934" spans="1:18" x14ac:dyDescent="0.25">
      <c r="A934" s="13"/>
      <c r="B934" s="13"/>
      <c r="L934" s="52">
        <v>45762</v>
      </c>
      <c r="M934" s="53">
        <v>0.46938657407407408</v>
      </c>
      <c r="N934" s="51" t="s">
        <v>305</v>
      </c>
      <c r="O934" s="51" t="s">
        <v>324</v>
      </c>
      <c r="P934" s="51" t="s">
        <v>838</v>
      </c>
      <c r="Q934" s="51" t="s">
        <v>80</v>
      </c>
      <c r="R934" s="51" t="s">
        <v>78</v>
      </c>
    </row>
    <row r="935" spans="1:18" x14ac:dyDescent="0.25">
      <c r="A935" s="13"/>
      <c r="B935" s="13"/>
      <c r="L935" s="52">
        <v>45762</v>
      </c>
      <c r="M935" s="53">
        <v>0.46938657407407408</v>
      </c>
      <c r="N935" s="51" t="s">
        <v>306</v>
      </c>
      <c r="O935" s="51" t="s">
        <v>324</v>
      </c>
      <c r="P935" s="51" t="s">
        <v>839</v>
      </c>
      <c r="Q935" s="51" t="s">
        <v>80</v>
      </c>
      <c r="R935" s="51" t="s">
        <v>78</v>
      </c>
    </row>
    <row r="936" spans="1:18" x14ac:dyDescent="0.25">
      <c r="A936" s="13"/>
      <c r="B936" s="13"/>
      <c r="L936" s="52">
        <v>45762</v>
      </c>
      <c r="M936" s="53">
        <v>0.46938657407407408</v>
      </c>
      <c r="N936" s="51" t="s">
        <v>307</v>
      </c>
      <c r="O936" s="51" t="s">
        <v>324</v>
      </c>
      <c r="P936" s="51" t="s">
        <v>840</v>
      </c>
      <c r="Q936" s="51" t="s">
        <v>80</v>
      </c>
      <c r="R936" s="51" t="s">
        <v>78</v>
      </c>
    </row>
    <row r="937" spans="1:18" x14ac:dyDescent="0.25">
      <c r="A937" s="13"/>
      <c r="B937" s="13"/>
      <c r="L937" s="52">
        <v>45762</v>
      </c>
      <c r="M937" s="53">
        <v>0.46938657407407408</v>
      </c>
      <c r="N937" s="51" t="s">
        <v>308</v>
      </c>
      <c r="O937" s="51" t="s">
        <v>324</v>
      </c>
      <c r="P937" s="51" t="s">
        <v>841</v>
      </c>
      <c r="Q937" s="51" t="s">
        <v>80</v>
      </c>
      <c r="R937" s="51" t="s">
        <v>78</v>
      </c>
    </row>
    <row r="938" spans="1:18" x14ac:dyDescent="0.25">
      <c r="A938" s="13"/>
      <c r="B938" s="13"/>
      <c r="L938" s="52">
        <v>45762</v>
      </c>
      <c r="M938" s="53">
        <v>0.46938657407407408</v>
      </c>
      <c r="N938" s="51" t="s">
        <v>309</v>
      </c>
      <c r="O938" s="51" t="s">
        <v>324</v>
      </c>
      <c r="P938" s="51" t="s">
        <v>842</v>
      </c>
      <c r="Q938" s="51" t="s">
        <v>80</v>
      </c>
      <c r="R938" s="51" t="s">
        <v>78</v>
      </c>
    </row>
    <row r="939" spans="1:18" x14ac:dyDescent="0.25">
      <c r="A939" s="13"/>
      <c r="B939" s="13"/>
      <c r="L939" s="52">
        <v>45762</v>
      </c>
      <c r="M939" s="53">
        <v>0.46938657407407408</v>
      </c>
      <c r="N939" s="51" t="s">
        <v>310</v>
      </c>
      <c r="O939" s="51" t="s">
        <v>324</v>
      </c>
      <c r="P939" s="51" t="s">
        <v>843</v>
      </c>
      <c r="Q939" s="51" t="s">
        <v>80</v>
      </c>
      <c r="R939" s="51" t="s">
        <v>78</v>
      </c>
    </row>
    <row r="940" spans="1:18" x14ac:dyDescent="0.25">
      <c r="A940" s="13"/>
      <c r="B940" s="13"/>
      <c r="L940" s="52">
        <v>45762</v>
      </c>
      <c r="M940" s="53">
        <v>0.46938657407407408</v>
      </c>
      <c r="N940" s="51" t="s">
        <v>311</v>
      </c>
      <c r="O940" s="51" t="s">
        <v>324</v>
      </c>
      <c r="P940" s="51" t="s">
        <v>844</v>
      </c>
      <c r="Q940" s="51" t="s">
        <v>80</v>
      </c>
      <c r="R940" s="51" t="s">
        <v>78</v>
      </c>
    </row>
    <row r="941" spans="1:18" x14ac:dyDescent="0.25">
      <c r="A941" s="13"/>
      <c r="B941" s="13"/>
      <c r="L941" s="52">
        <v>45762</v>
      </c>
      <c r="M941" s="53">
        <v>0.46938657407407408</v>
      </c>
      <c r="N941" s="51" t="s">
        <v>312</v>
      </c>
      <c r="O941" s="51" t="s">
        <v>324</v>
      </c>
      <c r="P941" s="51" t="s">
        <v>845</v>
      </c>
      <c r="Q941" s="51" t="s">
        <v>80</v>
      </c>
      <c r="R941" s="51" t="s">
        <v>78</v>
      </c>
    </row>
    <row r="942" spans="1:18" x14ac:dyDescent="0.25">
      <c r="A942" s="13"/>
      <c r="B942" s="13"/>
      <c r="L942" s="52">
        <v>45762</v>
      </c>
      <c r="M942" s="53">
        <v>0.46938657407407408</v>
      </c>
      <c r="N942" s="51" t="s">
        <v>313</v>
      </c>
      <c r="O942" s="51" t="s">
        <v>324</v>
      </c>
      <c r="P942" s="51" t="s">
        <v>846</v>
      </c>
      <c r="Q942" s="51" t="s">
        <v>80</v>
      </c>
      <c r="R942" s="51" t="s">
        <v>78</v>
      </c>
    </row>
    <row r="943" spans="1:18" x14ac:dyDescent="0.25">
      <c r="A943" s="13"/>
      <c r="B943" s="13"/>
      <c r="L943" s="52">
        <v>45762</v>
      </c>
      <c r="M943" s="53">
        <v>0.46938657407407408</v>
      </c>
      <c r="N943" s="51" t="s">
        <v>314</v>
      </c>
      <c r="O943" s="51" t="s">
        <v>324</v>
      </c>
      <c r="P943" s="51" t="s">
        <v>847</v>
      </c>
      <c r="Q943" s="51" t="s">
        <v>80</v>
      </c>
      <c r="R943" s="51" t="s">
        <v>78</v>
      </c>
    </row>
    <row r="944" spans="1:18" x14ac:dyDescent="0.25">
      <c r="A944" s="13"/>
      <c r="B944" s="13"/>
      <c r="L944" s="52">
        <v>45762</v>
      </c>
      <c r="M944" s="53">
        <v>0.46938657407407408</v>
      </c>
      <c r="N944" s="51" t="s">
        <v>315</v>
      </c>
      <c r="O944" s="51" t="s">
        <v>324</v>
      </c>
      <c r="P944" s="51" t="s">
        <v>848</v>
      </c>
      <c r="Q944" s="51" t="s">
        <v>80</v>
      </c>
      <c r="R944" s="51" t="s">
        <v>78</v>
      </c>
    </row>
    <row r="945" spans="1:18" x14ac:dyDescent="0.25">
      <c r="A945" s="13"/>
      <c r="B945" s="13"/>
      <c r="L945" s="52">
        <v>45762</v>
      </c>
      <c r="M945" s="53">
        <v>0.46938657407407408</v>
      </c>
      <c r="N945" s="51" t="s">
        <v>316</v>
      </c>
      <c r="O945" s="51" t="s">
        <v>324</v>
      </c>
      <c r="P945" s="51" t="s">
        <v>849</v>
      </c>
      <c r="Q945" s="51" t="s">
        <v>80</v>
      </c>
      <c r="R945" s="51" t="s">
        <v>78</v>
      </c>
    </row>
    <row r="946" spans="1:18" x14ac:dyDescent="0.25">
      <c r="A946" s="13"/>
      <c r="B946" s="13"/>
      <c r="L946" s="52">
        <v>45762</v>
      </c>
      <c r="M946" s="53">
        <v>0.46938657407407408</v>
      </c>
      <c r="N946" s="51" t="s">
        <v>317</v>
      </c>
      <c r="O946" s="51" t="s">
        <v>324</v>
      </c>
      <c r="P946" s="51" t="s">
        <v>850</v>
      </c>
      <c r="Q946" s="51" t="s">
        <v>80</v>
      </c>
      <c r="R946" s="51" t="s">
        <v>78</v>
      </c>
    </row>
    <row r="947" spans="1:18" x14ac:dyDescent="0.25">
      <c r="A947" s="13"/>
      <c r="B947" s="13"/>
      <c r="L947" s="52">
        <v>45762</v>
      </c>
      <c r="M947" s="53">
        <v>0.46938657407407408</v>
      </c>
      <c r="N947" s="51" t="s">
        <v>318</v>
      </c>
      <c r="O947" s="51" t="s">
        <v>324</v>
      </c>
      <c r="P947" s="51" t="s">
        <v>851</v>
      </c>
      <c r="Q947" s="51" t="s">
        <v>80</v>
      </c>
      <c r="R947" s="51" t="s">
        <v>78</v>
      </c>
    </row>
    <row r="948" spans="1:18" x14ac:dyDescent="0.25">
      <c r="A948" s="13"/>
      <c r="B948" s="13"/>
      <c r="L948" s="52">
        <v>45762</v>
      </c>
      <c r="M948" s="53">
        <v>0.46938657407407408</v>
      </c>
      <c r="N948" s="51" t="s">
        <v>319</v>
      </c>
      <c r="O948" s="51" t="s">
        <v>324</v>
      </c>
      <c r="P948" s="51" t="s">
        <v>852</v>
      </c>
      <c r="Q948" s="51" t="s">
        <v>80</v>
      </c>
      <c r="R948" s="51" t="s">
        <v>78</v>
      </c>
    </row>
    <row r="949" spans="1:18" x14ac:dyDescent="0.25">
      <c r="A949" s="13"/>
      <c r="B949" s="13"/>
      <c r="L949" s="52">
        <v>45762</v>
      </c>
      <c r="M949" s="53">
        <v>0.46938657407407408</v>
      </c>
      <c r="N949" s="51" t="s">
        <v>320</v>
      </c>
      <c r="O949" s="51" t="s">
        <v>324</v>
      </c>
      <c r="P949" s="51" t="s">
        <v>853</v>
      </c>
      <c r="Q949" s="51" t="s">
        <v>80</v>
      </c>
      <c r="R949" s="51" t="s">
        <v>78</v>
      </c>
    </row>
    <row r="950" spans="1:18" x14ac:dyDescent="0.25">
      <c r="A950" s="13"/>
      <c r="B950" s="13"/>
      <c r="L950" s="52">
        <v>45762</v>
      </c>
      <c r="M950" s="53">
        <v>0.46938657407407408</v>
      </c>
      <c r="N950" s="51" t="s">
        <v>321</v>
      </c>
      <c r="O950" s="51" t="s">
        <v>324</v>
      </c>
      <c r="P950" s="51" t="s">
        <v>854</v>
      </c>
      <c r="Q950" s="51" t="s">
        <v>80</v>
      </c>
      <c r="R950" s="51" t="s">
        <v>78</v>
      </c>
    </row>
    <row r="951" spans="1:18" x14ac:dyDescent="0.25">
      <c r="A951" s="13"/>
      <c r="B951" s="13"/>
      <c r="L951" s="52">
        <v>45762</v>
      </c>
      <c r="M951" s="53">
        <v>0.46938657407407408</v>
      </c>
      <c r="O951" s="51" t="s">
        <v>325</v>
      </c>
      <c r="Q951" s="51" t="s">
        <v>855</v>
      </c>
      <c r="R951" s="51" t="s">
        <v>78</v>
      </c>
    </row>
    <row r="952" spans="1:18" x14ac:dyDescent="0.25">
      <c r="A952" s="13"/>
      <c r="B952" s="13"/>
      <c r="L952" s="52">
        <v>45762</v>
      </c>
      <c r="M952" s="53">
        <v>0.46946759259259258</v>
      </c>
      <c r="O952" s="51" t="s">
        <v>325</v>
      </c>
      <c r="Q952" s="51" t="s">
        <v>330</v>
      </c>
      <c r="R952" s="51" t="s">
        <v>78</v>
      </c>
    </row>
    <row r="953" spans="1:18" x14ac:dyDescent="0.25">
      <c r="A953" s="13"/>
      <c r="B953" s="13"/>
      <c r="L953" s="52">
        <v>45762</v>
      </c>
      <c r="M953" s="53">
        <v>0.46946759259259258</v>
      </c>
      <c r="O953" s="51" t="s">
        <v>325</v>
      </c>
      <c r="Q953" s="51" t="s">
        <v>856</v>
      </c>
      <c r="R953" s="51" t="s">
        <v>78</v>
      </c>
    </row>
    <row r="954" spans="1:18" x14ac:dyDescent="0.25">
      <c r="A954" s="13"/>
      <c r="B954" s="13"/>
      <c r="L954" s="52">
        <v>45762</v>
      </c>
      <c r="M954" s="53">
        <v>0.46946759259259258</v>
      </c>
      <c r="N954" s="51" t="s">
        <v>138</v>
      </c>
      <c r="O954" s="51" t="s">
        <v>325</v>
      </c>
      <c r="P954" s="51" t="s">
        <v>857</v>
      </c>
      <c r="Q954" s="51" t="s">
        <v>80</v>
      </c>
      <c r="R954" s="51" t="s">
        <v>78</v>
      </c>
    </row>
    <row r="955" spans="1:18" x14ac:dyDescent="0.25">
      <c r="A955" s="13"/>
      <c r="B955" s="13"/>
      <c r="L955" s="52">
        <v>45762</v>
      </c>
      <c r="M955" s="53">
        <v>0.46946759259259258</v>
      </c>
      <c r="N955" s="51" t="s">
        <v>139</v>
      </c>
      <c r="O955" s="51" t="s">
        <v>325</v>
      </c>
      <c r="P955" s="51" t="s">
        <v>858</v>
      </c>
      <c r="Q955" s="51" t="s">
        <v>80</v>
      </c>
      <c r="R955" s="51" t="s">
        <v>78</v>
      </c>
    </row>
    <row r="956" spans="1:18" x14ac:dyDescent="0.25">
      <c r="A956" s="13"/>
      <c r="B956" s="13"/>
      <c r="L956" s="52">
        <v>45762</v>
      </c>
      <c r="M956" s="53">
        <v>0.46946759259259258</v>
      </c>
      <c r="N956" s="51" t="s">
        <v>140</v>
      </c>
      <c r="O956" s="51" t="s">
        <v>325</v>
      </c>
      <c r="P956" s="51" t="s">
        <v>859</v>
      </c>
      <c r="Q956" s="51" t="s">
        <v>80</v>
      </c>
      <c r="R956" s="51" t="s">
        <v>78</v>
      </c>
    </row>
    <row r="957" spans="1:18" x14ac:dyDescent="0.25">
      <c r="A957" s="13"/>
      <c r="B957" s="13"/>
      <c r="L957" s="52">
        <v>45762</v>
      </c>
      <c r="M957" s="53">
        <v>0.46946759259259258</v>
      </c>
      <c r="N957" s="51" t="s">
        <v>141</v>
      </c>
      <c r="O957" s="51" t="s">
        <v>325</v>
      </c>
      <c r="P957" s="51" t="s">
        <v>860</v>
      </c>
      <c r="Q957" s="51" t="s">
        <v>80</v>
      </c>
      <c r="R957" s="51" t="s">
        <v>78</v>
      </c>
    </row>
    <row r="958" spans="1:18" x14ac:dyDescent="0.25">
      <c r="A958" s="13"/>
      <c r="B958" s="13"/>
      <c r="L958" s="52">
        <v>45762</v>
      </c>
      <c r="M958" s="53">
        <v>0.46946759259259258</v>
      </c>
      <c r="N958" s="51" t="s">
        <v>142</v>
      </c>
      <c r="O958" s="51" t="s">
        <v>325</v>
      </c>
      <c r="P958" s="51" t="s">
        <v>861</v>
      </c>
      <c r="Q958" s="51" t="s">
        <v>80</v>
      </c>
      <c r="R958" s="51" t="s">
        <v>78</v>
      </c>
    </row>
    <row r="959" spans="1:18" x14ac:dyDescent="0.25">
      <c r="A959" s="13"/>
      <c r="B959" s="13"/>
      <c r="L959" s="52">
        <v>45762</v>
      </c>
      <c r="M959" s="53">
        <v>0.46946759259259258</v>
      </c>
      <c r="N959" s="51" t="s">
        <v>143</v>
      </c>
      <c r="O959" s="51" t="s">
        <v>325</v>
      </c>
      <c r="P959" s="51" t="s">
        <v>862</v>
      </c>
      <c r="Q959" s="51" t="s">
        <v>80</v>
      </c>
      <c r="R959" s="51" t="s">
        <v>78</v>
      </c>
    </row>
    <row r="960" spans="1:18" x14ac:dyDescent="0.25">
      <c r="A960" s="13"/>
      <c r="B960" s="13"/>
      <c r="L960" s="52">
        <v>45762</v>
      </c>
      <c r="M960" s="53">
        <v>0.46946759259259258</v>
      </c>
      <c r="N960" s="51" t="s">
        <v>144</v>
      </c>
      <c r="O960" s="51" t="s">
        <v>325</v>
      </c>
      <c r="P960" s="51" t="s">
        <v>863</v>
      </c>
      <c r="Q960" s="51" t="s">
        <v>80</v>
      </c>
      <c r="R960" s="51" t="s">
        <v>78</v>
      </c>
    </row>
    <row r="961" spans="1:18" x14ac:dyDescent="0.25">
      <c r="A961" s="13"/>
      <c r="B961" s="13"/>
      <c r="L961" s="52">
        <v>45762</v>
      </c>
      <c r="M961" s="53">
        <v>0.46946759259259258</v>
      </c>
      <c r="N961" s="51" t="s">
        <v>145</v>
      </c>
      <c r="O961" s="51" t="s">
        <v>325</v>
      </c>
      <c r="P961" s="51" t="s">
        <v>864</v>
      </c>
      <c r="Q961" s="51" t="s">
        <v>80</v>
      </c>
      <c r="R961" s="51" t="s">
        <v>78</v>
      </c>
    </row>
    <row r="962" spans="1:18" x14ac:dyDescent="0.25">
      <c r="A962" s="13"/>
      <c r="B962" s="13"/>
      <c r="L962" s="52">
        <v>45762</v>
      </c>
      <c r="M962" s="53">
        <v>0.46946759259259258</v>
      </c>
      <c r="N962" s="51" t="s">
        <v>146</v>
      </c>
      <c r="O962" s="51" t="s">
        <v>325</v>
      </c>
      <c r="Q962" s="51" t="s">
        <v>524</v>
      </c>
      <c r="R962" s="51" t="s">
        <v>132</v>
      </c>
    </row>
    <row r="963" spans="1:18" x14ac:dyDescent="0.25">
      <c r="A963" s="13"/>
      <c r="B963" s="13"/>
      <c r="L963" s="52">
        <v>45762</v>
      </c>
      <c r="M963" s="53">
        <v>0.46946759259259258</v>
      </c>
      <c r="N963" s="51" t="s">
        <v>147</v>
      </c>
      <c r="O963" s="51" t="s">
        <v>325</v>
      </c>
      <c r="Q963" s="51" t="s">
        <v>524</v>
      </c>
      <c r="R963" s="51" t="s">
        <v>132</v>
      </c>
    </row>
    <row r="964" spans="1:18" x14ac:dyDescent="0.25">
      <c r="A964" s="13"/>
      <c r="B964" s="13"/>
      <c r="L964" s="52">
        <v>45762</v>
      </c>
      <c r="M964" s="53">
        <v>0.46946759259259258</v>
      </c>
      <c r="N964" s="51" t="s">
        <v>148</v>
      </c>
      <c r="O964" s="51" t="s">
        <v>325</v>
      </c>
      <c r="Q964" s="51" t="s">
        <v>524</v>
      </c>
      <c r="R964" s="51" t="s">
        <v>132</v>
      </c>
    </row>
    <row r="965" spans="1:18" x14ac:dyDescent="0.25">
      <c r="A965" s="13"/>
      <c r="B965" s="13"/>
      <c r="L965" s="52">
        <v>45762</v>
      </c>
      <c r="M965" s="53">
        <v>0.46946759259259258</v>
      </c>
      <c r="N965" s="51" t="s">
        <v>149</v>
      </c>
      <c r="O965" s="51" t="s">
        <v>325</v>
      </c>
      <c r="Q965" s="51" t="s">
        <v>524</v>
      </c>
      <c r="R965" s="51" t="s">
        <v>132</v>
      </c>
    </row>
    <row r="966" spans="1:18" x14ac:dyDescent="0.25">
      <c r="A966" s="13"/>
      <c r="B966" s="13"/>
      <c r="L966" s="52">
        <v>45762</v>
      </c>
      <c r="M966" s="53">
        <v>0.46946759259259258</v>
      </c>
      <c r="N966" s="51" t="s">
        <v>150</v>
      </c>
      <c r="O966" s="51" t="s">
        <v>325</v>
      </c>
      <c r="Q966" s="51" t="s">
        <v>524</v>
      </c>
      <c r="R966" s="51" t="s">
        <v>132</v>
      </c>
    </row>
    <row r="967" spans="1:18" x14ac:dyDescent="0.25">
      <c r="A967" s="13"/>
      <c r="B967" s="13"/>
      <c r="L967" s="52">
        <v>45762</v>
      </c>
      <c r="M967" s="53">
        <v>0.46946759259259258</v>
      </c>
      <c r="N967" s="51" t="s">
        <v>151</v>
      </c>
      <c r="O967" s="51" t="s">
        <v>325</v>
      </c>
      <c r="Q967" s="51" t="s">
        <v>524</v>
      </c>
      <c r="R967" s="51" t="s">
        <v>132</v>
      </c>
    </row>
    <row r="968" spans="1:18" x14ac:dyDescent="0.25">
      <c r="A968" s="13"/>
      <c r="B968" s="13"/>
      <c r="L968" s="52">
        <v>45762</v>
      </c>
      <c r="M968" s="53">
        <v>0.46946759259259258</v>
      </c>
      <c r="N968" s="51" t="s">
        <v>152</v>
      </c>
      <c r="O968" s="51" t="s">
        <v>325</v>
      </c>
      <c r="Q968" s="51" t="s">
        <v>524</v>
      </c>
      <c r="R968" s="51" t="s">
        <v>132</v>
      </c>
    </row>
    <row r="969" spans="1:18" x14ac:dyDescent="0.25">
      <c r="A969" s="13"/>
      <c r="B969" s="13"/>
      <c r="L969" s="52">
        <v>45762</v>
      </c>
      <c r="M969" s="53">
        <v>0.46946759259259258</v>
      </c>
      <c r="N969" s="51" t="s">
        <v>153</v>
      </c>
      <c r="O969" s="51" t="s">
        <v>325</v>
      </c>
      <c r="Q969" s="51" t="s">
        <v>524</v>
      </c>
      <c r="R969" s="51" t="s">
        <v>132</v>
      </c>
    </row>
    <row r="970" spans="1:18" x14ac:dyDescent="0.25">
      <c r="A970" s="13"/>
      <c r="B970" s="13"/>
      <c r="L970" s="52">
        <v>45762</v>
      </c>
      <c r="M970" s="53">
        <v>0.46946759259259258</v>
      </c>
      <c r="N970" s="51" t="s">
        <v>154</v>
      </c>
      <c r="O970" s="51" t="s">
        <v>325</v>
      </c>
      <c r="Q970" s="51" t="s">
        <v>524</v>
      </c>
      <c r="R970" s="51" t="s">
        <v>132</v>
      </c>
    </row>
    <row r="971" spans="1:18" x14ac:dyDescent="0.25">
      <c r="A971" s="13"/>
      <c r="B971" s="13"/>
      <c r="L971" s="52">
        <v>45762</v>
      </c>
      <c r="M971" s="53">
        <v>0.46946759259259258</v>
      </c>
      <c r="N971" s="51" t="s">
        <v>155</v>
      </c>
      <c r="O971" s="51" t="s">
        <v>325</v>
      </c>
      <c r="Q971" s="51" t="s">
        <v>524</v>
      </c>
      <c r="R971" s="51" t="s">
        <v>132</v>
      </c>
    </row>
    <row r="972" spans="1:18" x14ac:dyDescent="0.25">
      <c r="A972" s="13"/>
      <c r="B972" s="13"/>
      <c r="L972" s="52">
        <v>45762</v>
      </c>
      <c r="M972" s="53">
        <v>0.46946759259259258</v>
      </c>
      <c r="N972" s="51" t="s">
        <v>156</v>
      </c>
      <c r="O972" s="51" t="s">
        <v>325</v>
      </c>
      <c r="Q972" s="51" t="s">
        <v>524</v>
      </c>
      <c r="R972" s="51" t="s">
        <v>132</v>
      </c>
    </row>
    <row r="973" spans="1:18" x14ac:dyDescent="0.25">
      <c r="A973" s="13"/>
      <c r="B973" s="13"/>
      <c r="L973" s="52">
        <v>45762</v>
      </c>
      <c r="M973" s="53">
        <v>0.46946759259259258</v>
      </c>
      <c r="N973" s="51" t="s">
        <v>157</v>
      </c>
      <c r="O973" s="51" t="s">
        <v>325</v>
      </c>
      <c r="P973" s="51" t="s">
        <v>865</v>
      </c>
      <c r="Q973" s="51" t="s">
        <v>80</v>
      </c>
      <c r="R973" s="51" t="s">
        <v>78</v>
      </c>
    </row>
    <row r="974" spans="1:18" x14ac:dyDescent="0.25">
      <c r="A974" s="13"/>
      <c r="B974" s="13"/>
      <c r="L974" s="52">
        <v>45762</v>
      </c>
      <c r="M974" s="53">
        <v>0.46946759259259258</v>
      </c>
      <c r="N974" s="51" t="s">
        <v>158</v>
      </c>
      <c r="O974" s="51" t="s">
        <v>325</v>
      </c>
      <c r="P974" s="51" t="s">
        <v>866</v>
      </c>
      <c r="Q974" s="51" t="s">
        <v>80</v>
      </c>
      <c r="R974" s="51" t="s">
        <v>78</v>
      </c>
    </row>
    <row r="975" spans="1:18" x14ac:dyDescent="0.25">
      <c r="A975" s="13"/>
      <c r="B975" s="13"/>
      <c r="L975" s="52">
        <v>45762</v>
      </c>
      <c r="M975" s="53">
        <v>0.46946759259259258</v>
      </c>
      <c r="N975" s="51" t="s">
        <v>159</v>
      </c>
      <c r="O975" s="51" t="s">
        <v>325</v>
      </c>
      <c r="P975" s="51" t="s">
        <v>867</v>
      </c>
      <c r="Q975" s="51" t="s">
        <v>80</v>
      </c>
      <c r="R975" s="51" t="s">
        <v>78</v>
      </c>
    </row>
    <row r="976" spans="1:18" x14ac:dyDescent="0.25">
      <c r="A976" s="13"/>
      <c r="B976" s="13"/>
      <c r="L976" s="52">
        <v>45762</v>
      </c>
      <c r="M976" s="53">
        <v>0.46946759259259258</v>
      </c>
      <c r="N976" s="51" t="s">
        <v>160</v>
      </c>
      <c r="O976" s="51" t="s">
        <v>325</v>
      </c>
      <c r="P976" s="51" t="s">
        <v>868</v>
      </c>
      <c r="Q976" s="51" t="s">
        <v>80</v>
      </c>
      <c r="R976" s="51" t="s">
        <v>78</v>
      </c>
    </row>
    <row r="977" spans="1:18" x14ac:dyDescent="0.25">
      <c r="A977" s="13"/>
      <c r="B977" s="13"/>
      <c r="L977" s="52">
        <v>45762</v>
      </c>
      <c r="M977" s="53">
        <v>0.46946759259259258</v>
      </c>
      <c r="N977" s="51" t="s">
        <v>161</v>
      </c>
      <c r="O977" s="51" t="s">
        <v>325</v>
      </c>
      <c r="P977" s="51" t="s">
        <v>869</v>
      </c>
      <c r="Q977" s="51" t="s">
        <v>80</v>
      </c>
      <c r="R977" s="51" t="s">
        <v>78</v>
      </c>
    </row>
    <row r="978" spans="1:18" x14ac:dyDescent="0.25">
      <c r="A978" s="13"/>
      <c r="B978" s="13"/>
      <c r="L978" s="52">
        <v>45762</v>
      </c>
      <c r="M978" s="53">
        <v>0.46946759259259258</v>
      </c>
      <c r="N978" s="51" t="s">
        <v>162</v>
      </c>
      <c r="O978" s="51" t="s">
        <v>325</v>
      </c>
      <c r="P978" s="51" t="s">
        <v>870</v>
      </c>
      <c r="Q978" s="51" t="s">
        <v>80</v>
      </c>
      <c r="R978" s="51" t="s">
        <v>78</v>
      </c>
    </row>
    <row r="979" spans="1:18" x14ac:dyDescent="0.25">
      <c r="A979" s="13"/>
      <c r="B979" s="13"/>
      <c r="L979" s="52">
        <v>45762</v>
      </c>
      <c r="M979" s="53">
        <v>0.46946759259259258</v>
      </c>
      <c r="N979" s="51" t="s">
        <v>163</v>
      </c>
      <c r="O979" s="51" t="s">
        <v>325</v>
      </c>
      <c r="Q979" s="51" t="s">
        <v>524</v>
      </c>
      <c r="R979" s="51" t="s">
        <v>132</v>
      </c>
    </row>
    <row r="980" spans="1:18" x14ac:dyDescent="0.25">
      <c r="A980" s="13"/>
      <c r="B980" s="13"/>
      <c r="L980" s="52">
        <v>45762</v>
      </c>
      <c r="M980" s="53">
        <v>0.46946759259259258</v>
      </c>
      <c r="N980" s="51" t="s">
        <v>164</v>
      </c>
      <c r="O980" s="51" t="s">
        <v>325</v>
      </c>
      <c r="Q980" s="51" t="s">
        <v>524</v>
      </c>
      <c r="R980" s="51" t="s">
        <v>132</v>
      </c>
    </row>
    <row r="981" spans="1:18" x14ac:dyDescent="0.25">
      <c r="A981" s="13"/>
      <c r="B981" s="13"/>
      <c r="L981" s="52">
        <v>45762</v>
      </c>
      <c r="M981" s="53">
        <v>0.46946759259259258</v>
      </c>
      <c r="N981" s="51" t="s">
        <v>165</v>
      </c>
      <c r="O981" s="51" t="s">
        <v>325</v>
      </c>
      <c r="Q981" s="51" t="s">
        <v>524</v>
      </c>
      <c r="R981" s="51" t="s">
        <v>132</v>
      </c>
    </row>
    <row r="982" spans="1:18" x14ac:dyDescent="0.25">
      <c r="A982" s="13"/>
      <c r="B982" s="13"/>
      <c r="L982" s="52">
        <v>45762</v>
      </c>
      <c r="M982" s="53">
        <v>0.46946759259259258</v>
      </c>
      <c r="N982" s="51" t="s">
        <v>166</v>
      </c>
      <c r="O982" s="51" t="s">
        <v>325</v>
      </c>
      <c r="P982" s="51" t="s">
        <v>871</v>
      </c>
      <c r="Q982" s="51" t="s">
        <v>80</v>
      </c>
      <c r="R982" s="51" t="s">
        <v>78</v>
      </c>
    </row>
    <row r="983" spans="1:18" x14ac:dyDescent="0.25">
      <c r="A983" s="13"/>
      <c r="B983" s="13"/>
      <c r="L983" s="52">
        <v>45762</v>
      </c>
      <c r="M983" s="53">
        <v>0.46946759259259258</v>
      </c>
      <c r="N983" s="51" t="s">
        <v>167</v>
      </c>
      <c r="O983" s="51" t="s">
        <v>325</v>
      </c>
      <c r="P983" s="51" t="s">
        <v>872</v>
      </c>
      <c r="Q983" s="51" t="s">
        <v>80</v>
      </c>
      <c r="R983" s="51" t="s">
        <v>78</v>
      </c>
    </row>
    <row r="984" spans="1:18" x14ac:dyDescent="0.25">
      <c r="A984" s="13"/>
      <c r="B984" s="13"/>
      <c r="L984" s="52">
        <v>45762</v>
      </c>
      <c r="M984" s="53">
        <v>0.46946759259259258</v>
      </c>
      <c r="N984" s="51" t="s">
        <v>168</v>
      </c>
      <c r="O984" s="51" t="s">
        <v>325</v>
      </c>
      <c r="P984" s="51" t="s">
        <v>873</v>
      </c>
      <c r="Q984" s="51" t="s">
        <v>80</v>
      </c>
      <c r="R984" s="51" t="s">
        <v>78</v>
      </c>
    </row>
    <row r="985" spans="1:18" x14ac:dyDescent="0.25">
      <c r="A985" s="13"/>
      <c r="B985" s="13"/>
      <c r="L985" s="52">
        <v>45762</v>
      </c>
      <c r="M985" s="53">
        <v>0.46946759259259258</v>
      </c>
      <c r="N985" s="51" t="s">
        <v>169</v>
      </c>
      <c r="O985" s="51" t="s">
        <v>325</v>
      </c>
      <c r="P985" s="51" t="s">
        <v>874</v>
      </c>
      <c r="Q985" s="51" t="s">
        <v>80</v>
      </c>
      <c r="R985" s="51" t="s">
        <v>78</v>
      </c>
    </row>
    <row r="986" spans="1:18" x14ac:dyDescent="0.25">
      <c r="A986" s="13"/>
      <c r="B986" s="13"/>
      <c r="L986" s="52">
        <v>45762</v>
      </c>
      <c r="M986" s="53">
        <v>0.46946759259259258</v>
      </c>
      <c r="N986" s="51" t="s">
        <v>170</v>
      </c>
      <c r="O986" s="51" t="s">
        <v>325</v>
      </c>
      <c r="P986" s="51" t="s">
        <v>875</v>
      </c>
      <c r="Q986" s="51" t="s">
        <v>80</v>
      </c>
      <c r="R986" s="51" t="s">
        <v>78</v>
      </c>
    </row>
    <row r="987" spans="1:18" x14ac:dyDescent="0.25">
      <c r="A987" s="13"/>
      <c r="B987" s="13"/>
      <c r="L987" s="52">
        <v>45762</v>
      </c>
      <c r="M987" s="53">
        <v>0.46946759259259258</v>
      </c>
      <c r="N987" s="51" t="s">
        <v>171</v>
      </c>
      <c r="O987" s="51" t="s">
        <v>325</v>
      </c>
      <c r="P987" s="51" t="s">
        <v>876</v>
      </c>
      <c r="Q987" s="51" t="s">
        <v>80</v>
      </c>
      <c r="R987" s="51" t="s">
        <v>78</v>
      </c>
    </row>
    <row r="988" spans="1:18" x14ac:dyDescent="0.25">
      <c r="A988" s="13"/>
      <c r="B988" s="13"/>
      <c r="L988" s="52">
        <v>45762</v>
      </c>
      <c r="M988" s="53">
        <v>0.46946759259259258</v>
      </c>
      <c r="N988" s="51" t="s">
        <v>172</v>
      </c>
      <c r="O988" s="51" t="s">
        <v>325</v>
      </c>
      <c r="Q988" s="51" t="s">
        <v>524</v>
      </c>
      <c r="R988" s="51" t="s">
        <v>132</v>
      </c>
    </row>
    <row r="989" spans="1:18" x14ac:dyDescent="0.25">
      <c r="A989" s="13"/>
      <c r="B989" s="13"/>
      <c r="L989" s="52">
        <v>45762</v>
      </c>
      <c r="M989" s="53">
        <v>0.46946759259259258</v>
      </c>
      <c r="N989" s="51" t="s">
        <v>173</v>
      </c>
      <c r="O989" s="51" t="s">
        <v>325</v>
      </c>
      <c r="Q989" s="51" t="s">
        <v>524</v>
      </c>
      <c r="R989" s="51" t="s">
        <v>132</v>
      </c>
    </row>
    <row r="990" spans="1:18" x14ac:dyDescent="0.25">
      <c r="A990" s="13"/>
      <c r="B990" s="13"/>
      <c r="L990" s="52">
        <v>45762</v>
      </c>
      <c r="M990" s="53">
        <v>0.46946759259259258</v>
      </c>
      <c r="N990" s="51" t="s">
        <v>174</v>
      </c>
      <c r="O990" s="51" t="s">
        <v>325</v>
      </c>
      <c r="Q990" s="51" t="s">
        <v>524</v>
      </c>
      <c r="R990" s="51" t="s">
        <v>132</v>
      </c>
    </row>
    <row r="991" spans="1:18" x14ac:dyDescent="0.25">
      <c r="A991" s="13"/>
      <c r="B991" s="13"/>
      <c r="L991" s="52">
        <v>45762</v>
      </c>
      <c r="M991" s="53">
        <v>0.46946759259259258</v>
      </c>
      <c r="N991" s="51" t="s">
        <v>175</v>
      </c>
      <c r="O991" s="51" t="s">
        <v>325</v>
      </c>
      <c r="Q991" s="51" t="s">
        <v>524</v>
      </c>
      <c r="R991" s="51" t="s">
        <v>132</v>
      </c>
    </row>
    <row r="992" spans="1:18" x14ac:dyDescent="0.25">
      <c r="A992" s="13"/>
      <c r="B992" s="13"/>
      <c r="L992" s="52">
        <v>45762</v>
      </c>
      <c r="M992" s="53">
        <v>0.46946759259259258</v>
      </c>
      <c r="N992" s="51" t="s">
        <v>176</v>
      </c>
      <c r="O992" s="51" t="s">
        <v>325</v>
      </c>
      <c r="Q992" s="51" t="s">
        <v>524</v>
      </c>
      <c r="R992" s="51" t="s">
        <v>132</v>
      </c>
    </row>
    <row r="993" spans="1:18" x14ac:dyDescent="0.25">
      <c r="A993" s="13"/>
      <c r="B993" s="13"/>
      <c r="L993" s="52">
        <v>45762</v>
      </c>
      <c r="M993" s="53">
        <v>0.46946759259259258</v>
      </c>
      <c r="N993" s="51" t="s">
        <v>177</v>
      </c>
      <c r="O993" s="51" t="s">
        <v>325</v>
      </c>
      <c r="Q993" s="51" t="s">
        <v>524</v>
      </c>
      <c r="R993" s="51" t="s">
        <v>132</v>
      </c>
    </row>
    <row r="994" spans="1:18" x14ac:dyDescent="0.25">
      <c r="A994" s="13"/>
      <c r="B994" s="13"/>
      <c r="L994" s="52">
        <v>45762</v>
      </c>
      <c r="M994" s="53">
        <v>0.46946759259259258</v>
      </c>
      <c r="N994" s="51" t="s">
        <v>177</v>
      </c>
      <c r="O994" s="51" t="s">
        <v>325</v>
      </c>
      <c r="Q994" s="51" t="s">
        <v>524</v>
      </c>
      <c r="R994" s="51" t="s">
        <v>132</v>
      </c>
    </row>
    <row r="995" spans="1:18" x14ac:dyDescent="0.25">
      <c r="A995" s="13"/>
      <c r="B995" s="13"/>
      <c r="L995" s="52">
        <v>45762</v>
      </c>
      <c r="M995" s="53">
        <v>0.46946759259259258</v>
      </c>
      <c r="N995" s="51" t="s">
        <v>178</v>
      </c>
      <c r="O995" s="51" t="s">
        <v>325</v>
      </c>
      <c r="Q995" s="51" t="s">
        <v>524</v>
      </c>
      <c r="R995" s="51" t="s">
        <v>132</v>
      </c>
    </row>
    <row r="996" spans="1:18" x14ac:dyDescent="0.25">
      <c r="A996" s="13"/>
      <c r="B996" s="13"/>
      <c r="L996" s="52">
        <v>45762</v>
      </c>
      <c r="M996" s="53">
        <v>0.46946759259259258</v>
      </c>
      <c r="N996" s="51" t="s">
        <v>178</v>
      </c>
      <c r="O996" s="51" t="s">
        <v>325</v>
      </c>
      <c r="Q996" s="51" t="s">
        <v>524</v>
      </c>
      <c r="R996" s="51" t="s">
        <v>132</v>
      </c>
    </row>
    <row r="997" spans="1:18" x14ac:dyDescent="0.25">
      <c r="A997" s="13"/>
      <c r="B997" s="13"/>
      <c r="L997" s="52">
        <v>45762</v>
      </c>
      <c r="M997" s="53">
        <v>0.46946759259259258</v>
      </c>
      <c r="N997" s="51" t="s">
        <v>179</v>
      </c>
      <c r="O997" s="51" t="s">
        <v>325</v>
      </c>
      <c r="Q997" s="51" t="s">
        <v>524</v>
      </c>
      <c r="R997" s="51" t="s">
        <v>132</v>
      </c>
    </row>
    <row r="998" spans="1:18" x14ac:dyDescent="0.25">
      <c r="A998" s="13"/>
      <c r="B998" s="13"/>
      <c r="L998" s="52">
        <v>45762</v>
      </c>
      <c r="M998" s="53">
        <v>0.46946759259259258</v>
      </c>
      <c r="N998" s="51" t="s">
        <v>180</v>
      </c>
      <c r="O998" s="51" t="s">
        <v>325</v>
      </c>
      <c r="Q998" s="51" t="s">
        <v>524</v>
      </c>
      <c r="R998" s="51" t="s">
        <v>132</v>
      </c>
    </row>
    <row r="999" spans="1:18" x14ac:dyDescent="0.25">
      <c r="A999" s="13"/>
      <c r="B999" s="13"/>
      <c r="L999" s="52">
        <v>45762</v>
      </c>
      <c r="M999" s="53">
        <v>0.46946759259259258</v>
      </c>
      <c r="N999" s="51" t="s">
        <v>181</v>
      </c>
      <c r="O999" s="51" t="s">
        <v>325</v>
      </c>
      <c r="P999" s="51" t="s">
        <v>877</v>
      </c>
      <c r="Q999" s="51" t="s">
        <v>80</v>
      </c>
      <c r="R999" s="51" t="s">
        <v>78</v>
      </c>
    </row>
    <row r="1000" spans="1:18" x14ac:dyDescent="0.25">
      <c r="A1000" s="13"/>
      <c r="B1000" s="13"/>
      <c r="L1000" s="52">
        <v>45762</v>
      </c>
      <c r="M1000" s="53">
        <v>0.46946759259259258</v>
      </c>
      <c r="N1000" s="51" t="s">
        <v>182</v>
      </c>
      <c r="O1000" s="51" t="s">
        <v>325</v>
      </c>
      <c r="Q1000" s="51" t="s">
        <v>524</v>
      </c>
      <c r="R1000" s="51" t="s">
        <v>132</v>
      </c>
    </row>
    <row r="1001" spans="1:18" x14ac:dyDescent="0.25">
      <c r="A1001" s="13"/>
      <c r="B1001" s="13"/>
      <c r="L1001" s="52">
        <v>45762</v>
      </c>
      <c r="M1001" s="53">
        <v>0.46946759259259258</v>
      </c>
      <c r="N1001" s="51" t="s">
        <v>183</v>
      </c>
      <c r="O1001" s="51" t="s">
        <v>325</v>
      </c>
      <c r="Q1001" s="51" t="s">
        <v>524</v>
      </c>
      <c r="R1001" s="51" t="s">
        <v>132</v>
      </c>
    </row>
    <row r="1002" spans="1:18" x14ac:dyDescent="0.25">
      <c r="A1002" s="13"/>
      <c r="B1002" s="13"/>
      <c r="L1002" s="52">
        <v>45762</v>
      </c>
      <c r="M1002" s="53">
        <v>0.46946759259259258</v>
      </c>
      <c r="N1002" s="51" t="s">
        <v>184</v>
      </c>
      <c r="O1002" s="51" t="s">
        <v>325</v>
      </c>
      <c r="P1002" s="51" t="s">
        <v>878</v>
      </c>
      <c r="Q1002" s="51" t="s">
        <v>80</v>
      </c>
      <c r="R1002" s="51" t="s">
        <v>78</v>
      </c>
    </row>
    <row r="1003" spans="1:18" x14ac:dyDescent="0.25">
      <c r="A1003" s="13"/>
      <c r="B1003" s="13"/>
      <c r="L1003" s="52">
        <v>45762</v>
      </c>
      <c r="M1003" s="53">
        <v>0.46946759259259258</v>
      </c>
      <c r="N1003" s="51" t="s">
        <v>185</v>
      </c>
      <c r="O1003" s="51" t="s">
        <v>325</v>
      </c>
      <c r="P1003" s="51" t="s">
        <v>879</v>
      </c>
      <c r="Q1003" s="51" t="s">
        <v>80</v>
      </c>
      <c r="R1003" s="51" t="s">
        <v>78</v>
      </c>
    </row>
    <row r="1004" spans="1:18" x14ac:dyDescent="0.25">
      <c r="A1004" s="13"/>
      <c r="B1004" s="13"/>
      <c r="L1004" s="52">
        <v>45762</v>
      </c>
      <c r="M1004" s="53">
        <v>0.46946759259259258</v>
      </c>
      <c r="N1004" s="51" t="s">
        <v>186</v>
      </c>
      <c r="O1004" s="51" t="s">
        <v>325</v>
      </c>
      <c r="P1004" s="51" t="s">
        <v>880</v>
      </c>
      <c r="Q1004" s="51" t="s">
        <v>80</v>
      </c>
      <c r="R1004" s="51" t="s">
        <v>78</v>
      </c>
    </row>
    <row r="1005" spans="1:18" x14ac:dyDescent="0.25">
      <c r="A1005" s="13"/>
      <c r="B1005" s="13"/>
      <c r="L1005" s="52">
        <v>45762</v>
      </c>
      <c r="M1005" s="53">
        <v>0.46946759259259258</v>
      </c>
      <c r="N1005" s="51" t="s">
        <v>187</v>
      </c>
      <c r="O1005" s="51" t="s">
        <v>325</v>
      </c>
      <c r="P1005" s="51" t="s">
        <v>881</v>
      </c>
      <c r="Q1005" s="51" t="s">
        <v>80</v>
      </c>
      <c r="R1005" s="51" t="s">
        <v>78</v>
      </c>
    </row>
    <row r="1006" spans="1:18" x14ac:dyDescent="0.25">
      <c r="A1006" s="13"/>
      <c r="B1006" s="13"/>
      <c r="L1006" s="52">
        <v>45762</v>
      </c>
      <c r="M1006" s="53">
        <v>0.46946759259259258</v>
      </c>
      <c r="N1006" s="51" t="s">
        <v>188</v>
      </c>
      <c r="O1006" s="51" t="s">
        <v>325</v>
      </c>
      <c r="P1006" s="51" t="s">
        <v>882</v>
      </c>
      <c r="Q1006" s="51" t="s">
        <v>80</v>
      </c>
      <c r="R1006" s="51" t="s">
        <v>78</v>
      </c>
    </row>
    <row r="1007" spans="1:18" x14ac:dyDescent="0.25">
      <c r="A1007" s="13"/>
      <c r="B1007" s="13"/>
      <c r="L1007" s="52">
        <v>45762</v>
      </c>
      <c r="M1007" s="53">
        <v>0.46946759259259258</v>
      </c>
      <c r="N1007" s="51" t="s">
        <v>189</v>
      </c>
      <c r="O1007" s="51" t="s">
        <v>325</v>
      </c>
      <c r="P1007" s="51" t="s">
        <v>883</v>
      </c>
      <c r="Q1007" s="51" t="s">
        <v>80</v>
      </c>
      <c r="R1007" s="51" t="s">
        <v>78</v>
      </c>
    </row>
    <row r="1008" spans="1:18" x14ac:dyDescent="0.25">
      <c r="A1008" s="13"/>
      <c r="B1008" s="13"/>
      <c r="L1008" s="52">
        <v>45762</v>
      </c>
      <c r="M1008" s="53">
        <v>0.46946759259259258</v>
      </c>
      <c r="N1008" s="51" t="s">
        <v>190</v>
      </c>
      <c r="O1008" s="51" t="s">
        <v>325</v>
      </c>
      <c r="P1008" s="51" t="s">
        <v>884</v>
      </c>
      <c r="Q1008" s="51" t="s">
        <v>80</v>
      </c>
      <c r="R1008" s="51" t="s">
        <v>78</v>
      </c>
    </row>
    <row r="1009" spans="1:18" x14ac:dyDescent="0.25">
      <c r="A1009" s="13"/>
      <c r="B1009" s="13"/>
      <c r="L1009" s="52">
        <v>45762</v>
      </c>
      <c r="M1009" s="53">
        <v>0.46946759259259258</v>
      </c>
      <c r="N1009" s="51" t="s">
        <v>191</v>
      </c>
      <c r="O1009" s="51" t="s">
        <v>325</v>
      </c>
      <c r="P1009" s="51" t="s">
        <v>885</v>
      </c>
      <c r="Q1009" s="51" t="s">
        <v>80</v>
      </c>
      <c r="R1009" s="51" t="s">
        <v>78</v>
      </c>
    </row>
    <row r="1010" spans="1:18" x14ac:dyDescent="0.25">
      <c r="A1010" s="13"/>
      <c r="B1010" s="13"/>
      <c r="L1010" s="52">
        <v>45762</v>
      </c>
      <c r="M1010" s="53">
        <v>0.46946759259259258</v>
      </c>
      <c r="N1010" s="51" t="s">
        <v>192</v>
      </c>
      <c r="O1010" s="51" t="s">
        <v>325</v>
      </c>
      <c r="Q1010" s="51" t="s">
        <v>524</v>
      </c>
      <c r="R1010" s="51" t="s">
        <v>132</v>
      </c>
    </row>
    <row r="1011" spans="1:18" x14ac:dyDescent="0.25">
      <c r="A1011" s="13"/>
      <c r="B1011" s="13"/>
      <c r="L1011" s="52">
        <v>45762</v>
      </c>
      <c r="M1011" s="53">
        <v>0.46946759259259258</v>
      </c>
      <c r="N1011" s="51" t="s">
        <v>193</v>
      </c>
      <c r="O1011" s="51" t="s">
        <v>325</v>
      </c>
      <c r="P1011" s="51" t="s">
        <v>886</v>
      </c>
      <c r="Q1011" s="51" t="s">
        <v>80</v>
      </c>
      <c r="R1011" s="51" t="s">
        <v>78</v>
      </c>
    </row>
    <row r="1012" spans="1:18" x14ac:dyDescent="0.25">
      <c r="A1012" s="13"/>
      <c r="B1012" s="13"/>
      <c r="L1012" s="52">
        <v>45762</v>
      </c>
      <c r="M1012" s="53">
        <v>0.46946759259259258</v>
      </c>
      <c r="N1012" s="51" t="s">
        <v>194</v>
      </c>
      <c r="O1012" s="51" t="s">
        <v>325</v>
      </c>
      <c r="P1012" s="51" t="s">
        <v>887</v>
      </c>
      <c r="Q1012" s="51" t="s">
        <v>80</v>
      </c>
      <c r="R1012" s="51" t="s">
        <v>78</v>
      </c>
    </row>
    <row r="1013" spans="1:18" x14ac:dyDescent="0.25">
      <c r="A1013" s="13"/>
      <c r="B1013" s="13"/>
      <c r="L1013" s="52">
        <v>45762</v>
      </c>
      <c r="M1013" s="53">
        <v>0.46946759259259258</v>
      </c>
      <c r="N1013" s="51" t="s">
        <v>195</v>
      </c>
      <c r="O1013" s="51" t="s">
        <v>325</v>
      </c>
      <c r="Q1013" s="51" t="s">
        <v>524</v>
      </c>
      <c r="R1013" s="51" t="s">
        <v>132</v>
      </c>
    </row>
    <row r="1014" spans="1:18" x14ac:dyDescent="0.25">
      <c r="A1014" s="13"/>
      <c r="B1014" s="13"/>
      <c r="L1014" s="52">
        <v>45762</v>
      </c>
      <c r="M1014" s="53">
        <v>0.46946759259259258</v>
      </c>
      <c r="N1014" s="51" t="s">
        <v>196</v>
      </c>
      <c r="O1014" s="51" t="s">
        <v>325</v>
      </c>
      <c r="P1014" s="51" t="s">
        <v>888</v>
      </c>
      <c r="Q1014" s="51" t="s">
        <v>80</v>
      </c>
      <c r="R1014" s="51" t="s">
        <v>78</v>
      </c>
    </row>
    <row r="1015" spans="1:18" x14ac:dyDescent="0.25">
      <c r="A1015" s="13"/>
      <c r="B1015" s="13"/>
      <c r="L1015" s="52">
        <v>45762</v>
      </c>
      <c r="M1015" s="53">
        <v>0.46946759259259258</v>
      </c>
      <c r="N1015" s="51" t="s">
        <v>197</v>
      </c>
      <c r="O1015" s="51" t="s">
        <v>325</v>
      </c>
      <c r="P1015" s="51" t="s">
        <v>889</v>
      </c>
      <c r="Q1015" s="51" t="s">
        <v>80</v>
      </c>
      <c r="R1015" s="51" t="s">
        <v>78</v>
      </c>
    </row>
    <row r="1016" spans="1:18" x14ac:dyDescent="0.25">
      <c r="A1016" s="13"/>
      <c r="B1016" s="13"/>
      <c r="L1016" s="52">
        <v>45762</v>
      </c>
      <c r="M1016" s="53">
        <v>0.46946759259259258</v>
      </c>
      <c r="N1016" s="51" t="s">
        <v>198</v>
      </c>
      <c r="O1016" s="51" t="s">
        <v>325</v>
      </c>
      <c r="P1016" s="51" t="s">
        <v>117</v>
      </c>
      <c r="Q1016" s="51" t="s">
        <v>80</v>
      </c>
      <c r="R1016" s="51" t="s">
        <v>78</v>
      </c>
    </row>
    <row r="1017" spans="1:18" x14ac:dyDescent="0.25">
      <c r="A1017" s="13"/>
      <c r="B1017" s="13"/>
      <c r="L1017" s="52">
        <v>45762</v>
      </c>
      <c r="M1017" s="53">
        <v>0.46946759259259258</v>
      </c>
      <c r="N1017" s="51" t="s">
        <v>199</v>
      </c>
      <c r="O1017" s="51" t="s">
        <v>325</v>
      </c>
      <c r="P1017" s="51" t="s">
        <v>890</v>
      </c>
      <c r="Q1017" s="51" t="s">
        <v>80</v>
      </c>
      <c r="R1017" s="51" t="s">
        <v>78</v>
      </c>
    </row>
    <row r="1018" spans="1:18" x14ac:dyDescent="0.25">
      <c r="A1018" s="13"/>
      <c r="B1018" s="13"/>
      <c r="L1018" s="52">
        <v>45762</v>
      </c>
      <c r="M1018" s="53">
        <v>0.46946759259259258</v>
      </c>
      <c r="N1018" s="51" t="s">
        <v>200</v>
      </c>
      <c r="O1018" s="51" t="s">
        <v>325</v>
      </c>
      <c r="P1018" s="51" t="s">
        <v>891</v>
      </c>
      <c r="Q1018" s="51" t="s">
        <v>80</v>
      </c>
      <c r="R1018" s="51" t="s">
        <v>78</v>
      </c>
    </row>
    <row r="1019" spans="1:18" x14ac:dyDescent="0.25">
      <c r="A1019" s="13"/>
      <c r="B1019" s="13"/>
      <c r="L1019" s="52">
        <v>45762</v>
      </c>
      <c r="M1019" s="53">
        <v>0.46946759259259258</v>
      </c>
      <c r="N1019" s="51" t="s">
        <v>201</v>
      </c>
      <c r="O1019" s="51" t="s">
        <v>325</v>
      </c>
      <c r="P1019" s="51" t="s">
        <v>892</v>
      </c>
      <c r="Q1019" s="51" t="s">
        <v>80</v>
      </c>
      <c r="R1019" s="51" t="s">
        <v>78</v>
      </c>
    </row>
    <row r="1020" spans="1:18" x14ac:dyDescent="0.25">
      <c r="A1020" s="13"/>
      <c r="B1020" s="13"/>
      <c r="L1020" s="52">
        <v>45762</v>
      </c>
      <c r="M1020" s="53">
        <v>0.46946759259259258</v>
      </c>
      <c r="N1020" s="51" t="s">
        <v>202</v>
      </c>
      <c r="O1020" s="51" t="s">
        <v>325</v>
      </c>
      <c r="P1020" s="51" t="s">
        <v>893</v>
      </c>
      <c r="Q1020" s="51" t="s">
        <v>80</v>
      </c>
      <c r="R1020" s="51" t="s">
        <v>78</v>
      </c>
    </row>
    <row r="1021" spans="1:18" x14ac:dyDescent="0.25">
      <c r="A1021" s="13"/>
      <c r="B1021" s="13"/>
      <c r="L1021" s="52">
        <v>45762</v>
      </c>
      <c r="M1021" s="53">
        <v>0.46946759259259258</v>
      </c>
      <c r="N1021" s="51" t="s">
        <v>203</v>
      </c>
      <c r="O1021" s="51" t="s">
        <v>325</v>
      </c>
      <c r="P1021" s="51" t="s">
        <v>894</v>
      </c>
      <c r="Q1021" s="51" t="s">
        <v>80</v>
      </c>
      <c r="R1021" s="51" t="s">
        <v>78</v>
      </c>
    </row>
    <row r="1022" spans="1:18" x14ac:dyDescent="0.25">
      <c r="A1022" s="13"/>
      <c r="B1022" s="13"/>
      <c r="L1022" s="52">
        <v>45762</v>
      </c>
      <c r="M1022" s="53">
        <v>0.46946759259259258</v>
      </c>
      <c r="N1022" s="51" t="s">
        <v>204</v>
      </c>
      <c r="O1022" s="51" t="s">
        <v>325</v>
      </c>
      <c r="P1022" s="51" t="s">
        <v>895</v>
      </c>
      <c r="Q1022" s="51" t="s">
        <v>80</v>
      </c>
      <c r="R1022" s="51" t="s">
        <v>78</v>
      </c>
    </row>
    <row r="1023" spans="1:18" x14ac:dyDescent="0.25">
      <c r="A1023" s="13"/>
      <c r="B1023" s="13"/>
      <c r="L1023" s="52">
        <v>45762</v>
      </c>
      <c r="M1023" s="53">
        <v>0.46946759259259258</v>
      </c>
      <c r="N1023" s="51" t="s">
        <v>205</v>
      </c>
      <c r="O1023" s="51" t="s">
        <v>325</v>
      </c>
      <c r="P1023" s="51" t="s">
        <v>896</v>
      </c>
      <c r="Q1023" s="51" t="s">
        <v>80</v>
      </c>
      <c r="R1023" s="51" t="s">
        <v>78</v>
      </c>
    </row>
    <row r="1024" spans="1:18" x14ac:dyDescent="0.25">
      <c r="A1024" s="13"/>
      <c r="B1024" s="13"/>
      <c r="L1024" s="52">
        <v>45762</v>
      </c>
      <c r="M1024" s="53">
        <v>0.46946759259259258</v>
      </c>
      <c r="N1024" s="51" t="s">
        <v>206</v>
      </c>
      <c r="O1024" s="51" t="s">
        <v>325</v>
      </c>
      <c r="P1024" s="51" t="s">
        <v>897</v>
      </c>
      <c r="Q1024" s="51" t="s">
        <v>80</v>
      </c>
      <c r="R1024" s="51" t="s">
        <v>78</v>
      </c>
    </row>
    <row r="1025" spans="1:18" x14ac:dyDescent="0.25">
      <c r="A1025" s="13"/>
      <c r="B1025" s="13"/>
      <c r="L1025" s="52">
        <v>45762</v>
      </c>
      <c r="M1025" s="53">
        <v>0.46946759259259258</v>
      </c>
      <c r="N1025" s="51" t="s">
        <v>207</v>
      </c>
      <c r="O1025" s="51" t="s">
        <v>325</v>
      </c>
      <c r="P1025" s="51" t="s">
        <v>898</v>
      </c>
      <c r="Q1025" s="51" t="s">
        <v>80</v>
      </c>
      <c r="R1025" s="51" t="s">
        <v>78</v>
      </c>
    </row>
    <row r="1026" spans="1:18" x14ac:dyDescent="0.25">
      <c r="A1026" s="13"/>
      <c r="B1026" s="13"/>
      <c r="L1026" s="52">
        <v>45762</v>
      </c>
      <c r="M1026" s="53">
        <v>0.46946759259259258</v>
      </c>
      <c r="N1026" s="51" t="s">
        <v>208</v>
      </c>
      <c r="O1026" s="51" t="s">
        <v>325</v>
      </c>
      <c r="P1026" s="51" t="s">
        <v>899</v>
      </c>
      <c r="Q1026" s="51" t="s">
        <v>80</v>
      </c>
      <c r="R1026" s="51" t="s">
        <v>78</v>
      </c>
    </row>
    <row r="1027" spans="1:18" x14ac:dyDescent="0.25">
      <c r="A1027" s="13"/>
      <c r="B1027" s="13"/>
      <c r="L1027" s="52">
        <v>45762</v>
      </c>
      <c r="M1027" s="53">
        <v>0.46946759259259258</v>
      </c>
      <c r="N1027" s="51" t="s">
        <v>209</v>
      </c>
      <c r="O1027" s="51" t="s">
        <v>325</v>
      </c>
      <c r="P1027" s="51" t="s">
        <v>900</v>
      </c>
      <c r="Q1027" s="51" t="s">
        <v>80</v>
      </c>
      <c r="R1027" s="51" t="s">
        <v>78</v>
      </c>
    </row>
    <row r="1028" spans="1:18" x14ac:dyDescent="0.25">
      <c r="A1028" s="13"/>
      <c r="B1028" s="13"/>
      <c r="L1028" s="52">
        <v>45762</v>
      </c>
      <c r="M1028" s="53">
        <v>0.46946759259259258</v>
      </c>
      <c r="N1028" s="51" t="s">
        <v>210</v>
      </c>
      <c r="O1028" s="51" t="s">
        <v>325</v>
      </c>
      <c r="P1028" s="51" t="s">
        <v>901</v>
      </c>
      <c r="Q1028" s="51" t="s">
        <v>80</v>
      </c>
      <c r="R1028" s="51" t="s">
        <v>78</v>
      </c>
    </row>
    <row r="1029" spans="1:18" x14ac:dyDescent="0.25">
      <c r="A1029" s="13"/>
      <c r="B1029" s="13"/>
      <c r="L1029" s="52">
        <v>45762</v>
      </c>
      <c r="M1029" s="53">
        <v>0.46946759259259258</v>
      </c>
      <c r="N1029" s="51" t="s">
        <v>211</v>
      </c>
      <c r="O1029" s="51" t="s">
        <v>325</v>
      </c>
      <c r="P1029" s="51" t="s">
        <v>112</v>
      </c>
      <c r="Q1029" s="51" t="s">
        <v>80</v>
      </c>
      <c r="R1029" s="51" t="s">
        <v>78</v>
      </c>
    </row>
    <row r="1030" spans="1:18" x14ac:dyDescent="0.25">
      <c r="A1030" s="13"/>
      <c r="B1030" s="13"/>
      <c r="L1030" s="52">
        <v>45762</v>
      </c>
      <c r="M1030" s="53">
        <v>0.46946759259259258</v>
      </c>
      <c r="N1030" s="51" t="s">
        <v>212</v>
      </c>
      <c r="O1030" s="51" t="s">
        <v>325</v>
      </c>
      <c r="P1030" s="51" t="s">
        <v>113</v>
      </c>
      <c r="Q1030" s="51" t="s">
        <v>80</v>
      </c>
      <c r="R1030" s="51" t="s">
        <v>78</v>
      </c>
    </row>
    <row r="1031" spans="1:18" x14ac:dyDescent="0.25">
      <c r="A1031" s="13"/>
      <c r="B1031" s="13"/>
      <c r="L1031" s="52">
        <v>45762</v>
      </c>
      <c r="M1031" s="53">
        <v>0.46946759259259258</v>
      </c>
      <c r="N1031" s="51" t="s">
        <v>213</v>
      </c>
      <c r="O1031" s="51" t="s">
        <v>325</v>
      </c>
      <c r="P1031" s="51" t="s">
        <v>114</v>
      </c>
      <c r="Q1031" s="51" t="s">
        <v>80</v>
      </c>
      <c r="R1031" s="51" t="s">
        <v>78</v>
      </c>
    </row>
    <row r="1032" spans="1:18" x14ac:dyDescent="0.25">
      <c r="A1032" s="13"/>
      <c r="B1032" s="13"/>
      <c r="L1032" s="52">
        <v>45762</v>
      </c>
      <c r="M1032" s="53">
        <v>0.46946759259259258</v>
      </c>
      <c r="N1032" s="51" t="s">
        <v>214</v>
      </c>
      <c r="O1032" s="51" t="s">
        <v>325</v>
      </c>
      <c r="P1032" s="51" t="s">
        <v>115</v>
      </c>
      <c r="Q1032" s="51" t="s">
        <v>80</v>
      </c>
      <c r="R1032" s="51" t="s">
        <v>78</v>
      </c>
    </row>
    <row r="1033" spans="1:18" x14ac:dyDescent="0.25">
      <c r="A1033" s="13"/>
      <c r="B1033" s="13"/>
      <c r="L1033" s="52">
        <v>45762</v>
      </c>
      <c r="M1033" s="53">
        <v>0.46946759259259258</v>
      </c>
      <c r="N1033" s="51" t="s">
        <v>215</v>
      </c>
      <c r="O1033" s="51" t="s">
        <v>325</v>
      </c>
      <c r="P1033" s="51" t="s">
        <v>116</v>
      </c>
      <c r="Q1033" s="51" t="s">
        <v>80</v>
      </c>
      <c r="R1033" s="51" t="s">
        <v>78</v>
      </c>
    </row>
    <row r="1034" spans="1:18" x14ac:dyDescent="0.25">
      <c r="A1034" s="13"/>
      <c r="B1034" s="13"/>
      <c r="L1034" s="52">
        <v>45762</v>
      </c>
      <c r="M1034" s="53">
        <v>0.46946759259259258</v>
      </c>
      <c r="N1034" s="51" t="s">
        <v>216</v>
      </c>
      <c r="O1034" s="51" t="s">
        <v>325</v>
      </c>
      <c r="P1034" s="51" t="s">
        <v>902</v>
      </c>
      <c r="Q1034" s="51" t="s">
        <v>80</v>
      </c>
      <c r="R1034" s="51" t="s">
        <v>78</v>
      </c>
    </row>
    <row r="1035" spans="1:18" x14ac:dyDescent="0.25">
      <c r="A1035" s="13"/>
      <c r="B1035" s="13"/>
      <c r="L1035" s="52">
        <v>45762</v>
      </c>
      <c r="M1035" s="53">
        <v>0.46946759259259258</v>
      </c>
      <c r="N1035" s="51" t="s">
        <v>217</v>
      </c>
      <c r="O1035" s="51" t="s">
        <v>325</v>
      </c>
      <c r="P1035" s="51" t="s">
        <v>903</v>
      </c>
      <c r="Q1035" s="51" t="s">
        <v>80</v>
      </c>
      <c r="R1035" s="51" t="s">
        <v>78</v>
      </c>
    </row>
    <row r="1036" spans="1:18" x14ac:dyDescent="0.25">
      <c r="A1036" s="13"/>
      <c r="B1036" s="13"/>
      <c r="L1036" s="52">
        <v>45762</v>
      </c>
      <c r="M1036" s="53">
        <v>0.46946759259259258</v>
      </c>
      <c r="N1036" s="51" t="s">
        <v>218</v>
      </c>
      <c r="O1036" s="51" t="s">
        <v>325</v>
      </c>
      <c r="P1036" s="51" t="s">
        <v>904</v>
      </c>
      <c r="Q1036" s="51" t="s">
        <v>80</v>
      </c>
      <c r="R1036" s="51" t="s">
        <v>78</v>
      </c>
    </row>
    <row r="1037" spans="1:18" x14ac:dyDescent="0.25">
      <c r="A1037" s="13"/>
      <c r="B1037" s="13"/>
      <c r="L1037" s="52">
        <v>45762</v>
      </c>
      <c r="M1037" s="53">
        <v>0.46946759259259258</v>
      </c>
      <c r="N1037" s="51" t="s">
        <v>219</v>
      </c>
      <c r="O1037" s="51" t="s">
        <v>325</v>
      </c>
      <c r="P1037" s="51" t="s">
        <v>905</v>
      </c>
      <c r="Q1037" s="51" t="s">
        <v>80</v>
      </c>
      <c r="R1037" s="51" t="s">
        <v>78</v>
      </c>
    </row>
    <row r="1038" spans="1:18" x14ac:dyDescent="0.25">
      <c r="A1038" s="13"/>
      <c r="B1038" s="13"/>
      <c r="L1038" s="52">
        <v>45762</v>
      </c>
      <c r="M1038" s="53">
        <v>0.46946759259259258</v>
      </c>
      <c r="N1038" s="51" t="s">
        <v>220</v>
      </c>
      <c r="O1038" s="51" t="s">
        <v>325</v>
      </c>
      <c r="P1038" s="51" t="s">
        <v>906</v>
      </c>
      <c r="Q1038" s="51" t="s">
        <v>80</v>
      </c>
      <c r="R1038" s="51" t="s">
        <v>78</v>
      </c>
    </row>
    <row r="1039" spans="1:18" x14ac:dyDescent="0.25">
      <c r="A1039" s="13"/>
      <c r="B1039" s="13"/>
      <c r="L1039" s="52">
        <v>45762</v>
      </c>
      <c r="M1039" s="53">
        <v>0.46946759259259258</v>
      </c>
      <c r="N1039" s="51" t="s">
        <v>221</v>
      </c>
      <c r="O1039" s="51" t="s">
        <v>325</v>
      </c>
      <c r="P1039" s="51" t="s">
        <v>907</v>
      </c>
      <c r="Q1039" s="51" t="s">
        <v>80</v>
      </c>
      <c r="R1039" s="51" t="s">
        <v>78</v>
      </c>
    </row>
    <row r="1040" spans="1:18" x14ac:dyDescent="0.25">
      <c r="A1040" s="13"/>
      <c r="B1040" s="13"/>
      <c r="L1040" s="52">
        <v>45762</v>
      </c>
      <c r="M1040" s="53">
        <v>0.46946759259259258</v>
      </c>
      <c r="N1040" s="51" t="s">
        <v>222</v>
      </c>
      <c r="O1040" s="51" t="s">
        <v>325</v>
      </c>
      <c r="P1040" s="51" t="s">
        <v>908</v>
      </c>
      <c r="Q1040" s="51" t="s">
        <v>80</v>
      </c>
      <c r="R1040" s="51" t="s">
        <v>78</v>
      </c>
    </row>
    <row r="1041" spans="1:18" x14ac:dyDescent="0.25">
      <c r="A1041" s="13"/>
      <c r="B1041" s="13"/>
      <c r="L1041" s="52">
        <v>45762</v>
      </c>
      <c r="M1041" s="53">
        <v>0.46946759259259258</v>
      </c>
      <c r="N1041" s="51" t="s">
        <v>223</v>
      </c>
      <c r="O1041" s="51" t="s">
        <v>325</v>
      </c>
      <c r="P1041" s="51" t="s">
        <v>909</v>
      </c>
      <c r="Q1041" s="51" t="s">
        <v>80</v>
      </c>
      <c r="R1041" s="51" t="s">
        <v>78</v>
      </c>
    </row>
    <row r="1042" spans="1:18" x14ac:dyDescent="0.25">
      <c r="A1042" s="13"/>
      <c r="B1042" s="13"/>
      <c r="L1042" s="52">
        <v>45762</v>
      </c>
      <c r="M1042" s="53">
        <v>0.46946759259259258</v>
      </c>
      <c r="N1042" s="51" t="s">
        <v>224</v>
      </c>
      <c r="O1042" s="51" t="s">
        <v>325</v>
      </c>
      <c r="P1042" s="51" t="s">
        <v>910</v>
      </c>
      <c r="Q1042" s="51" t="s">
        <v>80</v>
      </c>
      <c r="R1042" s="51" t="s">
        <v>78</v>
      </c>
    </row>
    <row r="1043" spans="1:18" x14ac:dyDescent="0.25">
      <c r="A1043" s="13"/>
      <c r="B1043" s="13"/>
      <c r="L1043" s="52">
        <v>45762</v>
      </c>
      <c r="M1043" s="53">
        <v>0.46946759259259258</v>
      </c>
      <c r="N1043" s="51" t="s">
        <v>225</v>
      </c>
      <c r="O1043" s="51" t="s">
        <v>325</v>
      </c>
      <c r="P1043" s="51" t="s">
        <v>911</v>
      </c>
      <c r="Q1043" s="51" t="s">
        <v>80</v>
      </c>
      <c r="R1043" s="51" t="s">
        <v>78</v>
      </c>
    </row>
    <row r="1044" spans="1:18" x14ac:dyDescent="0.25">
      <c r="A1044" s="13"/>
      <c r="B1044" s="13"/>
      <c r="L1044" s="52">
        <v>45762</v>
      </c>
      <c r="M1044" s="53">
        <v>0.46946759259259258</v>
      </c>
      <c r="N1044" s="51" t="s">
        <v>226</v>
      </c>
      <c r="O1044" s="51" t="s">
        <v>325</v>
      </c>
      <c r="P1044" s="51" t="s">
        <v>912</v>
      </c>
      <c r="Q1044" s="51" t="s">
        <v>80</v>
      </c>
      <c r="R1044" s="51" t="s">
        <v>78</v>
      </c>
    </row>
    <row r="1045" spans="1:18" x14ac:dyDescent="0.25">
      <c r="A1045" s="13"/>
      <c r="B1045" s="13"/>
      <c r="L1045" s="52">
        <v>45762</v>
      </c>
      <c r="M1045" s="53">
        <v>0.46946759259259258</v>
      </c>
      <c r="N1045" s="51" t="s">
        <v>227</v>
      </c>
      <c r="O1045" s="51" t="s">
        <v>325</v>
      </c>
      <c r="P1045" s="51" t="s">
        <v>913</v>
      </c>
      <c r="Q1045" s="51" t="s">
        <v>80</v>
      </c>
      <c r="R1045" s="51" t="s">
        <v>78</v>
      </c>
    </row>
    <row r="1046" spans="1:18" x14ac:dyDescent="0.25">
      <c r="A1046" s="13"/>
      <c r="B1046" s="13"/>
      <c r="L1046" s="52">
        <v>45762</v>
      </c>
      <c r="M1046" s="53">
        <v>0.46946759259259258</v>
      </c>
      <c r="N1046" s="51" t="s">
        <v>228</v>
      </c>
      <c r="O1046" s="51" t="s">
        <v>325</v>
      </c>
      <c r="P1046" s="51" t="s">
        <v>914</v>
      </c>
      <c r="Q1046" s="51" t="s">
        <v>80</v>
      </c>
      <c r="R1046" s="51" t="s">
        <v>78</v>
      </c>
    </row>
    <row r="1047" spans="1:18" x14ac:dyDescent="0.25">
      <c r="A1047" s="13"/>
      <c r="B1047" s="13"/>
      <c r="L1047" s="52">
        <v>45762</v>
      </c>
      <c r="M1047" s="53">
        <v>0.46946759259259258</v>
      </c>
      <c r="N1047" s="51" t="s">
        <v>229</v>
      </c>
      <c r="O1047" s="51" t="s">
        <v>325</v>
      </c>
      <c r="P1047" s="51" t="s">
        <v>915</v>
      </c>
      <c r="Q1047" s="51" t="s">
        <v>80</v>
      </c>
      <c r="R1047" s="51" t="s">
        <v>78</v>
      </c>
    </row>
    <row r="1048" spans="1:18" x14ac:dyDescent="0.25">
      <c r="A1048" s="13"/>
      <c r="B1048" s="13"/>
      <c r="L1048" s="52">
        <v>45762</v>
      </c>
      <c r="M1048" s="53">
        <v>0.46946759259259258</v>
      </c>
      <c r="N1048" s="51" t="s">
        <v>230</v>
      </c>
      <c r="O1048" s="51" t="s">
        <v>325</v>
      </c>
      <c r="P1048" s="51" t="s">
        <v>916</v>
      </c>
      <c r="Q1048" s="51" t="s">
        <v>80</v>
      </c>
      <c r="R1048" s="51" t="s">
        <v>78</v>
      </c>
    </row>
    <row r="1049" spans="1:18" x14ac:dyDescent="0.25">
      <c r="A1049" s="13"/>
      <c r="B1049" s="13"/>
      <c r="L1049" s="52">
        <v>45762</v>
      </c>
      <c r="M1049" s="53">
        <v>0.46946759259259258</v>
      </c>
      <c r="N1049" s="51" t="s">
        <v>231</v>
      </c>
      <c r="O1049" s="51" t="s">
        <v>325</v>
      </c>
      <c r="P1049" s="51" t="s">
        <v>917</v>
      </c>
      <c r="Q1049" s="51" t="s">
        <v>80</v>
      </c>
      <c r="R1049" s="51" t="s">
        <v>78</v>
      </c>
    </row>
    <row r="1050" spans="1:18" x14ac:dyDescent="0.25">
      <c r="A1050" s="13"/>
      <c r="B1050" s="13"/>
      <c r="L1050" s="52">
        <v>45762</v>
      </c>
      <c r="M1050" s="53">
        <v>0.46946759259259258</v>
      </c>
      <c r="N1050" s="51" t="s">
        <v>232</v>
      </c>
      <c r="O1050" s="51" t="s">
        <v>325</v>
      </c>
      <c r="P1050" s="51" t="s">
        <v>918</v>
      </c>
      <c r="Q1050" s="51" t="s">
        <v>80</v>
      </c>
      <c r="R1050" s="51" t="s">
        <v>78</v>
      </c>
    </row>
    <row r="1051" spans="1:18" x14ac:dyDescent="0.25">
      <c r="A1051" s="13"/>
      <c r="B1051" s="13"/>
      <c r="L1051" s="52">
        <v>45762</v>
      </c>
      <c r="M1051" s="53">
        <v>0.46946759259259258</v>
      </c>
      <c r="N1051" s="51" t="s">
        <v>233</v>
      </c>
      <c r="O1051" s="51" t="s">
        <v>325</v>
      </c>
      <c r="P1051" s="51" t="s">
        <v>919</v>
      </c>
      <c r="Q1051" s="51" t="s">
        <v>80</v>
      </c>
      <c r="R1051" s="51" t="s">
        <v>78</v>
      </c>
    </row>
    <row r="1052" spans="1:18" x14ac:dyDescent="0.25">
      <c r="A1052" s="13"/>
      <c r="B1052" s="13"/>
      <c r="L1052" s="52">
        <v>45762</v>
      </c>
      <c r="M1052" s="53">
        <v>0.46946759259259258</v>
      </c>
      <c r="N1052" s="51" t="s">
        <v>234</v>
      </c>
      <c r="O1052" s="51" t="s">
        <v>325</v>
      </c>
      <c r="P1052" s="51" t="s">
        <v>920</v>
      </c>
      <c r="Q1052" s="51" t="s">
        <v>80</v>
      </c>
      <c r="R1052" s="51" t="s">
        <v>78</v>
      </c>
    </row>
    <row r="1053" spans="1:18" x14ac:dyDescent="0.25">
      <c r="A1053" s="13"/>
      <c r="B1053" s="13"/>
      <c r="L1053" s="52">
        <v>45762</v>
      </c>
      <c r="M1053" s="53">
        <v>0.46946759259259258</v>
      </c>
      <c r="N1053" s="51" t="s">
        <v>235</v>
      </c>
      <c r="O1053" s="51" t="s">
        <v>325</v>
      </c>
      <c r="P1053" s="51" t="s">
        <v>921</v>
      </c>
      <c r="Q1053" s="51" t="s">
        <v>80</v>
      </c>
      <c r="R1053" s="51" t="s">
        <v>78</v>
      </c>
    </row>
    <row r="1054" spans="1:18" x14ac:dyDescent="0.25">
      <c r="A1054" s="13"/>
      <c r="B1054" s="13"/>
      <c r="L1054" s="52">
        <v>45762</v>
      </c>
      <c r="M1054" s="53">
        <v>0.46946759259259258</v>
      </c>
      <c r="N1054" s="51" t="s">
        <v>236</v>
      </c>
      <c r="O1054" s="51" t="s">
        <v>325</v>
      </c>
      <c r="P1054" s="51" t="s">
        <v>922</v>
      </c>
      <c r="Q1054" s="51" t="s">
        <v>80</v>
      </c>
      <c r="R1054" s="51" t="s">
        <v>78</v>
      </c>
    </row>
    <row r="1055" spans="1:18" x14ac:dyDescent="0.25">
      <c r="A1055" s="13"/>
      <c r="B1055" s="13"/>
      <c r="L1055" s="52">
        <v>45762</v>
      </c>
      <c r="M1055" s="53">
        <v>0.46946759259259258</v>
      </c>
      <c r="N1055" s="51" t="s">
        <v>237</v>
      </c>
      <c r="O1055" s="51" t="s">
        <v>325</v>
      </c>
      <c r="P1055" s="51" t="s">
        <v>923</v>
      </c>
      <c r="Q1055" s="51" t="s">
        <v>80</v>
      </c>
      <c r="R1055" s="51" t="s">
        <v>78</v>
      </c>
    </row>
    <row r="1056" spans="1:18" x14ac:dyDescent="0.25">
      <c r="A1056" s="13"/>
      <c r="B1056" s="13"/>
      <c r="L1056" s="52">
        <v>45762</v>
      </c>
      <c r="M1056" s="53">
        <v>0.46946759259259258</v>
      </c>
      <c r="N1056" s="51" t="s">
        <v>238</v>
      </c>
      <c r="O1056" s="51" t="s">
        <v>325</v>
      </c>
      <c r="P1056" s="51" t="s">
        <v>924</v>
      </c>
      <c r="Q1056" s="51" t="s">
        <v>80</v>
      </c>
      <c r="R1056" s="51" t="s">
        <v>78</v>
      </c>
    </row>
    <row r="1057" spans="1:18" x14ac:dyDescent="0.25">
      <c r="A1057" s="13"/>
      <c r="B1057" s="13"/>
      <c r="L1057" s="52">
        <v>45762</v>
      </c>
      <c r="M1057" s="53">
        <v>0.46946759259259258</v>
      </c>
      <c r="N1057" s="51" t="s">
        <v>239</v>
      </c>
      <c r="O1057" s="51" t="s">
        <v>325</v>
      </c>
      <c r="P1057" s="51" t="s">
        <v>925</v>
      </c>
      <c r="Q1057" s="51" t="s">
        <v>80</v>
      </c>
      <c r="R1057" s="51" t="s">
        <v>78</v>
      </c>
    </row>
    <row r="1058" spans="1:18" x14ac:dyDescent="0.25">
      <c r="A1058" s="13"/>
      <c r="B1058" s="13"/>
      <c r="L1058" s="52">
        <v>45762</v>
      </c>
      <c r="M1058" s="53">
        <v>0.46946759259259258</v>
      </c>
      <c r="N1058" s="51" t="s">
        <v>240</v>
      </c>
      <c r="O1058" s="51" t="s">
        <v>325</v>
      </c>
      <c r="P1058" s="51" t="s">
        <v>926</v>
      </c>
      <c r="Q1058" s="51" t="s">
        <v>80</v>
      </c>
      <c r="R1058" s="51" t="s">
        <v>78</v>
      </c>
    </row>
    <row r="1059" spans="1:18" x14ac:dyDescent="0.25">
      <c r="A1059" s="13"/>
      <c r="B1059" s="13"/>
      <c r="L1059" s="52">
        <v>45762</v>
      </c>
      <c r="M1059" s="53">
        <v>0.46946759259259258</v>
      </c>
      <c r="N1059" s="51" t="s">
        <v>241</v>
      </c>
      <c r="O1059" s="51" t="s">
        <v>325</v>
      </c>
      <c r="P1059" s="51" t="s">
        <v>927</v>
      </c>
      <c r="Q1059" s="51" t="s">
        <v>80</v>
      </c>
      <c r="R1059" s="51" t="s">
        <v>78</v>
      </c>
    </row>
    <row r="1060" spans="1:18" x14ac:dyDescent="0.25">
      <c r="A1060" s="13"/>
      <c r="B1060" s="13"/>
      <c r="L1060" s="52">
        <v>45762</v>
      </c>
      <c r="M1060" s="53">
        <v>0.46946759259259258</v>
      </c>
      <c r="N1060" s="51" t="s">
        <v>242</v>
      </c>
      <c r="O1060" s="51" t="s">
        <v>325</v>
      </c>
      <c r="P1060" s="51" t="s">
        <v>928</v>
      </c>
      <c r="Q1060" s="51" t="s">
        <v>80</v>
      </c>
      <c r="R1060" s="51" t="s">
        <v>78</v>
      </c>
    </row>
    <row r="1061" spans="1:18" x14ac:dyDescent="0.25">
      <c r="A1061" s="13"/>
      <c r="B1061" s="13"/>
      <c r="L1061" s="52">
        <v>45762</v>
      </c>
      <c r="M1061" s="53">
        <v>0.46946759259259258</v>
      </c>
      <c r="N1061" s="51" t="s">
        <v>243</v>
      </c>
      <c r="O1061" s="51" t="s">
        <v>325</v>
      </c>
      <c r="P1061" s="51" t="s">
        <v>929</v>
      </c>
      <c r="Q1061" s="51" t="s">
        <v>80</v>
      </c>
      <c r="R1061" s="51" t="s">
        <v>78</v>
      </c>
    </row>
    <row r="1062" spans="1:18" x14ac:dyDescent="0.25">
      <c r="A1062" s="13"/>
      <c r="B1062" s="13"/>
      <c r="L1062" s="52">
        <v>45762</v>
      </c>
      <c r="M1062" s="53">
        <v>0.46946759259259258</v>
      </c>
      <c r="N1062" s="51" t="s">
        <v>244</v>
      </c>
      <c r="O1062" s="51" t="s">
        <v>325</v>
      </c>
      <c r="P1062" s="51" t="s">
        <v>930</v>
      </c>
      <c r="Q1062" s="51" t="s">
        <v>80</v>
      </c>
      <c r="R1062" s="51" t="s">
        <v>78</v>
      </c>
    </row>
    <row r="1063" spans="1:18" x14ac:dyDescent="0.25">
      <c r="A1063" s="13"/>
      <c r="B1063" s="13"/>
      <c r="L1063" s="52">
        <v>45762</v>
      </c>
      <c r="M1063" s="53">
        <v>0.46946759259259258</v>
      </c>
      <c r="N1063" s="51" t="s">
        <v>245</v>
      </c>
      <c r="O1063" s="51" t="s">
        <v>325</v>
      </c>
      <c r="P1063" s="51" t="s">
        <v>931</v>
      </c>
      <c r="Q1063" s="51" t="s">
        <v>80</v>
      </c>
      <c r="R1063" s="51" t="s">
        <v>78</v>
      </c>
    </row>
    <row r="1064" spans="1:18" x14ac:dyDescent="0.25">
      <c r="A1064" s="13"/>
      <c r="B1064" s="13"/>
      <c r="L1064" s="52">
        <v>45762</v>
      </c>
      <c r="M1064" s="53">
        <v>0.46946759259259258</v>
      </c>
      <c r="N1064" s="51" t="s">
        <v>246</v>
      </c>
      <c r="O1064" s="51" t="s">
        <v>325</v>
      </c>
      <c r="P1064" s="51" t="s">
        <v>932</v>
      </c>
      <c r="Q1064" s="51" t="s">
        <v>80</v>
      </c>
      <c r="R1064" s="51" t="s">
        <v>78</v>
      </c>
    </row>
    <row r="1065" spans="1:18" x14ac:dyDescent="0.25">
      <c r="A1065" s="13"/>
      <c r="B1065" s="13"/>
      <c r="L1065" s="52">
        <v>45762</v>
      </c>
      <c r="M1065" s="53">
        <v>0.46946759259259258</v>
      </c>
      <c r="N1065" s="51" t="s">
        <v>247</v>
      </c>
      <c r="O1065" s="51" t="s">
        <v>325</v>
      </c>
      <c r="P1065" s="51" t="s">
        <v>933</v>
      </c>
      <c r="Q1065" s="51" t="s">
        <v>80</v>
      </c>
      <c r="R1065" s="51" t="s">
        <v>78</v>
      </c>
    </row>
    <row r="1066" spans="1:18" x14ac:dyDescent="0.25">
      <c r="A1066" s="13"/>
      <c r="B1066" s="13"/>
      <c r="L1066" s="52">
        <v>45762</v>
      </c>
      <c r="M1066" s="53">
        <v>0.46946759259259258</v>
      </c>
      <c r="N1066" s="51" t="s">
        <v>248</v>
      </c>
      <c r="O1066" s="51" t="s">
        <v>325</v>
      </c>
      <c r="P1066" s="51" t="s">
        <v>934</v>
      </c>
      <c r="Q1066" s="51" t="s">
        <v>80</v>
      </c>
      <c r="R1066" s="51" t="s">
        <v>78</v>
      </c>
    </row>
    <row r="1067" spans="1:18" x14ac:dyDescent="0.25">
      <c r="A1067" s="13"/>
      <c r="B1067" s="13"/>
      <c r="L1067" s="52">
        <v>45762</v>
      </c>
      <c r="M1067" s="53">
        <v>0.46946759259259258</v>
      </c>
      <c r="N1067" s="51" t="s">
        <v>249</v>
      </c>
      <c r="O1067" s="51" t="s">
        <v>325</v>
      </c>
      <c r="P1067" s="51" t="s">
        <v>935</v>
      </c>
      <c r="Q1067" s="51" t="s">
        <v>80</v>
      </c>
      <c r="R1067" s="51" t="s">
        <v>78</v>
      </c>
    </row>
    <row r="1068" spans="1:18" x14ac:dyDescent="0.25">
      <c r="A1068" s="13"/>
      <c r="B1068" s="13"/>
      <c r="L1068" s="52">
        <v>45762</v>
      </c>
      <c r="M1068" s="53">
        <v>0.46946759259259258</v>
      </c>
      <c r="N1068" s="51" t="s">
        <v>250</v>
      </c>
      <c r="O1068" s="51" t="s">
        <v>325</v>
      </c>
      <c r="P1068" s="51" t="s">
        <v>936</v>
      </c>
      <c r="Q1068" s="51" t="s">
        <v>80</v>
      </c>
      <c r="R1068" s="51" t="s">
        <v>78</v>
      </c>
    </row>
    <row r="1069" spans="1:18" x14ac:dyDescent="0.25">
      <c r="A1069" s="13"/>
      <c r="B1069" s="13"/>
      <c r="L1069" s="52">
        <v>45762</v>
      </c>
      <c r="M1069" s="53">
        <v>0.46946759259259258</v>
      </c>
      <c r="N1069" s="51" t="s">
        <v>251</v>
      </c>
      <c r="O1069" s="51" t="s">
        <v>325</v>
      </c>
      <c r="P1069" s="51" t="s">
        <v>937</v>
      </c>
      <c r="Q1069" s="51" t="s">
        <v>80</v>
      </c>
      <c r="R1069" s="51" t="s">
        <v>78</v>
      </c>
    </row>
    <row r="1070" spans="1:18" x14ac:dyDescent="0.25">
      <c r="A1070" s="13"/>
      <c r="B1070" s="13"/>
      <c r="L1070" s="52">
        <v>45762</v>
      </c>
      <c r="M1070" s="53">
        <v>0.46946759259259258</v>
      </c>
      <c r="N1070" s="51" t="s">
        <v>252</v>
      </c>
      <c r="O1070" s="51" t="s">
        <v>325</v>
      </c>
      <c r="P1070" s="51" t="s">
        <v>938</v>
      </c>
      <c r="Q1070" s="51" t="s">
        <v>80</v>
      </c>
      <c r="R1070" s="51" t="s">
        <v>78</v>
      </c>
    </row>
    <row r="1071" spans="1:18" x14ac:dyDescent="0.25">
      <c r="A1071" s="13"/>
      <c r="B1071" s="13"/>
      <c r="L1071" s="52">
        <v>45762</v>
      </c>
      <c r="M1071" s="53">
        <v>0.46946759259259258</v>
      </c>
      <c r="N1071" s="51" t="s">
        <v>253</v>
      </c>
      <c r="O1071" s="51" t="s">
        <v>325</v>
      </c>
      <c r="P1071" s="51" t="s">
        <v>939</v>
      </c>
      <c r="Q1071" s="51" t="s">
        <v>80</v>
      </c>
      <c r="R1071" s="51" t="s">
        <v>78</v>
      </c>
    </row>
    <row r="1072" spans="1:18" x14ac:dyDescent="0.25">
      <c r="A1072" s="13"/>
      <c r="B1072" s="13"/>
      <c r="L1072" s="52">
        <v>45762</v>
      </c>
      <c r="M1072" s="53">
        <v>0.46946759259259258</v>
      </c>
      <c r="N1072" s="51" t="s">
        <v>254</v>
      </c>
      <c r="O1072" s="51" t="s">
        <v>325</v>
      </c>
      <c r="P1072" s="51" t="s">
        <v>940</v>
      </c>
      <c r="Q1072" s="51" t="s">
        <v>80</v>
      </c>
      <c r="R1072" s="51" t="s">
        <v>78</v>
      </c>
    </row>
    <row r="1073" spans="1:18" x14ac:dyDescent="0.25">
      <c r="A1073" s="13"/>
      <c r="B1073" s="13"/>
      <c r="L1073" s="52">
        <v>45762</v>
      </c>
      <c r="M1073" s="53">
        <v>0.46946759259259258</v>
      </c>
      <c r="N1073" s="51" t="s">
        <v>255</v>
      </c>
      <c r="O1073" s="51" t="s">
        <v>325</v>
      </c>
      <c r="P1073" s="51" t="s">
        <v>941</v>
      </c>
      <c r="Q1073" s="51" t="s">
        <v>80</v>
      </c>
      <c r="R1073" s="51" t="s">
        <v>78</v>
      </c>
    </row>
    <row r="1074" spans="1:18" x14ac:dyDescent="0.25">
      <c r="A1074" s="13"/>
      <c r="B1074" s="13"/>
      <c r="L1074" s="52">
        <v>45762</v>
      </c>
      <c r="M1074" s="53">
        <v>0.46946759259259258</v>
      </c>
      <c r="N1074" s="51" t="s">
        <v>256</v>
      </c>
      <c r="O1074" s="51" t="s">
        <v>325</v>
      </c>
      <c r="P1074" s="51" t="s">
        <v>942</v>
      </c>
      <c r="Q1074" s="51" t="s">
        <v>80</v>
      </c>
      <c r="R1074" s="51" t="s">
        <v>78</v>
      </c>
    </row>
    <row r="1075" spans="1:18" x14ac:dyDescent="0.25">
      <c r="A1075" s="13"/>
      <c r="B1075" s="13"/>
      <c r="L1075" s="52">
        <v>45762</v>
      </c>
      <c r="M1075" s="53">
        <v>0.46946759259259258</v>
      </c>
      <c r="N1075" s="51" t="s">
        <v>257</v>
      </c>
      <c r="O1075" s="51" t="s">
        <v>325</v>
      </c>
      <c r="P1075" s="51" t="s">
        <v>943</v>
      </c>
      <c r="Q1075" s="51" t="s">
        <v>80</v>
      </c>
      <c r="R1075" s="51" t="s">
        <v>78</v>
      </c>
    </row>
    <row r="1076" spans="1:18" x14ac:dyDescent="0.25">
      <c r="A1076" s="13"/>
      <c r="B1076" s="13"/>
      <c r="L1076" s="52">
        <v>45762</v>
      </c>
      <c r="M1076" s="53">
        <v>0.46946759259259258</v>
      </c>
      <c r="N1076" s="51" t="s">
        <v>258</v>
      </c>
      <c r="O1076" s="51" t="s">
        <v>325</v>
      </c>
      <c r="P1076" s="51" t="s">
        <v>944</v>
      </c>
      <c r="Q1076" s="51" t="s">
        <v>80</v>
      </c>
      <c r="R1076" s="51" t="s">
        <v>78</v>
      </c>
    </row>
    <row r="1077" spans="1:18" x14ac:dyDescent="0.25">
      <c r="A1077" s="13"/>
      <c r="B1077" s="13"/>
      <c r="L1077" s="52">
        <v>45762</v>
      </c>
      <c r="M1077" s="53">
        <v>0.46946759259259258</v>
      </c>
      <c r="N1077" s="51" t="s">
        <v>259</v>
      </c>
      <c r="O1077" s="51" t="s">
        <v>325</v>
      </c>
      <c r="P1077" s="51" t="s">
        <v>945</v>
      </c>
      <c r="Q1077" s="51" t="s">
        <v>80</v>
      </c>
      <c r="R1077" s="51" t="s">
        <v>78</v>
      </c>
    </row>
    <row r="1078" spans="1:18" x14ac:dyDescent="0.25">
      <c r="A1078" s="13"/>
      <c r="B1078" s="13"/>
      <c r="L1078" s="52">
        <v>45762</v>
      </c>
      <c r="M1078" s="53">
        <v>0.46946759259259258</v>
      </c>
      <c r="N1078" s="51" t="s">
        <v>260</v>
      </c>
      <c r="O1078" s="51" t="s">
        <v>325</v>
      </c>
      <c r="P1078" s="51" t="s">
        <v>946</v>
      </c>
      <c r="Q1078" s="51" t="s">
        <v>80</v>
      </c>
      <c r="R1078" s="51" t="s">
        <v>78</v>
      </c>
    </row>
    <row r="1079" spans="1:18" x14ac:dyDescent="0.25">
      <c r="A1079" s="13"/>
      <c r="B1079" s="13"/>
      <c r="L1079" s="52">
        <v>45762</v>
      </c>
      <c r="M1079" s="53">
        <v>0.46946759259259258</v>
      </c>
      <c r="N1079" s="51" t="s">
        <v>261</v>
      </c>
      <c r="O1079" s="51" t="s">
        <v>325</v>
      </c>
      <c r="P1079" s="51" t="s">
        <v>947</v>
      </c>
      <c r="Q1079" s="51" t="s">
        <v>80</v>
      </c>
      <c r="R1079" s="51" t="s">
        <v>78</v>
      </c>
    </row>
    <row r="1080" spans="1:18" x14ac:dyDescent="0.25">
      <c r="A1080" s="13"/>
      <c r="B1080" s="13"/>
      <c r="L1080" s="52">
        <v>45762</v>
      </c>
      <c r="M1080" s="53">
        <v>0.46946759259259258</v>
      </c>
      <c r="N1080" s="51" t="s">
        <v>262</v>
      </c>
      <c r="O1080" s="51" t="s">
        <v>325</v>
      </c>
      <c r="P1080" s="51" t="s">
        <v>948</v>
      </c>
      <c r="Q1080" s="51" t="s">
        <v>80</v>
      </c>
      <c r="R1080" s="51" t="s">
        <v>78</v>
      </c>
    </row>
    <row r="1081" spans="1:18" x14ac:dyDescent="0.25">
      <c r="A1081" s="13"/>
      <c r="B1081" s="13"/>
      <c r="L1081" s="52">
        <v>45762</v>
      </c>
      <c r="M1081" s="53">
        <v>0.46946759259259258</v>
      </c>
      <c r="N1081" s="51" t="s">
        <v>263</v>
      </c>
      <c r="O1081" s="51" t="s">
        <v>325</v>
      </c>
      <c r="P1081" s="51" t="s">
        <v>949</v>
      </c>
      <c r="Q1081" s="51" t="s">
        <v>80</v>
      </c>
      <c r="R1081" s="51" t="s">
        <v>78</v>
      </c>
    </row>
    <row r="1082" spans="1:18" x14ac:dyDescent="0.25">
      <c r="A1082" s="13"/>
      <c r="B1082" s="13"/>
      <c r="L1082" s="52">
        <v>45762</v>
      </c>
      <c r="M1082" s="53">
        <v>0.46946759259259258</v>
      </c>
      <c r="N1082" s="51" t="s">
        <v>264</v>
      </c>
      <c r="O1082" s="51" t="s">
        <v>325</v>
      </c>
      <c r="P1082" s="51" t="s">
        <v>950</v>
      </c>
      <c r="Q1082" s="51" t="s">
        <v>80</v>
      </c>
      <c r="R1082" s="51" t="s">
        <v>78</v>
      </c>
    </row>
    <row r="1083" spans="1:18" x14ac:dyDescent="0.25">
      <c r="A1083" s="13"/>
      <c r="B1083" s="13"/>
      <c r="L1083" s="52">
        <v>45762</v>
      </c>
      <c r="M1083" s="53">
        <v>0.46946759259259258</v>
      </c>
      <c r="N1083" s="51" t="s">
        <v>265</v>
      </c>
      <c r="O1083" s="51" t="s">
        <v>325</v>
      </c>
      <c r="P1083" s="51" t="s">
        <v>951</v>
      </c>
      <c r="Q1083" s="51" t="s">
        <v>80</v>
      </c>
      <c r="R1083" s="51" t="s">
        <v>78</v>
      </c>
    </row>
    <row r="1084" spans="1:18" x14ac:dyDescent="0.25">
      <c r="A1084" s="13"/>
      <c r="B1084" s="13"/>
      <c r="L1084" s="52">
        <v>45762</v>
      </c>
      <c r="M1084" s="53">
        <v>0.46946759259259258</v>
      </c>
      <c r="N1084" s="51" t="s">
        <v>266</v>
      </c>
      <c r="O1084" s="51" t="s">
        <v>325</v>
      </c>
      <c r="P1084" s="51" t="s">
        <v>952</v>
      </c>
      <c r="Q1084" s="51" t="s">
        <v>80</v>
      </c>
      <c r="R1084" s="51" t="s">
        <v>78</v>
      </c>
    </row>
    <row r="1085" spans="1:18" x14ac:dyDescent="0.25">
      <c r="A1085" s="13"/>
      <c r="B1085" s="13"/>
      <c r="L1085" s="52">
        <v>45762</v>
      </c>
      <c r="M1085" s="53">
        <v>0.46946759259259258</v>
      </c>
      <c r="N1085" s="51" t="s">
        <v>267</v>
      </c>
      <c r="O1085" s="51" t="s">
        <v>325</v>
      </c>
      <c r="P1085" s="51" t="s">
        <v>953</v>
      </c>
      <c r="Q1085" s="51" t="s">
        <v>80</v>
      </c>
      <c r="R1085" s="51" t="s">
        <v>78</v>
      </c>
    </row>
    <row r="1086" spans="1:18" x14ac:dyDescent="0.25">
      <c r="A1086" s="13"/>
      <c r="B1086" s="13"/>
      <c r="L1086" s="52">
        <v>45762</v>
      </c>
      <c r="M1086" s="53">
        <v>0.46946759259259258</v>
      </c>
      <c r="N1086" s="51" t="s">
        <v>268</v>
      </c>
      <c r="O1086" s="51" t="s">
        <v>325</v>
      </c>
      <c r="P1086" s="51" t="s">
        <v>954</v>
      </c>
      <c r="Q1086" s="51" t="s">
        <v>80</v>
      </c>
      <c r="R1086" s="51" t="s">
        <v>78</v>
      </c>
    </row>
    <row r="1087" spans="1:18" x14ac:dyDescent="0.25">
      <c r="A1087" s="13"/>
      <c r="B1087" s="13"/>
      <c r="L1087" s="52">
        <v>45762</v>
      </c>
      <c r="M1087" s="53">
        <v>0.46946759259259258</v>
      </c>
      <c r="N1087" s="51" t="s">
        <v>269</v>
      </c>
      <c r="O1087" s="51" t="s">
        <v>325</v>
      </c>
      <c r="P1087" s="51" t="s">
        <v>955</v>
      </c>
      <c r="Q1087" s="51" t="s">
        <v>80</v>
      </c>
      <c r="R1087" s="51" t="s">
        <v>78</v>
      </c>
    </row>
    <row r="1088" spans="1:18" x14ac:dyDescent="0.25">
      <c r="A1088" s="13"/>
      <c r="B1088" s="13"/>
      <c r="L1088" s="52">
        <v>45762</v>
      </c>
      <c r="M1088" s="53">
        <v>0.46946759259259258</v>
      </c>
      <c r="N1088" s="51" t="s">
        <v>270</v>
      </c>
      <c r="O1088" s="51" t="s">
        <v>325</v>
      </c>
      <c r="P1088" s="51" t="s">
        <v>956</v>
      </c>
      <c r="Q1088" s="51" t="s">
        <v>80</v>
      </c>
      <c r="R1088" s="51" t="s">
        <v>78</v>
      </c>
    </row>
    <row r="1089" spans="1:18" x14ac:dyDescent="0.25">
      <c r="A1089" s="13"/>
      <c r="B1089" s="13"/>
      <c r="L1089" s="52">
        <v>45762</v>
      </c>
      <c r="M1089" s="53">
        <v>0.46946759259259258</v>
      </c>
      <c r="N1089" s="51" t="s">
        <v>271</v>
      </c>
      <c r="O1089" s="51" t="s">
        <v>325</v>
      </c>
      <c r="P1089" s="51" t="s">
        <v>957</v>
      </c>
      <c r="Q1089" s="51" t="s">
        <v>80</v>
      </c>
      <c r="R1089" s="51" t="s">
        <v>78</v>
      </c>
    </row>
    <row r="1090" spans="1:18" x14ac:dyDescent="0.25">
      <c r="A1090" s="13"/>
      <c r="B1090" s="13"/>
      <c r="L1090" s="52">
        <v>45762</v>
      </c>
      <c r="M1090" s="53">
        <v>0.46946759259259258</v>
      </c>
      <c r="N1090" s="51" t="s">
        <v>272</v>
      </c>
      <c r="O1090" s="51" t="s">
        <v>325</v>
      </c>
      <c r="P1090" s="51" t="s">
        <v>958</v>
      </c>
      <c r="Q1090" s="51" t="s">
        <v>80</v>
      </c>
      <c r="R1090" s="51" t="s">
        <v>78</v>
      </c>
    </row>
    <row r="1091" spans="1:18" x14ac:dyDescent="0.25">
      <c r="A1091" s="13"/>
      <c r="B1091" s="13"/>
      <c r="L1091" s="52">
        <v>45762</v>
      </c>
      <c r="M1091" s="53">
        <v>0.46946759259259258</v>
      </c>
      <c r="N1091" s="51" t="s">
        <v>273</v>
      </c>
      <c r="O1091" s="51" t="s">
        <v>325</v>
      </c>
      <c r="P1091" s="51" t="s">
        <v>959</v>
      </c>
      <c r="Q1091" s="51" t="s">
        <v>80</v>
      </c>
      <c r="R1091" s="51" t="s">
        <v>78</v>
      </c>
    </row>
    <row r="1092" spans="1:18" x14ac:dyDescent="0.25">
      <c r="A1092" s="13"/>
      <c r="B1092" s="13"/>
      <c r="L1092" s="52">
        <v>45762</v>
      </c>
      <c r="M1092" s="53">
        <v>0.46946759259259258</v>
      </c>
      <c r="N1092" s="51" t="s">
        <v>274</v>
      </c>
      <c r="O1092" s="51" t="s">
        <v>325</v>
      </c>
      <c r="P1092" s="51" t="s">
        <v>960</v>
      </c>
      <c r="Q1092" s="51" t="s">
        <v>80</v>
      </c>
      <c r="R1092" s="51" t="s">
        <v>78</v>
      </c>
    </row>
    <row r="1093" spans="1:18" x14ac:dyDescent="0.25">
      <c r="A1093" s="13"/>
      <c r="B1093" s="13"/>
      <c r="L1093" s="52">
        <v>45762</v>
      </c>
      <c r="M1093" s="53">
        <v>0.46946759259259258</v>
      </c>
      <c r="N1093" s="51" t="s">
        <v>275</v>
      </c>
      <c r="O1093" s="51" t="s">
        <v>325</v>
      </c>
      <c r="P1093" s="51" t="s">
        <v>961</v>
      </c>
      <c r="Q1093" s="51" t="s">
        <v>80</v>
      </c>
      <c r="R1093" s="51" t="s">
        <v>78</v>
      </c>
    </row>
    <row r="1094" spans="1:18" x14ac:dyDescent="0.25">
      <c r="A1094" s="13"/>
      <c r="B1094" s="13"/>
      <c r="L1094" s="52">
        <v>45762</v>
      </c>
      <c r="M1094" s="53">
        <v>0.46946759259259258</v>
      </c>
      <c r="N1094" s="51" t="s">
        <v>276</v>
      </c>
      <c r="O1094" s="51" t="s">
        <v>325</v>
      </c>
      <c r="P1094" s="51" t="s">
        <v>962</v>
      </c>
      <c r="Q1094" s="51" t="s">
        <v>80</v>
      </c>
      <c r="R1094" s="51" t="s">
        <v>78</v>
      </c>
    </row>
    <row r="1095" spans="1:18" x14ac:dyDescent="0.25">
      <c r="A1095" s="13"/>
      <c r="B1095" s="13"/>
      <c r="L1095" s="52">
        <v>45762</v>
      </c>
      <c r="M1095" s="53">
        <v>0.46946759259259258</v>
      </c>
      <c r="N1095" s="51" t="s">
        <v>277</v>
      </c>
      <c r="O1095" s="51" t="s">
        <v>325</v>
      </c>
      <c r="P1095" s="51" t="s">
        <v>963</v>
      </c>
      <c r="Q1095" s="51" t="s">
        <v>80</v>
      </c>
      <c r="R1095" s="51" t="s">
        <v>78</v>
      </c>
    </row>
    <row r="1096" spans="1:18" x14ac:dyDescent="0.25">
      <c r="A1096" s="13"/>
      <c r="B1096" s="13"/>
      <c r="L1096" s="52">
        <v>45762</v>
      </c>
      <c r="M1096" s="53">
        <v>0.46946759259259258</v>
      </c>
      <c r="N1096" s="51" t="s">
        <v>278</v>
      </c>
      <c r="O1096" s="51" t="s">
        <v>325</v>
      </c>
      <c r="P1096" s="51" t="s">
        <v>964</v>
      </c>
      <c r="Q1096" s="51" t="s">
        <v>80</v>
      </c>
      <c r="R1096" s="51" t="s">
        <v>78</v>
      </c>
    </row>
    <row r="1097" spans="1:18" x14ac:dyDescent="0.25">
      <c r="A1097" s="13"/>
      <c r="B1097" s="13"/>
      <c r="L1097" s="52">
        <v>45762</v>
      </c>
      <c r="M1097" s="53">
        <v>0.46946759259259258</v>
      </c>
      <c r="N1097" s="51" t="s">
        <v>279</v>
      </c>
      <c r="O1097" s="51" t="s">
        <v>325</v>
      </c>
      <c r="P1097" s="51" t="s">
        <v>965</v>
      </c>
      <c r="Q1097" s="51" t="s">
        <v>80</v>
      </c>
      <c r="R1097" s="51" t="s">
        <v>78</v>
      </c>
    </row>
    <row r="1098" spans="1:18" x14ac:dyDescent="0.25">
      <c r="A1098" s="13"/>
      <c r="B1098" s="13"/>
      <c r="L1098" s="52">
        <v>45762</v>
      </c>
      <c r="M1098" s="53">
        <v>0.46946759259259258</v>
      </c>
      <c r="N1098" s="51" t="s">
        <v>280</v>
      </c>
      <c r="O1098" s="51" t="s">
        <v>325</v>
      </c>
      <c r="P1098" s="51" t="s">
        <v>966</v>
      </c>
      <c r="Q1098" s="51" t="s">
        <v>80</v>
      </c>
      <c r="R1098" s="51" t="s">
        <v>78</v>
      </c>
    </row>
    <row r="1099" spans="1:18" x14ac:dyDescent="0.25">
      <c r="A1099" s="13"/>
      <c r="B1099" s="13"/>
      <c r="L1099" s="52">
        <v>45762</v>
      </c>
      <c r="M1099" s="53">
        <v>0.46946759259259258</v>
      </c>
      <c r="N1099" s="51" t="s">
        <v>281</v>
      </c>
      <c r="O1099" s="51" t="s">
        <v>325</v>
      </c>
      <c r="P1099" s="51" t="s">
        <v>967</v>
      </c>
      <c r="Q1099" s="51" t="s">
        <v>80</v>
      </c>
      <c r="R1099" s="51" t="s">
        <v>78</v>
      </c>
    </row>
    <row r="1100" spans="1:18" x14ac:dyDescent="0.25">
      <c r="A1100" s="13"/>
      <c r="B1100" s="13"/>
      <c r="L1100" s="52">
        <v>45762</v>
      </c>
      <c r="M1100" s="53">
        <v>0.46946759259259258</v>
      </c>
      <c r="N1100" s="51" t="s">
        <v>282</v>
      </c>
      <c r="O1100" s="51" t="s">
        <v>325</v>
      </c>
      <c r="Q1100" s="51" t="s">
        <v>524</v>
      </c>
      <c r="R1100" s="51" t="s">
        <v>132</v>
      </c>
    </row>
    <row r="1101" spans="1:18" x14ac:dyDescent="0.25">
      <c r="A1101" s="13"/>
      <c r="B1101" s="13"/>
      <c r="L1101" s="52">
        <v>45762</v>
      </c>
      <c r="M1101" s="53">
        <v>0.46946759259259258</v>
      </c>
      <c r="N1101" s="51" t="s">
        <v>283</v>
      </c>
      <c r="O1101" s="51" t="s">
        <v>325</v>
      </c>
      <c r="Q1101" s="51" t="s">
        <v>524</v>
      </c>
      <c r="R1101" s="51" t="s">
        <v>132</v>
      </c>
    </row>
    <row r="1102" spans="1:18" x14ac:dyDescent="0.25">
      <c r="A1102" s="13"/>
      <c r="B1102" s="13"/>
      <c r="L1102" s="52">
        <v>45762</v>
      </c>
      <c r="M1102" s="53">
        <v>0.46946759259259258</v>
      </c>
      <c r="N1102" s="51" t="s">
        <v>284</v>
      </c>
      <c r="O1102" s="51" t="s">
        <v>325</v>
      </c>
      <c r="Q1102" s="51" t="s">
        <v>524</v>
      </c>
      <c r="R1102" s="51" t="s">
        <v>132</v>
      </c>
    </row>
    <row r="1103" spans="1:18" x14ac:dyDescent="0.25">
      <c r="A1103" s="13"/>
      <c r="B1103" s="13"/>
      <c r="L1103" s="52">
        <v>45762</v>
      </c>
      <c r="M1103" s="53">
        <v>0.46946759259259258</v>
      </c>
      <c r="N1103" s="51" t="s">
        <v>285</v>
      </c>
      <c r="O1103" s="51" t="s">
        <v>325</v>
      </c>
      <c r="P1103" s="51" t="s">
        <v>968</v>
      </c>
      <c r="Q1103" s="51" t="s">
        <v>80</v>
      </c>
      <c r="R1103" s="51" t="s">
        <v>78</v>
      </c>
    </row>
    <row r="1104" spans="1:18" x14ac:dyDescent="0.25">
      <c r="A1104" s="13"/>
      <c r="B1104" s="13"/>
      <c r="L1104" s="52">
        <v>45762</v>
      </c>
      <c r="M1104" s="53">
        <v>0.46946759259259258</v>
      </c>
      <c r="N1104" s="51" t="s">
        <v>286</v>
      </c>
      <c r="O1104" s="51" t="s">
        <v>325</v>
      </c>
      <c r="P1104" s="51" t="s">
        <v>969</v>
      </c>
      <c r="Q1104" s="51" t="s">
        <v>80</v>
      </c>
      <c r="R1104" s="51" t="s">
        <v>78</v>
      </c>
    </row>
    <row r="1105" spans="1:18" x14ac:dyDescent="0.25">
      <c r="A1105" s="13"/>
      <c r="B1105" s="13"/>
      <c r="L1105" s="52">
        <v>45762</v>
      </c>
      <c r="M1105" s="53">
        <v>0.46946759259259258</v>
      </c>
      <c r="N1105" s="51" t="s">
        <v>287</v>
      </c>
      <c r="O1105" s="51" t="s">
        <v>325</v>
      </c>
      <c r="P1105" s="51" t="s">
        <v>970</v>
      </c>
      <c r="Q1105" s="51" t="s">
        <v>80</v>
      </c>
      <c r="R1105" s="51" t="s">
        <v>78</v>
      </c>
    </row>
    <row r="1106" spans="1:18" x14ac:dyDescent="0.25">
      <c r="A1106" s="13"/>
      <c r="B1106" s="13"/>
      <c r="L1106" s="52">
        <v>45762</v>
      </c>
      <c r="M1106" s="53">
        <v>0.46946759259259258</v>
      </c>
      <c r="N1106" s="51" t="s">
        <v>288</v>
      </c>
      <c r="O1106" s="51" t="s">
        <v>325</v>
      </c>
      <c r="P1106" s="51" t="s">
        <v>971</v>
      </c>
      <c r="Q1106" s="51" t="s">
        <v>80</v>
      </c>
      <c r="R1106" s="51" t="s">
        <v>78</v>
      </c>
    </row>
    <row r="1107" spans="1:18" x14ac:dyDescent="0.25">
      <c r="A1107" s="13"/>
      <c r="B1107" s="13"/>
      <c r="L1107" s="52">
        <v>45762</v>
      </c>
      <c r="M1107" s="53">
        <v>0.46946759259259258</v>
      </c>
      <c r="N1107" s="51" t="s">
        <v>289</v>
      </c>
      <c r="O1107" s="51" t="s">
        <v>325</v>
      </c>
      <c r="P1107" s="51" t="s">
        <v>972</v>
      </c>
      <c r="Q1107" s="51" t="s">
        <v>80</v>
      </c>
      <c r="R1107" s="51" t="s">
        <v>78</v>
      </c>
    </row>
    <row r="1108" spans="1:18" x14ac:dyDescent="0.25">
      <c r="A1108" s="13"/>
      <c r="B1108" s="13"/>
      <c r="L1108" s="52">
        <v>45762</v>
      </c>
      <c r="M1108" s="53">
        <v>0.46946759259259258</v>
      </c>
      <c r="N1108" s="51" t="s">
        <v>290</v>
      </c>
      <c r="O1108" s="51" t="s">
        <v>325</v>
      </c>
      <c r="P1108" s="51" t="s">
        <v>973</v>
      </c>
      <c r="Q1108" s="51" t="s">
        <v>80</v>
      </c>
      <c r="R1108" s="51" t="s">
        <v>78</v>
      </c>
    </row>
    <row r="1109" spans="1:18" x14ac:dyDescent="0.25">
      <c r="A1109" s="13"/>
      <c r="B1109" s="13"/>
      <c r="L1109" s="52">
        <v>45762</v>
      </c>
      <c r="M1109" s="53">
        <v>0.46946759259259258</v>
      </c>
      <c r="N1109" s="51" t="s">
        <v>291</v>
      </c>
      <c r="O1109" s="51" t="s">
        <v>325</v>
      </c>
      <c r="P1109" s="51" t="s">
        <v>974</v>
      </c>
      <c r="Q1109" s="51" t="s">
        <v>80</v>
      </c>
      <c r="R1109" s="51" t="s">
        <v>78</v>
      </c>
    </row>
    <row r="1110" spans="1:18" x14ac:dyDescent="0.25">
      <c r="A1110" s="13"/>
      <c r="B1110" s="13"/>
      <c r="L1110" s="52">
        <v>45762</v>
      </c>
      <c r="M1110" s="53">
        <v>0.46946759259259258</v>
      </c>
      <c r="N1110" s="51" t="s">
        <v>292</v>
      </c>
      <c r="O1110" s="51" t="s">
        <v>325</v>
      </c>
      <c r="P1110" s="51" t="s">
        <v>975</v>
      </c>
      <c r="Q1110" s="51" t="s">
        <v>80</v>
      </c>
      <c r="R1110" s="51" t="s">
        <v>78</v>
      </c>
    </row>
    <row r="1111" spans="1:18" x14ac:dyDescent="0.25">
      <c r="A1111" s="13"/>
      <c r="B1111" s="13"/>
      <c r="L1111" s="52">
        <v>45762</v>
      </c>
      <c r="M1111" s="53">
        <v>0.46946759259259258</v>
      </c>
      <c r="N1111" s="51" t="s">
        <v>293</v>
      </c>
      <c r="O1111" s="51" t="s">
        <v>325</v>
      </c>
      <c r="P1111" s="51" t="s">
        <v>976</v>
      </c>
      <c r="Q1111" s="51" t="s">
        <v>80</v>
      </c>
      <c r="R1111" s="51" t="s">
        <v>78</v>
      </c>
    </row>
    <row r="1112" spans="1:18" x14ac:dyDescent="0.25">
      <c r="A1112" s="13"/>
      <c r="B1112" s="13"/>
      <c r="L1112" s="52">
        <v>45762</v>
      </c>
      <c r="M1112" s="53">
        <v>0.46946759259259258</v>
      </c>
      <c r="N1112" s="51" t="s">
        <v>294</v>
      </c>
      <c r="O1112" s="51" t="s">
        <v>325</v>
      </c>
      <c r="P1112" s="51" t="s">
        <v>977</v>
      </c>
      <c r="Q1112" s="51" t="s">
        <v>80</v>
      </c>
      <c r="R1112" s="51" t="s">
        <v>78</v>
      </c>
    </row>
    <row r="1113" spans="1:18" x14ac:dyDescent="0.25">
      <c r="A1113" s="13"/>
      <c r="B1113" s="13"/>
      <c r="L1113" s="52">
        <v>45762</v>
      </c>
      <c r="M1113" s="53">
        <v>0.46946759259259258</v>
      </c>
      <c r="N1113" s="51" t="s">
        <v>295</v>
      </c>
      <c r="O1113" s="51" t="s">
        <v>325</v>
      </c>
      <c r="P1113" s="51" t="s">
        <v>978</v>
      </c>
      <c r="Q1113" s="51" t="s">
        <v>80</v>
      </c>
      <c r="R1113" s="51" t="s">
        <v>78</v>
      </c>
    </row>
    <row r="1114" spans="1:18" x14ac:dyDescent="0.25">
      <c r="A1114" s="13"/>
      <c r="B1114" s="13"/>
      <c r="L1114" s="52">
        <v>45762</v>
      </c>
      <c r="M1114" s="53">
        <v>0.46946759259259258</v>
      </c>
      <c r="N1114" s="51" t="s">
        <v>296</v>
      </c>
      <c r="O1114" s="51" t="s">
        <v>325</v>
      </c>
      <c r="P1114" s="51" t="s">
        <v>979</v>
      </c>
      <c r="Q1114" s="51" t="s">
        <v>80</v>
      </c>
      <c r="R1114" s="51" t="s">
        <v>78</v>
      </c>
    </row>
    <row r="1115" spans="1:18" x14ac:dyDescent="0.25">
      <c r="A1115" s="13"/>
      <c r="B1115" s="13"/>
      <c r="L1115" s="52">
        <v>45762</v>
      </c>
      <c r="M1115" s="53">
        <v>0.46946759259259258</v>
      </c>
      <c r="N1115" s="51" t="s">
        <v>297</v>
      </c>
      <c r="O1115" s="51" t="s">
        <v>325</v>
      </c>
      <c r="P1115" s="51" t="s">
        <v>980</v>
      </c>
      <c r="Q1115" s="51" t="s">
        <v>80</v>
      </c>
      <c r="R1115" s="51" t="s">
        <v>78</v>
      </c>
    </row>
    <row r="1116" spans="1:18" x14ac:dyDescent="0.25">
      <c r="A1116" s="13"/>
      <c r="B1116" s="13"/>
      <c r="L1116" s="52">
        <v>45762</v>
      </c>
      <c r="M1116" s="53">
        <v>0.46946759259259258</v>
      </c>
      <c r="N1116" s="51" t="s">
        <v>298</v>
      </c>
      <c r="O1116" s="51" t="s">
        <v>325</v>
      </c>
      <c r="P1116" s="51" t="s">
        <v>981</v>
      </c>
      <c r="Q1116" s="51" t="s">
        <v>80</v>
      </c>
      <c r="R1116" s="51" t="s">
        <v>78</v>
      </c>
    </row>
    <row r="1117" spans="1:18" x14ac:dyDescent="0.25">
      <c r="A1117" s="13"/>
      <c r="B1117" s="13"/>
      <c r="L1117" s="52">
        <v>45762</v>
      </c>
      <c r="M1117" s="53">
        <v>0.46946759259259258</v>
      </c>
      <c r="N1117" s="51" t="s">
        <v>299</v>
      </c>
      <c r="O1117" s="51" t="s">
        <v>325</v>
      </c>
      <c r="P1117" s="51" t="s">
        <v>982</v>
      </c>
      <c r="Q1117" s="51" t="s">
        <v>80</v>
      </c>
      <c r="R1117" s="51" t="s">
        <v>78</v>
      </c>
    </row>
    <row r="1118" spans="1:18" x14ac:dyDescent="0.25">
      <c r="A1118" s="13"/>
      <c r="B1118" s="13"/>
      <c r="L1118" s="52">
        <v>45762</v>
      </c>
      <c r="M1118" s="53">
        <v>0.46946759259259258</v>
      </c>
      <c r="N1118" s="51" t="s">
        <v>300</v>
      </c>
      <c r="O1118" s="51" t="s">
        <v>325</v>
      </c>
      <c r="P1118" s="51" t="s">
        <v>983</v>
      </c>
      <c r="Q1118" s="51" t="s">
        <v>80</v>
      </c>
      <c r="R1118" s="51" t="s">
        <v>78</v>
      </c>
    </row>
    <row r="1119" spans="1:18" x14ac:dyDescent="0.25">
      <c r="A1119" s="13"/>
      <c r="B1119" s="13"/>
      <c r="L1119" s="52">
        <v>45762</v>
      </c>
      <c r="M1119" s="53">
        <v>0.46946759259259258</v>
      </c>
      <c r="N1119" s="51" t="s">
        <v>301</v>
      </c>
      <c r="O1119" s="51" t="s">
        <v>325</v>
      </c>
      <c r="P1119" s="51" t="s">
        <v>984</v>
      </c>
      <c r="Q1119" s="51" t="s">
        <v>80</v>
      </c>
      <c r="R1119" s="51" t="s">
        <v>78</v>
      </c>
    </row>
    <row r="1120" spans="1:18" x14ac:dyDescent="0.25">
      <c r="A1120" s="13"/>
      <c r="B1120" s="13"/>
      <c r="L1120" s="52">
        <v>45762</v>
      </c>
      <c r="M1120" s="53">
        <v>0.46946759259259258</v>
      </c>
      <c r="N1120" s="51" t="s">
        <v>302</v>
      </c>
      <c r="O1120" s="51" t="s">
        <v>325</v>
      </c>
      <c r="P1120" s="51" t="s">
        <v>985</v>
      </c>
      <c r="Q1120" s="51" t="s">
        <v>80</v>
      </c>
      <c r="R1120" s="51" t="s">
        <v>78</v>
      </c>
    </row>
    <row r="1121" spans="1:18" x14ac:dyDescent="0.25">
      <c r="A1121" s="13"/>
      <c r="B1121" s="13"/>
      <c r="L1121" s="52">
        <v>45762</v>
      </c>
      <c r="M1121" s="53">
        <v>0.46946759259259258</v>
      </c>
      <c r="N1121" s="51" t="s">
        <v>303</v>
      </c>
      <c r="O1121" s="51" t="s">
        <v>325</v>
      </c>
      <c r="P1121" s="51" t="s">
        <v>986</v>
      </c>
      <c r="Q1121" s="51" t="s">
        <v>80</v>
      </c>
      <c r="R1121" s="51" t="s">
        <v>78</v>
      </c>
    </row>
    <row r="1122" spans="1:18" x14ac:dyDescent="0.25">
      <c r="A1122" s="13"/>
      <c r="B1122" s="13"/>
      <c r="L1122" s="52">
        <v>45762</v>
      </c>
      <c r="M1122" s="53">
        <v>0.46946759259259258</v>
      </c>
      <c r="N1122" s="51" t="s">
        <v>304</v>
      </c>
      <c r="O1122" s="51" t="s">
        <v>325</v>
      </c>
      <c r="P1122" s="51" t="s">
        <v>987</v>
      </c>
      <c r="Q1122" s="51" t="s">
        <v>80</v>
      </c>
      <c r="R1122" s="51" t="s">
        <v>78</v>
      </c>
    </row>
    <row r="1123" spans="1:18" x14ac:dyDescent="0.25">
      <c r="A1123" s="13"/>
      <c r="B1123" s="13"/>
      <c r="L1123" s="52">
        <v>45762</v>
      </c>
      <c r="M1123" s="53">
        <v>0.46946759259259258</v>
      </c>
      <c r="N1123" s="51" t="s">
        <v>305</v>
      </c>
      <c r="O1123" s="51" t="s">
        <v>325</v>
      </c>
      <c r="P1123" s="51" t="s">
        <v>988</v>
      </c>
      <c r="Q1123" s="51" t="s">
        <v>80</v>
      </c>
      <c r="R1123" s="51" t="s">
        <v>78</v>
      </c>
    </row>
    <row r="1124" spans="1:18" x14ac:dyDescent="0.25">
      <c r="A1124" s="13"/>
      <c r="B1124" s="13"/>
      <c r="L1124" s="52">
        <v>45762</v>
      </c>
      <c r="M1124" s="53">
        <v>0.46946759259259258</v>
      </c>
      <c r="N1124" s="51" t="s">
        <v>306</v>
      </c>
      <c r="O1124" s="51" t="s">
        <v>325</v>
      </c>
      <c r="P1124" s="51" t="s">
        <v>989</v>
      </c>
      <c r="Q1124" s="51" t="s">
        <v>80</v>
      </c>
      <c r="R1124" s="51" t="s">
        <v>78</v>
      </c>
    </row>
    <row r="1125" spans="1:18" x14ac:dyDescent="0.25">
      <c r="A1125" s="13"/>
      <c r="B1125" s="13"/>
      <c r="L1125" s="52">
        <v>45762</v>
      </c>
      <c r="M1125" s="53">
        <v>0.46946759259259258</v>
      </c>
      <c r="N1125" s="51" t="s">
        <v>307</v>
      </c>
      <c r="O1125" s="51" t="s">
        <v>325</v>
      </c>
      <c r="P1125" s="51" t="s">
        <v>990</v>
      </c>
      <c r="Q1125" s="51" t="s">
        <v>80</v>
      </c>
      <c r="R1125" s="51" t="s">
        <v>78</v>
      </c>
    </row>
    <row r="1126" spans="1:18" x14ac:dyDescent="0.25">
      <c r="A1126" s="13"/>
      <c r="B1126" s="13"/>
      <c r="L1126" s="52">
        <v>45762</v>
      </c>
      <c r="M1126" s="53">
        <v>0.46946759259259258</v>
      </c>
      <c r="N1126" s="51" t="s">
        <v>308</v>
      </c>
      <c r="O1126" s="51" t="s">
        <v>325</v>
      </c>
      <c r="P1126" s="51" t="s">
        <v>991</v>
      </c>
      <c r="Q1126" s="51" t="s">
        <v>80</v>
      </c>
      <c r="R1126" s="51" t="s">
        <v>78</v>
      </c>
    </row>
    <row r="1127" spans="1:18" x14ac:dyDescent="0.25">
      <c r="A1127" s="13"/>
      <c r="B1127" s="13"/>
      <c r="L1127" s="52">
        <v>45762</v>
      </c>
      <c r="M1127" s="53">
        <v>0.46946759259259258</v>
      </c>
      <c r="N1127" s="51" t="s">
        <v>309</v>
      </c>
      <c r="O1127" s="51" t="s">
        <v>325</v>
      </c>
      <c r="P1127" s="51" t="s">
        <v>992</v>
      </c>
      <c r="Q1127" s="51" t="s">
        <v>80</v>
      </c>
      <c r="R1127" s="51" t="s">
        <v>78</v>
      </c>
    </row>
    <row r="1128" spans="1:18" x14ac:dyDescent="0.25">
      <c r="A1128" s="13"/>
      <c r="B1128" s="13"/>
      <c r="L1128" s="52">
        <v>45762</v>
      </c>
      <c r="M1128" s="53">
        <v>0.46946759259259258</v>
      </c>
      <c r="N1128" s="51" t="s">
        <v>310</v>
      </c>
      <c r="O1128" s="51" t="s">
        <v>325</v>
      </c>
      <c r="P1128" s="51" t="s">
        <v>993</v>
      </c>
      <c r="Q1128" s="51" t="s">
        <v>80</v>
      </c>
      <c r="R1128" s="51" t="s">
        <v>78</v>
      </c>
    </row>
    <row r="1129" spans="1:18" x14ac:dyDescent="0.25">
      <c r="A1129" s="13"/>
      <c r="B1129" s="13"/>
      <c r="L1129" s="52">
        <v>45762</v>
      </c>
      <c r="M1129" s="53">
        <v>0.46946759259259258</v>
      </c>
      <c r="N1129" s="51" t="s">
        <v>311</v>
      </c>
      <c r="O1129" s="51" t="s">
        <v>325</v>
      </c>
      <c r="P1129" s="51" t="s">
        <v>994</v>
      </c>
      <c r="Q1129" s="51" t="s">
        <v>80</v>
      </c>
      <c r="R1129" s="51" t="s">
        <v>78</v>
      </c>
    </row>
    <row r="1130" spans="1:18" x14ac:dyDescent="0.25">
      <c r="A1130" s="13"/>
      <c r="B1130" s="13"/>
      <c r="L1130" s="52">
        <v>45762</v>
      </c>
      <c r="M1130" s="53">
        <v>0.46946759259259258</v>
      </c>
      <c r="N1130" s="51" t="s">
        <v>312</v>
      </c>
      <c r="O1130" s="51" t="s">
        <v>325</v>
      </c>
      <c r="P1130" s="51" t="s">
        <v>995</v>
      </c>
      <c r="Q1130" s="51" t="s">
        <v>80</v>
      </c>
      <c r="R1130" s="51" t="s">
        <v>78</v>
      </c>
    </row>
    <row r="1131" spans="1:18" x14ac:dyDescent="0.25">
      <c r="A1131" s="13"/>
      <c r="B1131" s="13"/>
      <c r="L1131" s="52">
        <v>45762</v>
      </c>
      <c r="M1131" s="53">
        <v>0.46946759259259258</v>
      </c>
      <c r="N1131" s="51" t="s">
        <v>313</v>
      </c>
      <c r="O1131" s="51" t="s">
        <v>325</v>
      </c>
      <c r="P1131" s="51" t="s">
        <v>996</v>
      </c>
      <c r="Q1131" s="51" t="s">
        <v>80</v>
      </c>
      <c r="R1131" s="51" t="s">
        <v>78</v>
      </c>
    </row>
    <row r="1132" spans="1:18" x14ac:dyDescent="0.25">
      <c r="A1132" s="13"/>
      <c r="B1132" s="13"/>
      <c r="L1132" s="52">
        <v>45762</v>
      </c>
      <c r="M1132" s="53">
        <v>0.46946759259259258</v>
      </c>
      <c r="N1132" s="51" t="s">
        <v>314</v>
      </c>
      <c r="O1132" s="51" t="s">
        <v>325</v>
      </c>
      <c r="P1132" s="51" t="s">
        <v>997</v>
      </c>
      <c r="Q1132" s="51" t="s">
        <v>80</v>
      </c>
      <c r="R1132" s="51" t="s">
        <v>78</v>
      </c>
    </row>
    <row r="1133" spans="1:18" x14ac:dyDescent="0.25">
      <c r="A1133" s="13"/>
      <c r="B1133" s="13"/>
      <c r="L1133" s="52">
        <v>45762</v>
      </c>
      <c r="M1133" s="53">
        <v>0.46946759259259258</v>
      </c>
      <c r="N1133" s="51" t="s">
        <v>315</v>
      </c>
      <c r="O1133" s="51" t="s">
        <v>325</v>
      </c>
      <c r="P1133" s="51" t="s">
        <v>998</v>
      </c>
      <c r="Q1133" s="51" t="s">
        <v>80</v>
      </c>
      <c r="R1133" s="51" t="s">
        <v>78</v>
      </c>
    </row>
    <row r="1134" spans="1:18" x14ac:dyDescent="0.25">
      <c r="A1134" s="13"/>
      <c r="B1134" s="13"/>
      <c r="L1134" s="52">
        <v>45762</v>
      </c>
      <c r="M1134" s="53">
        <v>0.46946759259259258</v>
      </c>
      <c r="N1134" s="51" t="s">
        <v>316</v>
      </c>
      <c r="O1134" s="51" t="s">
        <v>325</v>
      </c>
      <c r="P1134" s="51" t="s">
        <v>999</v>
      </c>
      <c r="Q1134" s="51" t="s">
        <v>80</v>
      </c>
      <c r="R1134" s="51" t="s">
        <v>78</v>
      </c>
    </row>
    <row r="1135" spans="1:18" x14ac:dyDescent="0.25">
      <c r="A1135" s="13"/>
      <c r="B1135" s="13"/>
      <c r="L1135" s="52">
        <v>45762</v>
      </c>
      <c r="M1135" s="53">
        <v>0.46946759259259258</v>
      </c>
      <c r="N1135" s="51" t="s">
        <v>317</v>
      </c>
      <c r="O1135" s="51" t="s">
        <v>325</v>
      </c>
      <c r="P1135" s="51" t="s">
        <v>1000</v>
      </c>
      <c r="Q1135" s="51" t="s">
        <v>80</v>
      </c>
      <c r="R1135" s="51" t="s">
        <v>78</v>
      </c>
    </row>
    <row r="1136" spans="1:18" x14ac:dyDescent="0.25">
      <c r="A1136" s="13"/>
      <c r="B1136" s="13"/>
      <c r="L1136" s="52">
        <v>45762</v>
      </c>
      <c r="M1136" s="53">
        <v>0.46946759259259258</v>
      </c>
      <c r="N1136" s="51" t="s">
        <v>318</v>
      </c>
      <c r="O1136" s="51" t="s">
        <v>325</v>
      </c>
      <c r="P1136" s="51" t="s">
        <v>1001</v>
      </c>
      <c r="Q1136" s="51" t="s">
        <v>80</v>
      </c>
      <c r="R1136" s="51" t="s">
        <v>78</v>
      </c>
    </row>
    <row r="1137" spans="1:18" x14ac:dyDescent="0.25">
      <c r="A1137" s="13"/>
      <c r="B1137" s="13"/>
      <c r="L1137" s="52">
        <v>45762</v>
      </c>
      <c r="M1137" s="53">
        <v>0.46946759259259258</v>
      </c>
      <c r="N1137" s="51" t="s">
        <v>319</v>
      </c>
      <c r="O1137" s="51" t="s">
        <v>325</v>
      </c>
      <c r="P1137" s="51" t="s">
        <v>1002</v>
      </c>
      <c r="Q1137" s="51" t="s">
        <v>80</v>
      </c>
      <c r="R1137" s="51" t="s">
        <v>78</v>
      </c>
    </row>
    <row r="1138" spans="1:18" x14ac:dyDescent="0.25">
      <c r="A1138" s="13"/>
      <c r="B1138" s="13"/>
      <c r="L1138" s="52">
        <v>45762</v>
      </c>
      <c r="M1138" s="53">
        <v>0.46946759259259258</v>
      </c>
      <c r="N1138" s="51" t="s">
        <v>320</v>
      </c>
      <c r="O1138" s="51" t="s">
        <v>325</v>
      </c>
      <c r="P1138" s="51" t="s">
        <v>1003</v>
      </c>
      <c r="Q1138" s="51" t="s">
        <v>80</v>
      </c>
      <c r="R1138" s="51" t="s">
        <v>78</v>
      </c>
    </row>
    <row r="1139" spans="1:18" x14ac:dyDescent="0.25">
      <c r="A1139" s="13"/>
      <c r="B1139" s="13"/>
      <c r="L1139" s="52">
        <v>45762</v>
      </c>
      <c r="M1139" s="53">
        <v>0.46946759259259258</v>
      </c>
      <c r="N1139" s="51" t="s">
        <v>321</v>
      </c>
      <c r="O1139" s="51" t="s">
        <v>325</v>
      </c>
      <c r="P1139" s="51" t="s">
        <v>1004</v>
      </c>
      <c r="Q1139" s="51" t="s">
        <v>80</v>
      </c>
      <c r="R1139" s="51" t="s">
        <v>78</v>
      </c>
    </row>
    <row r="1140" spans="1:18" x14ac:dyDescent="0.25">
      <c r="A1140" s="13"/>
      <c r="B1140" s="13"/>
      <c r="L1140" s="52">
        <v>45762</v>
      </c>
      <c r="M1140" s="53">
        <v>0.46946759259259258</v>
      </c>
      <c r="O1140" s="51" t="s">
        <v>326</v>
      </c>
      <c r="Q1140" s="51" t="s">
        <v>1005</v>
      </c>
      <c r="R1140" s="51" t="s">
        <v>78</v>
      </c>
    </row>
    <row r="1141" spans="1:18" x14ac:dyDescent="0.25">
      <c r="A1141" s="13"/>
      <c r="B1141" s="13"/>
      <c r="L1141" s="52">
        <v>45762</v>
      </c>
      <c r="M1141" s="53">
        <v>0.46954861111111112</v>
      </c>
      <c r="O1141" s="51" t="s">
        <v>326</v>
      </c>
      <c r="Q1141" s="51" t="s">
        <v>330</v>
      </c>
      <c r="R1141" s="51" t="s">
        <v>78</v>
      </c>
    </row>
    <row r="1142" spans="1:18" x14ac:dyDescent="0.25">
      <c r="A1142" s="13"/>
      <c r="B1142" s="13"/>
      <c r="L1142" s="52">
        <v>45762</v>
      </c>
      <c r="M1142" s="53">
        <v>0.46954861111111112</v>
      </c>
      <c r="O1142" s="51" t="s">
        <v>326</v>
      </c>
      <c r="Q1142" s="51" t="s">
        <v>1006</v>
      </c>
      <c r="R1142" s="51" t="s">
        <v>78</v>
      </c>
    </row>
    <row r="1143" spans="1:18" x14ac:dyDescent="0.25">
      <c r="A1143" s="13"/>
      <c r="B1143" s="13"/>
      <c r="L1143" s="52">
        <v>45762</v>
      </c>
      <c r="M1143" s="53">
        <v>0.46954861111111112</v>
      </c>
      <c r="N1143" s="51" t="s">
        <v>138</v>
      </c>
      <c r="O1143" s="51" t="s">
        <v>326</v>
      </c>
      <c r="P1143" s="51" t="s">
        <v>1007</v>
      </c>
      <c r="Q1143" s="51" t="s">
        <v>80</v>
      </c>
      <c r="R1143" s="51" t="s">
        <v>78</v>
      </c>
    </row>
    <row r="1144" spans="1:18" x14ac:dyDescent="0.25">
      <c r="A1144" s="13"/>
      <c r="B1144" s="13"/>
      <c r="L1144" s="52">
        <v>45762</v>
      </c>
      <c r="M1144" s="53">
        <v>0.46954861111111112</v>
      </c>
      <c r="N1144" s="51" t="s">
        <v>139</v>
      </c>
      <c r="O1144" s="51" t="s">
        <v>326</v>
      </c>
      <c r="P1144" s="51" t="s">
        <v>1008</v>
      </c>
      <c r="Q1144" s="51" t="s">
        <v>80</v>
      </c>
      <c r="R1144" s="51" t="s">
        <v>78</v>
      </c>
    </row>
    <row r="1145" spans="1:18" x14ac:dyDescent="0.25">
      <c r="A1145" s="13"/>
      <c r="B1145" s="13"/>
      <c r="L1145" s="52">
        <v>45762</v>
      </c>
      <c r="M1145" s="53">
        <v>0.46954861111111112</v>
      </c>
      <c r="N1145" s="51" t="s">
        <v>140</v>
      </c>
      <c r="O1145" s="51" t="s">
        <v>326</v>
      </c>
      <c r="P1145" s="51" t="s">
        <v>1009</v>
      </c>
      <c r="Q1145" s="51" t="s">
        <v>80</v>
      </c>
      <c r="R1145" s="51" t="s">
        <v>78</v>
      </c>
    </row>
    <row r="1146" spans="1:18" x14ac:dyDescent="0.25">
      <c r="A1146" s="13"/>
      <c r="B1146" s="13"/>
      <c r="L1146" s="52">
        <v>45762</v>
      </c>
      <c r="M1146" s="53">
        <v>0.46954861111111112</v>
      </c>
      <c r="N1146" s="51" t="s">
        <v>141</v>
      </c>
      <c r="O1146" s="51" t="s">
        <v>326</v>
      </c>
      <c r="P1146" s="51" t="s">
        <v>1010</v>
      </c>
      <c r="Q1146" s="51" t="s">
        <v>80</v>
      </c>
      <c r="R1146" s="51" t="s">
        <v>78</v>
      </c>
    </row>
    <row r="1147" spans="1:18" x14ac:dyDescent="0.25">
      <c r="A1147" s="13"/>
      <c r="B1147" s="13"/>
      <c r="L1147" s="52">
        <v>45762</v>
      </c>
      <c r="M1147" s="53">
        <v>0.46954861111111112</v>
      </c>
      <c r="N1147" s="51" t="s">
        <v>142</v>
      </c>
      <c r="O1147" s="51" t="s">
        <v>326</v>
      </c>
      <c r="P1147" s="51" t="s">
        <v>1011</v>
      </c>
      <c r="Q1147" s="51" t="s">
        <v>80</v>
      </c>
      <c r="R1147" s="51" t="s">
        <v>78</v>
      </c>
    </row>
    <row r="1148" spans="1:18" x14ac:dyDescent="0.25">
      <c r="A1148" s="13"/>
      <c r="B1148" s="13"/>
      <c r="L1148" s="52">
        <v>45762</v>
      </c>
      <c r="M1148" s="53">
        <v>0.46954861111111112</v>
      </c>
      <c r="N1148" s="51" t="s">
        <v>143</v>
      </c>
      <c r="O1148" s="51" t="s">
        <v>326</v>
      </c>
      <c r="P1148" s="51" t="s">
        <v>1012</v>
      </c>
      <c r="Q1148" s="51" t="s">
        <v>80</v>
      </c>
      <c r="R1148" s="51" t="s">
        <v>78</v>
      </c>
    </row>
    <row r="1149" spans="1:18" x14ac:dyDescent="0.25">
      <c r="A1149" s="13"/>
      <c r="B1149" s="13"/>
      <c r="L1149" s="52">
        <v>45762</v>
      </c>
      <c r="M1149" s="53">
        <v>0.46954861111111112</v>
      </c>
      <c r="N1149" s="51" t="s">
        <v>144</v>
      </c>
      <c r="O1149" s="51" t="s">
        <v>326</v>
      </c>
      <c r="P1149" s="51" t="s">
        <v>1013</v>
      </c>
      <c r="Q1149" s="51" t="s">
        <v>80</v>
      </c>
      <c r="R1149" s="51" t="s">
        <v>78</v>
      </c>
    </row>
    <row r="1150" spans="1:18" x14ac:dyDescent="0.25">
      <c r="A1150" s="13"/>
      <c r="B1150" s="13"/>
      <c r="L1150" s="52">
        <v>45762</v>
      </c>
      <c r="M1150" s="53">
        <v>0.46954861111111112</v>
      </c>
      <c r="N1150" s="51" t="s">
        <v>145</v>
      </c>
      <c r="O1150" s="51" t="s">
        <v>326</v>
      </c>
      <c r="P1150" s="51" t="s">
        <v>1014</v>
      </c>
      <c r="Q1150" s="51" t="s">
        <v>80</v>
      </c>
      <c r="R1150" s="51" t="s">
        <v>78</v>
      </c>
    </row>
    <row r="1151" spans="1:18" x14ac:dyDescent="0.25">
      <c r="A1151" s="13"/>
      <c r="B1151" s="13"/>
      <c r="L1151" s="52">
        <v>45762</v>
      </c>
      <c r="M1151" s="53">
        <v>0.46954861111111112</v>
      </c>
      <c r="N1151" s="51" t="s">
        <v>146</v>
      </c>
      <c r="O1151" s="51" t="s">
        <v>326</v>
      </c>
      <c r="Q1151" s="51" t="s">
        <v>524</v>
      </c>
      <c r="R1151" s="51" t="s">
        <v>132</v>
      </c>
    </row>
    <row r="1152" spans="1:18" x14ac:dyDescent="0.25">
      <c r="A1152" s="13"/>
      <c r="B1152" s="13"/>
      <c r="L1152" s="52">
        <v>45762</v>
      </c>
      <c r="M1152" s="53">
        <v>0.46954861111111112</v>
      </c>
      <c r="N1152" s="51" t="s">
        <v>147</v>
      </c>
      <c r="O1152" s="51" t="s">
        <v>326</v>
      </c>
      <c r="Q1152" s="51" t="s">
        <v>524</v>
      </c>
      <c r="R1152" s="51" t="s">
        <v>132</v>
      </c>
    </row>
    <row r="1153" spans="1:18" x14ac:dyDescent="0.25">
      <c r="A1153" s="13"/>
      <c r="B1153" s="13"/>
      <c r="L1153" s="52">
        <v>45762</v>
      </c>
      <c r="M1153" s="53">
        <v>0.46954861111111112</v>
      </c>
      <c r="N1153" s="51" t="s">
        <v>148</v>
      </c>
      <c r="O1153" s="51" t="s">
        <v>326</v>
      </c>
      <c r="Q1153" s="51" t="s">
        <v>524</v>
      </c>
      <c r="R1153" s="51" t="s">
        <v>132</v>
      </c>
    </row>
    <row r="1154" spans="1:18" x14ac:dyDescent="0.25">
      <c r="A1154" s="13"/>
      <c r="B1154" s="13"/>
      <c r="L1154" s="52">
        <v>45762</v>
      </c>
      <c r="M1154" s="53">
        <v>0.46954861111111112</v>
      </c>
      <c r="N1154" s="51" t="s">
        <v>149</v>
      </c>
      <c r="O1154" s="51" t="s">
        <v>326</v>
      </c>
      <c r="Q1154" s="51" t="s">
        <v>524</v>
      </c>
      <c r="R1154" s="51" t="s">
        <v>132</v>
      </c>
    </row>
    <row r="1155" spans="1:18" x14ac:dyDescent="0.25">
      <c r="A1155" s="13"/>
      <c r="B1155" s="13"/>
      <c r="L1155" s="52">
        <v>45762</v>
      </c>
      <c r="M1155" s="53">
        <v>0.46954861111111112</v>
      </c>
      <c r="N1155" s="51" t="s">
        <v>150</v>
      </c>
      <c r="O1155" s="51" t="s">
        <v>326</v>
      </c>
      <c r="Q1155" s="51" t="s">
        <v>524</v>
      </c>
      <c r="R1155" s="51" t="s">
        <v>132</v>
      </c>
    </row>
    <row r="1156" spans="1:18" x14ac:dyDescent="0.25">
      <c r="A1156" s="13"/>
      <c r="B1156" s="13"/>
      <c r="L1156" s="52">
        <v>45762</v>
      </c>
      <c r="M1156" s="53">
        <v>0.46954861111111112</v>
      </c>
      <c r="N1156" s="51" t="s">
        <v>151</v>
      </c>
      <c r="O1156" s="51" t="s">
        <v>326</v>
      </c>
      <c r="Q1156" s="51" t="s">
        <v>524</v>
      </c>
      <c r="R1156" s="51" t="s">
        <v>132</v>
      </c>
    </row>
    <row r="1157" spans="1:18" x14ac:dyDescent="0.25">
      <c r="A1157" s="13"/>
      <c r="B1157" s="13"/>
      <c r="L1157" s="52">
        <v>45762</v>
      </c>
      <c r="M1157" s="53">
        <v>0.46954861111111112</v>
      </c>
      <c r="N1157" s="51" t="s">
        <v>152</v>
      </c>
      <c r="O1157" s="51" t="s">
        <v>326</v>
      </c>
      <c r="Q1157" s="51" t="s">
        <v>524</v>
      </c>
      <c r="R1157" s="51" t="s">
        <v>132</v>
      </c>
    </row>
    <row r="1158" spans="1:18" x14ac:dyDescent="0.25">
      <c r="A1158" s="13"/>
      <c r="B1158" s="13"/>
      <c r="L1158" s="52">
        <v>45762</v>
      </c>
      <c r="M1158" s="53">
        <v>0.46954861111111112</v>
      </c>
      <c r="N1158" s="51" t="s">
        <v>153</v>
      </c>
      <c r="O1158" s="51" t="s">
        <v>326</v>
      </c>
      <c r="Q1158" s="51" t="s">
        <v>524</v>
      </c>
      <c r="R1158" s="51" t="s">
        <v>132</v>
      </c>
    </row>
    <row r="1159" spans="1:18" x14ac:dyDescent="0.25">
      <c r="A1159" s="13"/>
      <c r="B1159" s="13"/>
      <c r="L1159" s="52">
        <v>45762</v>
      </c>
      <c r="M1159" s="53">
        <v>0.46954861111111112</v>
      </c>
      <c r="N1159" s="51" t="s">
        <v>154</v>
      </c>
      <c r="O1159" s="51" t="s">
        <v>326</v>
      </c>
      <c r="Q1159" s="51" t="s">
        <v>524</v>
      </c>
      <c r="R1159" s="51" t="s">
        <v>132</v>
      </c>
    </row>
    <row r="1160" spans="1:18" x14ac:dyDescent="0.25">
      <c r="A1160" s="13"/>
      <c r="B1160" s="13"/>
      <c r="L1160" s="52">
        <v>45762</v>
      </c>
      <c r="M1160" s="53">
        <v>0.46954861111111112</v>
      </c>
      <c r="N1160" s="51" t="s">
        <v>155</v>
      </c>
      <c r="O1160" s="51" t="s">
        <v>326</v>
      </c>
      <c r="Q1160" s="51" t="s">
        <v>524</v>
      </c>
      <c r="R1160" s="51" t="s">
        <v>132</v>
      </c>
    </row>
    <row r="1161" spans="1:18" x14ac:dyDescent="0.25">
      <c r="A1161" s="13"/>
      <c r="B1161" s="13"/>
      <c r="L1161" s="52">
        <v>45762</v>
      </c>
      <c r="M1161" s="53">
        <v>0.46954861111111112</v>
      </c>
      <c r="N1161" s="51" t="s">
        <v>156</v>
      </c>
      <c r="O1161" s="51" t="s">
        <v>326</v>
      </c>
      <c r="Q1161" s="51" t="s">
        <v>524</v>
      </c>
      <c r="R1161" s="51" t="s">
        <v>132</v>
      </c>
    </row>
    <row r="1162" spans="1:18" x14ac:dyDescent="0.25">
      <c r="A1162" s="13"/>
      <c r="B1162" s="13"/>
      <c r="L1162" s="52">
        <v>45762</v>
      </c>
      <c r="M1162" s="53">
        <v>0.46954861111111112</v>
      </c>
      <c r="N1162" s="51" t="s">
        <v>157</v>
      </c>
      <c r="O1162" s="51" t="s">
        <v>326</v>
      </c>
      <c r="P1162" s="51" t="s">
        <v>1015</v>
      </c>
      <c r="Q1162" s="51" t="s">
        <v>80</v>
      </c>
      <c r="R1162" s="51" t="s">
        <v>78</v>
      </c>
    </row>
    <row r="1163" spans="1:18" x14ac:dyDescent="0.25">
      <c r="A1163" s="13"/>
      <c r="B1163" s="13"/>
      <c r="L1163" s="52">
        <v>45762</v>
      </c>
      <c r="M1163" s="53">
        <v>0.46954861111111112</v>
      </c>
      <c r="N1163" s="51" t="s">
        <v>158</v>
      </c>
      <c r="O1163" s="51" t="s">
        <v>326</v>
      </c>
      <c r="P1163" s="51" t="s">
        <v>1016</v>
      </c>
      <c r="Q1163" s="51" t="s">
        <v>80</v>
      </c>
      <c r="R1163" s="51" t="s">
        <v>78</v>
      </c>
    </row>
    <row r="1164" spans="1:18" x14ac:dyDescent="0.25">
      <c r="A1164" s="13"/>
      <c r="B1164" s="13"/>
      <c r="L1164" s="52">
        <v>45762</v>
      </c>
      <c r="M1164" s="53">
        <v>0.46954861111111112</v>
      </c>
      <c r="N1164" s="51" t="s">
        <v>159</v>
      </c>
      <c r="O1164" s="51" t="s">
        <v>326</v>
      </c>
      <c r="P1164" s="51" t="s">
        <v>1017</v>
      </c>
      <c r="Q1164" s="51" t="s">
        <v>80</v>
      </c>
      <c r="R1164" s="51" t="s">
        <v>78</v>
      </c>
    </row>
    <row r="1165" spans="1:18" x14ac:dyDescent="0.25">
      <c r="A1165" s="13"/>
      <c r="B1165" s="13"/>
      <c r="L1165" s="52">
        <v>45762</v>
      </c>
      <c r="M1165" s="53">
        <v>0.46954861111111112</v>
      </c>
      <c r="N1165" s="51" t="s">
        <v>160</v>
      </c>
      <c r="O1165" s="51" t="s">
        <v>326</v>
      </c>
      <c r="P1165" s="51" t="s">
        <v>1018</v>
      </c>
      <c r="Q1165" s="51" t="s">
        <v>80</v>
      </c>
      <c r="R1165" s="51" t="s">
        <v>78</v>
      </c>
    </row>
    <row r="1166" spans="1:18" x14ac:dyDescent="0.25">
      <c r="A1166" s="13"/>
      <c r="B1166" s="13"/>
      <c r="L1166" s="52">
        <v>45762</v>
      </c>
      <c r="M1166" s="53">
        <v>0.46954861111111112</v>
      </c>
      <c r="N1166" s="51" t="s">
        <v>161</v>
      </c>
      <c r="O1166" s="51" t="s">
        <v>326</v>
      </c>
      <c r="P1166" s="51" t="s">
        <v>1019</v>
      </c>
      <c r="Q1166" s="51" t="s">
        <v>80</v>
      </c>
      <c r="R1166" s="51" t="s">
        <v>78</v>
      </c>
    </row>
    <row r="1167" spans="1:18" x14ac:dyDescent="0.25">
      <c r="A1167" s="13"/>
      <c r="B1167" s="13"/>
      <c r="L1167" s="52">
        <v>45762</v>
      </c>
      <c r="M1167" s="53">
        <v>0.46954861111111112</v>
      </c>
      <c r="N1167" s="51" t="s">
        <v>162</v>
      </c>
      <c r="O1167" s="51" t="s">
        <v>326</v>
      </c>
      <c r="P1167" s="51" t="s">
        <v>1020</v>
      </c>
      <c r="Q1167" s="51" t="s">
        <v>80</v>
      </c>
      <c r="R1167" s="51" t="s">
        <v>78</v>
      </c>
    </row>
    <row r="1168" spans="1:18" x14ac:dyDescent="0.25">
      <c r="A1168" s="13"/>
      <c r="B1168" s="13"/>
      <c r="L1168" s="52">
        <v>45762</v>
      </c>
      <c r="M1168" s="53">
        <v>0.46954861111111112</v>
      </c>
      <c r="N1168" s="51" t="s">
        <v>163</v>
      </c>
      <c r="O1168" s="51" t="s">
        <v>326</v>
      </c>
      <c r="Q1168" s="51" t="s">
        <v>524</v>
      </c>
      <c r="R1168" s="51" t="s">
        <v>132</v>
      </c>
    </row>
    <row r="1169" spans="1:18" x14ac:dyDescent="0.25">
      <c r="A1169" s="13"/>
      <c r="B1169" s="13"/>
      <c r="L1169" s="52">
        <v>45762</v>
      </c>
      <c r="M1169" s="53">
        <v>0.46954861111111112</v>
      </c>
      <c r="N1169" s="51" t="s">
        <v>164</v>
      </c>
      <c r="O1169" s="51" t="s">
        <v>326</v>
      </c>
      <c r="Q1169" s="51" t="s">
        <v>524</v>
      </c>
      <c r="R1169" s="51" t="s">
        <v>132</v>
      </c>
    </row>
    <row r="1170" spans="1:18" x14ac:dyDescent="0.25">
      <c r="A1170" s="13"/>
      <c r="B1170" s="13"/>
      <c r="L1170" s="52">
        <v>45762</v>
      </c>
      <c r="M1170" s="53">
        <v>0.46954861111111112</v>
      </c>
      <c r="N1170" s="51" t="s">
        <v>165</v>
      </c>
      <c r="O1170" s="51" t="s">
        <v>326</v>
      </c>
      <c r="Q1170" s="51" t="s">
        <v>524</v>
      </c>
      <c r="R1170" s="51" t="s">
        <v>132</v>
      </c>
    </row>
    <row r="1171" spans="1:18" x14ac:dyDescent="0.25">
      <c r="A1171" s="13"/>
      <c r="B1171" s="13"/>
      <c r="L1171" s="52">
        <v>45762</v>
      </c>
      <c r="M1171" s="53">
        <v>0.46954861111111112</v>
      </c>
      <c r="N1171" s="51" t="s">
        <v>166</v>
      </c>
      <c r="O1171" s="51" t="s">
        <v>326</v>
      </c>
      <c r="P1171" s="51" t="s">
        <v>1021</v>
      </c>
      <c r="Q1171" s="51" t="s">
        <v>80</v>
      </c>
      <c r="R1171" s="51" t="s">
        <v>78</v>
      </c>
    </row>
    <row r="1172" spans="1:18" x14ac:dyDescent="0.25">
      <c r="A1172" s="13"/>
      <c r="B1172" s="13"/>
      <c r="L1172" s="52">
        <v>45762</v>
      </c>
      <c r="M1172" s="53">
        <v>0.46954861111111112</v>
      </c>
      <c r="N1172" s="51" t="s">
        <v>167</v>
      </c>
      <c r="O1172" s="51" t="s">
        <v>326</v>
      </c>
      <c r="P1172" s="51" t="s">
        <v>1022</v>
      </c>
      <c r="Q1172" s="51" t="s">
        <v>80</v>
      </c>
      <c r="R1172" s="51" t="s">
        <v>78</v>
      </c>
    </row>
    <row r="1173" spans="1:18" x14ac:dyDescent="0.25">
      <c r="A1173" s="13"/>
      <c r="B1173" s="13"/>
      <c r="L1173" s="52">
        <v>45762</v>
      </c>
      <c r="M1173" s="53">
        <v>0.46954861111111112</v>
      </c>
      <c r="N1173" s="51" t="s">
        <v>168</v>
      </c>
      <c r="O1173" s="51" t="s">
        <v>326</v>
      </c>
      <c r="P1173" s="51" t="s">
        <v>1023</v>
      </c>
      <c r="Q1173" s="51" t="s">
        <v>80</v>
      </c>
      <c r="R1173" s="51" t="s">
        <v>78</v>
      </c>
    </row>
    <row r="1174" spans="1:18" x14ac:dyDescent="0.25">
      <c r="A1174" s="13"/>
      <c r="B1174" s="13"/>
      <c r="L1174" s="52">
        <v>45762</v>
      </c>
      <c r="M1174" s="53">
        <v>0.46954861111111112</v>
      </c>
      <c r="N1174" s="51" t="s">
        <v>169</v>
      </c>
      <c r="O1174" s="51" t="s">
        <v>326</v>
      </c>
      <c r="P1174" s="51" t="s">
        <v>1024</v>
      </c>
      <c r="Q1174" s="51" t="s">
        <v>80</v>
      </c>
      <c r="R1174" s="51" t="s">
        <v>78</v>
      </c>
    </row>
    <row r="1175" spans="1:18" x14ac:dyDescent="0.25">
      <c r="A1175" s="13"/>
      <c r="B1175" s="13"/>
      <c r="L1175" s="52">
        <v>45762</v>
      </c>
      <c r="M1175" s="53">
        <v>0.46954861111111112</v>
      </c>
      <c r="N1175" s="51" t="s">
        <v>170</v>
      </c>
      <c r="O1175" s="51" t="s">
        <v>326</v>
      </c>
      <c r="P1175" s="51" t="s">
        <v>1025</v>
      </c>
      <c r="Q1175" s="51" t="s">
        <v>80</v>
      </c>
      <c r="R1175" s="51" t="s">
        <v>78</v>
      </c>
    </row>
    <row r="1176" spans="1:18" x14ac:dyDescent="0.25">
      <c r="A1176" s="13"/>
      <c r="B1176" s="13"/>
      <c r="L1176" s="52">
        <v>45762</v>
      </c>
      <c r="M1176" s="53">
        <v>0.46954861111111112</v>
      </c>
      <c r="N1176" s="51" t="s">
        <v>171</v>
      </c>
      <c r="O1176" s="51" t="s">
        <v>326</v>
      </c>
      <c r="P1176" s="51" t="s">
        <v>1026</v>
      </c>
      <c r="Q1176" s="51" t="s">
        <v>80</v>
      </c>
      <c r="R1176" s="51" t="s">
        <v>78</v>
      </c>
    </row>
    <row r="1177" spans="1:18" x14ac:dyDescent="0.25">
      <c r="A1177" s="13"/>
      <c r="B1177" s="13"/>
      <c r="L1177" s="52">
        <v>45762</v>
      </c>
      <c r="M1177" s="53">
        <v>0.46954861111111112</v>
      </c>
      <c r="N1177" s="51" t="s">
        <v>172</v>
      </c>
      <c r="O1177" s="51" t="s">
        <v>326</v>
      </c>
      <c r="Q1177" s="51" t="s">
        <v>524</v>
      </c>
      <c r="R1177" s="51" t="s">
        <v>132</v>
      </c>
    </row>
    <row r="1178" spans="1:18" x14ac:dyDescent="0.25">
      <c r="A1178" s="13"/>
      <c r="B1178" s="13"/>
      <c r="L1178" s="52">
        <v>45762</v>
      </c>
      <c r="M1178" s="53">
        <v>0.46954861111111112</v>
      </c>
      <c r="N1178" s="51" t="s">
        <v>173</v>
      </c>
      <c r="O1178" s="51" t="s">
        <v>326</v>
      </c>
      <c r="Q1178" s="51" t="s">
        <v>524</v>
      </c>
      <c r="R1178" s="51" t="s">
        <v>132</v>
      </c>
    </row>
    <row r="1179" spans="1:18" x14ac:dyDescent="0.25">
      <c r="A1179" s="13"/>
      <c r="B1179" s="13"/>
      <c r="L1179" s="52">
        <v>45762</v>
      </c>
      <c r="M1179" s="53">
        <v>0.46954861111111112</v>
      </c>
      <c r="N1179" s="51" t="s">
        <v>174</v>
      </c>
      <c r="O1179" s="51" t="s">
        <v>326</v>
      </c>
      <c r="Q1179" s="51" t="s">
        <v>524</v>
      </c>
      <c r="R1179" s="51" t="s">
        <v>132</v>
      </c>
    </row>
    <row r="1180" spans="1:18" x14ac:dyDescent="0.25">
      <c r="A1180" s="13"/>
      <c r="B1180" s="13"/>
      <c r="L1180" s="52">
        <v>45762</v>
      </c>
      <c r="M1180" s="53">
        <v>0.46954861111111112</v>
      </c>
      <c r="N1180" s="51" t="s">
        <v>175</v>
      </c>
      <c r="O1180" s="51" t="s">
        <v>326</v>
      </c>
      <c r="Q1180" s="51" t="s">
        <v>524</v>
      </c>
      <c r="R1180" s="51" t="s">
        <v>132</v>
      </c>
    </row>
    <row r="1181" spans="1:18" x14ac:dyDescent="0.25">
      <c r="A1181" s="13"/>
      <c r="B1181" s="13"/>
      <c r="L1181" s="52">
        <v>45762</v>
      </c>
      <c r="M1181" s="53">
        <v>0.46954861111111112</v>
      </c>
      <c r="N1181" s="51" t="s">
        <v>176</v>
      </c>
      <c r="O1181" s="51" t="s">
        <v>326</v>
      </c>
      <c r="Q1181" s="51" t="s">
        <v>524</v>
      </c>
      <c r="R1181" s="51" t="s">
        <v>132</v>
      </c>
    </row>
    <row r="1182" spans="1:18" x14ac:dyDescent="0.25">
      <c r="A1182" s="13"/>
      <c r="B1182" s="13"/>
      <c r="L1182" s="52">
        <v>45762</v>
      </c>
      <c r="M1182" s="53">
        <v>0.46954861111111112</v>
      </c>
      <c r="N1182" s="51" t="s">
        <v>177</v>
      </c>
      <c r="O1182" s="51" t="s">
        <v>326</v>
      </c>
      <c r="Q1182" s="51" t="s">
        <v>524</v>
      </c>
      <c r="R1182" s="51" t="s">
        <v>132</v>
      </c>
    </row>
    <row r="1183" spans="1:18" x14ac:dyDescent="0.25">
      <c r="A1183" s="13"/>
      <c r="B1183" s="13"/>
      <c r="L1183" s="52">
        <v>45762</v>
      </c>
      <c r="M1183" s="53">
        <v>0.46954861111111112</v>
      </c>
      <c r="N1183" s="51" t="s">
        <v>177</v>
      </c>
      <c r="O1183" s="51" t="s">
        <v>326</v>
      </c>
      <c r="Q1183" s="51" t="s">
        <v>524</v>
      </c>
      <c r="R1183" s="51" t="s">
        <v>132</v>
      </c>
    </row>
    <row r="1184" spans="1:18" x14ac:dyDescent="0.25">
      <c r="A1184" s="13"/>
      <c r="B1184" s="13"/>
      <c r="L1184" s="52">
        <v>45762</v>
      </c>
      <c r="M1184" s="53">
        <v>0.46954861111111112</v>
      </c>
      <c r="N1184" s="51" t="s">
        <v>178</v>
      </c>
      <c r="O1184" s="51" t="s">
        <v>326</v>
      </c>
      <c r="Q1184" s="51" t="s">
        <v>524</v>
      </c>
      <c r="R1184" s="51" t="s">
        <v>132</v>
      </c>
    </row>
    <row r="1185" spans="1:18" x14ac:dyDescent="0.25">
      <c r="A1185" s="13"/>
      <c r="B1185" s="13"/>
      <c r="L1185" s="52">
        <v>45762</v>
      </c>
      <c r="M1185" s="53">
        <v>0.46954861111111112</v>
      </c>
      <c r="N1185" s="51" t="s">
        <v>178</v>
      </c>
      <c r="O1185" s="51" t="s">
        <v>326</v>
      </c>
      <c r="Q1185" s="51" t="s">
        <v>524</v>
      </c>
      <c r="R1185" s="51" t="s">
        <v>132</v>
      </c>
    </row>
    <row r="1186" spans="1:18" x14ac:dyDescent="0.25">
      <c r="A1186" s="13"/>
      <c r="B1186" s="13"/>
      <c r="L1186" s="52">
        <v>45762</v>
      </c>
      <c r="M1186" s="53">
        <v>0.46954861111111112</v>
      </c>
      <c r="N1186" s="51" t="s">
        <v>179</v>
      </c>
      <c r="O1186" s="51" t="s">
        <v>326</v>
      </c>
      <c r="Q1186" s="51" t="s">
        <v>524</v>
      </c>
      <c r="R1186" s="51" t="s">
        <v>132</v>
      </c>
    </row>
    <row r="1187" spans="1:18" x14ac:dyDescent="0.25">
      <c r="A1187" s="13"/>
      <c r="B1187" s="13"/>
      <c r="L1187" s="52">
        <v>45762</v>
      </c>
      <c r="M1187" s="53">
        <v>0.46954861111111112</v>
      </c>
      <c r="N1187" s="51" t="s">
        <v>180</v>
      </c>
      <c r="O1187" s="51" t="s">
        <v>326</v>
      </c>
      <c r="Q1187" s="51" t="s">
        <v>524</v>
      </c>
      <c r="R1187" s="51" t="s">
        <v>132</v>
      </c>
    </row>
    <row r="1188" spans="1:18" x14ac:dyDescent="0.25">
      <c r="A1188" s="13"/>
      <c r="B1188" s="13"/>
      <c r="L1188" s="52">
        <v>45762</v>
      </c>
      <c r="M1188" s="53">
        <v>0.46954861111111112</v>
      </c>
      <c r="N1188" s="51" t="s">
        <v>181</v>
      </c>
      <c r="O1188" s="51" t="s">
        <v>326</v>
      </c>
      <c r="P1188" s="51" t="s">
        <v>1027</v>
      </c>
      <c r="Q1188" s="51" t="s">
        <v>80</v>
      </c>
      <c r="R1188" s="51" t="s">
        <v>78</v>
      </c>
    </row>
    <row r="1189" spans="1:18" x14ac:dyDescent="0.25">
      <c r="A1189" s="13"/>
      <c r="B1189" s="13"/>
      <c r="L1189" s="52">
        <v>45762</v>
      </c>
      <c r="M1189" s="53">
        <v>0.46954861111111112</v>
      </c>
      <c r="N1189" s="51" t="s">
        <v>182</v>
      </c>
      <c r="O1189" s="51" t="s">
        <v>326</v>
      </c>
      <c r="Q1189" s="51" t="s">
        <v>524</v>
      </c>
      <c r="R1189" s="51" t="s">
        <v>132</v>
      </c>
    </row>
    <row r="1190" spans="1:18" x14ac:dyDescent="0.25">
      <c r="A1190" s="13"/>
      <c r="B1190" s="13"/>
      <c r="L1190" s="52">
        <v>45762</v>
      </c>
      <c r="M1190" s="53">
        <v>0.46954861111111112</v>
      </c>
      <c r="N1190" s="51" t="s">
        <v>183</v>
      </c>
      <c r="O1190" s="51" t="s">
        <v>326</v>
      </c>
      <c r="Q1190" s="51" t="s">
        <v>524</v>
      </c>
      <c r="R1190" s="51" t="s">
        <v>132</v>
      </c>
    </row>
    <row r="1191" spans="1:18" x14ac:dyDescent="0.25">
      <c r="A1191" s="13"/>
      <c r="B1191" s="13"/>
      <c r="L1191" s="52">
        <v>45762</v>
      </c>
      <c r="M1191" s="53">
        <v>0.46954861111111112</v>
      </c>
      <c r="N1191" s="51" t="s">
        <v>184</v>
      </c>
      <c r="O1191" s="51" t="s">
        <v>326</v>
      </c>
      <c r="P1191" s="51" t="s">
        <v>1028</v>
      </c>
      <c r="Q1191" s="51" t="s">
        <v>80</v>
      </c>
      <c r="R1191" s="51" t="s">
        <v>78</v>
      </c>
    </row>
    <row r="1192" spans="1:18" x14ac:dyDescent="0.25">
      <c r="A1192" s="13"/>
      <c r="B1192" s="13"/>
      <c r="L1192" s="52">
        <v>45762</v>
      </c>
      <c r="M1192" s="53">
        <v>0.46954861111111112</v>
      </c>
      <c r="N1192" s="51" t="s">
        <v>185</v>
      </c>
      <c r="O1192" s="51" t="s">
        <v>326</v>
      </c>
      <c r="P1192" s="51" t="s">
        <v>1029</v>
      </c>
      <c r="Q1192" s="51" t="s">
        <v>80</v>
      </c>
      <c r="R1192" s="51" t="s">
        <v>78</v>
      </c>
    </row>
    <row r="1193" spans="1:18" x14ac:dyDescent="0.25">
      <c r="A1193" s="13"/>
      <c r="B1193" s="13"/>
      <c r="L1193" s="52">
        <v>45762</v>
      </c>
      <c r="M1193" s="53">
        <v>0.46954861111111112</v>
      </c>
      <c r="N1193" s="51" t="s">
        <v>186</v>
      </c>
      <c r="O1193" s="51" t="s">
        <v>326</v>
      </c>
      <c r="P1193" s="51" t="s">
        <v>1030</v>
      </c>
      <c r="Q1193" s="51" t="s">
        <v>80</v>
      </c>
      <c r="R1193" s="51" t="s">
        <v>78</v>
      </c>
    </row>
    <row r="1194" spans="1:18" x14ac:dyDescent="0.25">
      <c r="A1194" s="13"/>
      <c r="B1194" s="13"/>
      <c r="L1194" s="52">
        <v>45762</v>
      </c>
      <c r="M1194" s="53">
        <v>0.46954861111111112</v>
      </c>
      <c r="N1194" s="51" t="s">
        <v>187</v>
      </c>
      <c r="O1194" s="51" t="s">
        <v>326</v>
      </c>
      <c r="P1194" s="51" t="s">
        <v>1031</v>
      </c>
      <c r="Q1194" s="51" t="s">
        <v>80</v>
      </c>
      <c r="R1194" s="51" t="s">
        <v>78</v>
      </c>
    </row>
    <row r="1195" spans="1:18" x14ac:dyDescent="0.25">
      <c r="A1195" s="13"/>
      <c r="B1195" s="13"/>
      <c r="L1195" s="52">
        <v>45762</v>
      </c>
      <c r="M1195" s="53">
        <v>0.46954861111111112</v>
      </c>
      <c r="N1195" s="51" t="s">
        <v>188</v>
      </c>
      <c r="O1195" s="51" t="s">
        <v>326</v>
      </c>
      <c r="P1195" s="51" t="s">
        <v>1032</v>
      </c>
      <c r="Q1195" s="51" t="s">
        <v>80</v>
      </c>
      <c r="R1195" s="51" t="s">
        <v>78</v>
      </c>
    </row>
    <row r="1196" spans="1:18" x14ac:dyDescent="0.25">
      <c r="A1196" s="13"/>
      <c r="B1196" s="13"/>
      <c r="L1196" s="52">
        <v>45762</v>
      </c>
      <c r="M1196" s="53">
        <v>0.46954861111111112</v>
      </c>
      <c r="N1196" s="51" t="s">
        <v>189</v>
      </c>
      <c r="O1196" s="51" t="s">
        <v>326</v>
      </c>
      <c r="P1196" s="51" t="s">
        <v>1033</v>
      </c>
      <c r="Q1196" s="51" t="s">
        <v>80</v>
      </c>
      <c r="R1196" s="51" t="s">
        <v>78</v>
      </c>
    </row>
    <row r="1197" spans="1:18" x14ac:dyDescent="0.25">
      <c r="A1197" s="13"/>
      <c r="B1197" s="13"/>
      <c r="L1197" s="52">
        <v>45762</v>
      </c>
      <c r="M1197" s="53">
        <v>0.46954861111111112</v>
      </c>
      <c r="N1197" s="51" t="s">
        <v>190</v>
      </c>
      <c r="O1197" s="51" t="s">
        <v>326</v>
      </c>
      <c r="P1197" s="51" t="s">
        <v>1034</v>
      </c>
      <c r="Q1197" s="51" t="s">
        <v>80</v>
      </c>
      <c r="R1197" s="51" t="s">
        <v>78</v>
      </c>
    </row>
    <row r="1198" spans="1:18" x14ac:dyDescent="0.25">
      <c r="A1198" s="13"/>
      <c r="B1198" s="13"/>
      <c r="L1198" s="52">
        <v>45762</v>
      </c>
      <c r="M1198" s="53">
        <v>0.46954861111111112</v>
      </c>
      <c r="N1198" s="51" t="s">
        <v>191</v>
      </c>
      <c r="O1198" s="51" t="s">
        <v>326</v>
      </c>
      <c r="P1198" s="51" t="s">
        <v>1035</v>
      </c>
      <c r="Q1198" s="51" t="s">
        <v>80</v>
      </c>
      <c r="R1198" s="51" t="s">
        <v>78</v>
      </c>
    </row>
    <row r="1199" spans="1:18" x14ac:dyDescent="0.25">
      <c r="A1199" s="13"/>
      <c r="B1199" s="13"/>
      <c r="L1199" s="52">
        <v>45762</v>
      </c>
      <c r="M1199" s="53">
        <v>0.46954861111111112</v>
      </c>
      <c r="N1199" s="51" t="s">
        <v>192</v>
      </c>
      <c r="O1199" s="51" t="s">
        <v>326</v>
      </c>
      <c r="Q1199" s="51" t="s">
        <v>524</v>
      </c>
      <c r="R1199" s="51" t="s">
        <v>132</v>
      </c>
    </row>
    <row r="1200" spans="1:18" x14ac:dyDescent="0.25">
      <c r="A1200" s="13"/>
      <c r="B1200" s="13"/>
      <c r="L1200" s="52">
        <v>45762</v>
      </c>
      <c r="M1200" s="53">
        <v>0.46954861111111112</v>
      </c>
      <c r="N1200" s="51" t="s">
        <v>193</v>
      </c>
      <c r="O1200" s="51" t="s">
        <v>326</v>
      </c>
      <c r="P1200" s="51" t="s">
        <v>1036</v>
      </c>
      <c r="Q1200" s="51" t="s">
        <v>80</v>
      </c>
      <c r="R1200" s="51" t="s">
        <v>78</v>
      </c>
    </row>
    <row r="1201" spans="1:18" x14ac:dyDescent="0.25">
      <c r="A1201" s="13"/>
      <c r="B1201" s="13"/>
      <c r="L1201" s="52">
        <v>45762</v>
      </c>
      <c r="M1201" s="53">
        <v>0.46954861111111112</v>
      </c>
      <c r="N1201" s="51" t="s">
        <v>194</v>
      </c>
      <c r="O1201" s="51" t="s">
        <v>326</v>
      </c>
      <c r="P1201" s="51" t="s">
        <v>1037</v>
      </c>
      <c r="Q1201" s="51" t="s">
        <v>80</v>
      </c>
      <c r="R1201" s="51" t="s">
        <v>78</v>
      </c>
    </row>
    <row r="1202" spans="1:18" x14ac:dyDescent="0.25">
      <c r="A1202" s="13"/>
      <c r="B1202" s="13"/>
      <c r="L1202" s="52">
        <v>45762</v>
      </c>
      <c r="M1202" s="53">
        <v>0.46954861111111112</v>
      </c>
      <c r="N1202" s="51" t="s">
        <v>195</v>
      </c>
      <c r="O1202" s="51" t="s">
        <v>326</v>
      </c>
      <c r="Q1202" s="51" t="s">
        <v>524</v>
      </c>
      <c r="R1202" s="51" t="s">
        <v>132</v>
      </c>
    </row>
    <row r="1203" spans="1:18" x14ac:dyDescent="0.25">
      <c r="A1203" s="13"/>
      <c r="B1203" s="13"/>
      <c r="L1203" s="52">
        <v>45762</v>
      </c>
      <c r="M1203" s="53">
        <v>0.46954861111111112</v>
      </c>
      <c r="N1203" s="51" t="s">
        <v>196</v>
      </c>
      <c r="O1203" s="51" t="s">
        <v>326</v>
      </c>
      <c r="P1203" s="51" t="s">
        <v>1038</v>
      </c>
      <c r="Q1203" s="51" t="s">
        <v>80</v>
      </c>
      <c r="R1203" s="51" t="s">
        <v>78</v>
      </c>
    </row>
    <row r="1204" spans="1:18" x14ac:dyDescent="0.25">
      <c r="A1204" s="13"/>
      <c r="B1204" s="13"/>
      <c r="L1204" s="52">
        <v>45762</v>
      </c>
      <c r="M1204" s="53">
        <v>0.46954861111111112</v>
      </c>
      <c r="N1204" s="51" t="s">
        <v>197</v>
      </c>
      <c r="O1204" s="51" t="s">
        <v>326</v>
      </c>
      <c r="P1204" s="51" t="s">
        <v>1039</v>
      </c>
      <c r="Q1204" s="51" t="s">
        <v>80</v>
      </c>
      <c r="R1204" s="51" t="s">
        <v>78</v>
      </c>
    </row>
    <row r="1205" spans="1:18" x14ac:dyDescent="0.25">
      <c r="A1205" s="13"/>
      <c r="B1205" s="13"/>
      <c r="L1205" s="52">
        <v>45762</v>
      </c>
      <c r="M1205" s="53">
        <v>0.46954861111111112</v>
      </c>
      <c r="N1205" s="51" t="s">
        <v>198</v>
      </c>
      <c r="O1205" s="51" t="s">
        <v>326</v>
      </c>
      <c r="P1205" s="51" t="s">
        <v>123</v>
      </c>
      <c r="Q1205" s="51" t="s">
        <v>80</v>
      </c>
      <c r="R1205" s="51" t="s">
        <v>78</v>
      </c>
    </row>
    <row r="1206" spans="1:18" x14ac:dyDescent="0.25">
      <c r="A1206" s="13"/>
      <c r="B1206" s="13"/>
      <c r="L1206" s="52">
        <v>45762</v>
      </c>
      <c r="M1206" s="53">
        <v>0.46954861111111112</v>
      </c>
      <c r="N1206" s="51" t="s">
        <v>199</v>
      </c>
      <c r="O1206" s="51" t="s">
        <v>326</v>
      </c>
      <c r="P1206" s="51" t="s">
        <v>1040</v>
      </c>
      <c r="Q1206" s="51" t="s">
        <v>80</v>
      </c>
      <c r="R1206" s="51" t="s">
        <v>78</v>
      </c>
    </row>
    <row r="1207" spans="1:18" x14ac:dyDescent="0.25">
      <c r="A1207" s="13"/>
      <c r="B1207" s="13"/>
      <c r="L1207" s="52">
        <v>45762</v>
      </c>
      <c r="M1207" s="53">
        <v>0.46954861111111112</v>
      </c>
      <c r="N1207" s="51" t="s">
        <v>200</v>
      </c>
      <c r="O1207" s="51" t="s">
        <v>326</v>
      </c>
      <c r="P1207" s="51" t="s">
        <v>1041</v>
      </c>
      <c r="Q1207" s="51" t="s">
        <v>80</v>
      </c>
      <c r="R1207" s="51" t="s">
        <v>78</v>
      </c>
    </row>
    <row r="1208" spans="1:18" x14ac:dyDescent="0.25">
      <c r="A1208" s="13"/>
      <c r="B1208" s="13"/>
      <c r="L1208" s="52">
        <v>45762</v>
      </c>
      <c r="M1208" s="53">
        <v>0.46954861111111112</v>
      </c>
      <c r="N1208" s="51" t="s">
        <v>201</v>
      </c>
      <c r="O1208" s="51" t="s">
        <v>326</v>
      </c>
      <c r="P1208" s="51" t="s">
        <v>1042</v>
      </c>
      <c r="Q1208" s="51" t="s">
        <v>80</v>
      </c>
      <c r="R1208" s="51" t="s">
        <v>78</v>
      </c>
    </row>
    <row r="1209" spans="1:18" x14ac:dyDescent="0.25">
      <c r="A1209" s="13"/>
      <c r="B1209" s="13"/>
      <c r="L1209" s="52">
        <v>45762</v>
      </c>
      <c r="M1209" s="53">
        <v>0.46954861111111112</v>
      </c>
      <c r="N1209" s="51" t="s">
        <v>202</v>
      </c>
      <c r="O1209" s="51" t="s">
        <v>326</v>
      </c>
      <c r="P1209" s="51" t="s">
        <v>1043</v>
      </c>
      <c r="Q1209" s="51" t="s">
        <v>80</v>
      </c>
      <c r="R1209" s="51" t="s">
        <v>78</v>
      </c>
    </row>
    <row r="1210" spans="1:18" x14ac:dyDescent="0.25">
      <c r="A1210" s="13"/>
      <c r="B1210" s="13"/>
      <c r="L1210" s="52">
        <v>45762</v>
      </c>
      <c r="M1210" s="53">
        <v>0.46954861111111112</v>
      </c>
      <c r="N1210" s="51" t="s">
        <v>203</v>
      </c>
      <c r="O1210" s="51" t="s">
        <v>326</v>
      </c>
      <c r="P1210" s="51" t="s">
        <v>1044</v>
      </c>
      <c r="Q1210" s="51" t="s">
        <v>80</v>
      </c>
      <c r="R1210" s="51" t="s">
        <v>78</v>
      </c>
    </row>
    <row r="1211" spans="1:18" x14ac:dyDescent="0.25">
      <c r="A1211" s="13"/>
      <c r="B1211" s="13"/>
      <c r="L1211" s="52">
        <v>45762</v>
      </c>
      <c r="M1211" s="53">
        <v>0.46954861111111112</v>
      </c>
      <c r="N1211" s="51" t="s">
        <v>204</v>
      </c>
      <c r="O1211" s="51" t="s">
        <v>326</v>
      </c>
      <c r="P1211" s="51" t="s">
        <v>1045</v>
      </c>
      <c r="Q1211" s="51" t="s">
        <v>80</v>
      </c>
      <c r="R1211" s="51" t="s">
        <v>78</v>
      </c>
    </row>
    <row r="1212" spans="1:18" x14ac:dyDescent="0.25">
      <c r="A1212" s="13"/>
      <c r="B1212" s="13"/>
      <c r="L1212" s="52">
        <v>45762</v>
      </c>
      <c r="M1212" s="53">
        <v>0.46954861111111112</v>
      </c>
      <c r="N1212" s="51" t="s">
        <v>205</v>
      </c>
      <c r="O1212" s="51" t="s">
        <v>326</v>
      </c>
      <c r="P1212" s="51" t="s">
        <v>1046</v>
      </c>
      <c r="Q1212" s="51" t="s">
        <v>80</v>
      </c>
      <c r="R1212" s="51" t="s">
        <v>78</v>
      </c>
    </row>
    <row r="1213" spans="1:18" x14ac:dyDescent="0.25">
      <c r="A1213" s="13"/>
      <c r="B1213" s="13"/>
      <c r="L1213" s="52">
        <v>45762</v>
      </c>
      <c r="M1213" s="53">
        <v>0.46954861111111112</v>
      </c>
      <c r="N1213" s="51" t="s">
        <v>206</v>
      </c>
      <c r="O1213" s="51" t="s">
        <v>326</v>
      </c>
      <c r="P1213" s="51" t="s">
        <v>1047</v>
      </c>
      <c r="Q1213" s="51" t="s">
        <v>80</v>
      </c>
      <c r="R1213" s="51" t="s">
        <v>78</v>
      </c>
    </row>
    <row r="1214" spans="1:18" x14ac:dyDescent="0.25">
      <c r="A1214" s="13"/>
      <c r="B1214" s="13"/>
      <c r="L1214" s="52">
        <v>45762</v>
      </c>
      <c r="M1214" s="53">
        <v>0.46954861111111112</v>
      </c>
      <c r="N1214" s="51" t="s">
        <v>207</v>
      </c>
      <c r="O1214" s="51" t="s">
        <v>326</v>
      </c>
      <c r="P1214" s="51" t="s">
        <v>1048</v>
      </c>
      <c r="Q1214" s="51" t="s">
        <v>80</v>
      </c>
      <c r="R1214" s="51" t="s">
        <v>78</v>
      </c>
    </row>
    <row r="1215" spans="1:18" x14ac:dyDescent="0.25">
      <c r="A1215" s="13"/>
      <c r="B1215" s="13"/>
      <c r="L1215" s="52">
        <v>45762</v>
      </c>
      <c r="M1215" s="53">
        <v>0.46954861111111112</v>
      </c>
      <c r="N1215" s="51" t="s">
        <v>208</v>
      </c>
      <c r="O1215" s="51" t="s">
        <v>326</v>
      </c>
      <c r="P1215" s="51" t="s">
        <v>1049</v>
      </c>
      <c r="Q1215" s="51" t="s">
        <v>80</v>
      </c>
      <c r="R1215" s="51" t="s">
        <v>78</v>
      </c>
    </row>
    <row r="1216" spans="1:18" x14ac:dyDescent="0.25">
      <c r="A1216" s="13"/>
      <c r="B1216" s="13"/>
      <c r="L1216" s="52">
        <v>45762</v>
      </c>
      <c r="M1216" s="53">
        <v>0.46954861111111112</v>
      </c>
      <c r="N1216" s="51" t="s">
        <v>209</v>
      </c>
      <c r="O1216" s="51" t="s">
        <v>326</v>
      </c>
      <c r="P1216" s="51" t="s">
        <v>1050</v>
      </c>
      <c r="Q1216" s="51" t="s">
        <v>80</v>
      </c>
      <c r="R1216" s="51" t="s">
        <v>78</v>
      </c>
    </row>
    <row r="1217" spans="1:18" x14ac:dyDescent="0.25">
      <c r="A1217" s="13"/>
      <c r="B1217" s="13"/>
      <c r="L1217" s="52">
        <v>45762</v>
      </c>
      <c r="M1217" s="53">
        <v>0.46954861111111112</v>
      </c>
      <c r="N1217" s="51" t="s">
        <v>210</v>
      </c>
      <c r="O1217" s="51" t="s">
        <v>326</v>
      </c>
      <c r="P1217" s="51" t="s">
        <v>1051</v>
      </c>
      <c r="Q1217" s="51" t="s">
        <v>80</v>
      </c>
      <c r="R1217" s="51" t="s">
        <v>78</v>
      </c>
    </row>
    <row r="1218" spans="1:18" x14ac:dyDescent="0.25">
      <c r="A1218" s="13"/>
      <c r="B1218" s="13"/>
      <c r="L1218" s="52">
        <v>45762</v>
      </c>
      <c r="M1218" s="53">
        <v>0.46954861111111112</v>
      </c>
      <c r="N1218" s="51" t="s">
        <v>211</v>
      </c>
      <c r="O1218" s="51" t="s">
        <v>326</v>
      </c>
      <c r="P1218" s="51" t="s">
        <v>118</v>
      </c>
      <c r="Q1218" s="51" t="s">
        <v>80</v>
      </c>
      <c r="R1218" s="51" t="s">
        <v>78</v>
      </c>
    </row>
    <row r="1219" spans="1:18" x14ac:dyDescent="0.25">
      <c r="A1219" s="13"/>
      <c r="B1219" s="13"/>
      <c r="L1219" s="52">
        <v>45762</v>
      </c>
      <c r="M1219" s="53">
        <v>0.46954861111111112</v>
      </c>
      <c r="N1219" s="51" t="s">
        <v>212</v>
      </c>
      <c r="O1219" s="51" t="s">
        <v>326</v>
      </c>
      <c r="P1219" s="51" t="s">
        <v>119</v>
      </c>
      <c r="Q1219" s="51" t="s">
        <v>80</v>
      </c>
      <c r="R1219" s="51" t="s">
        <v>78</v>
      </c>
    </row>
    <row r="1220" spans="1:18" x14ac:dyDescent="0.25">
      <c r="A1220" s="13"/>
      <c r="B1220" s="13"/>
      <c r="L1220" s="52">
        <v>45762</v>
      </c>
      <c r="M1220" s="53">
        <v>0.46954861111111112</v>
      </c>
      <c r="N1220" s="51" t="s">
        <v>213</v>
      </c>
      <c r="O1220" s="51" t="s">
        <v>326</v>
      </c>
      <c r="P1220" s="51" t="s">
        <v>120</v>
      </c>
      <c r="Q1220" s="51" t="s">
        <v>80</v>
      </c>
      <c r="R1220" s="51" t="s">
        <v>78</v>
      </c>
    </row>
    <row r="1221" spans="1:18" x14ac:dyDescent="0.25">
      <c r="A1221" s="13"/>
      <c r="B1221" s="13"/>
      <c r="L1221" s="52">
        <v>45762</v>
      </c>
      <c r="M1221" s="53">
        <v>0.46954861111111112</v>
      </c>
      <c r="N1221" s="51" t="s">
        <v>214</v>
      </c>
      <c r="O1221" s="51" t="s">
        <v>326</v>
      </c>
      <c r="P1221" s="51" t="s">
        <v>121</v>
      </c>
      <c r="Q1221" s="51" t="s">
        <v>80</v>
      </c>
      <c r="R1221" s="51" t="s">
        <v>78</v>
      </c>
    </row>
    <row r="1222" spans="1:18" x14ac:dyDescent="0.25">
      <c r="A1222" s="13"/>
      <c r="B1222" s="13"/>
      <c r="L1222" s="52">
        <v>45762</v>
      </c>
      <c r="M1222" s="53">
        <v>0.46954861111111112</v>
      </c>
      <c r="N1222" s="51" t="s">
        <v>215</v>
      </c>
      <c r="O1222" s="51" t="s">
        <v>326</v>
      </c>
      <c r="P1222" s="51" t="s">
        <v>122</v>
      </c>
      <c r="Q1222" s="51" t="s">
        <v>80</v>
      </c>
      <c r="R1222" s="51" t="s">
        <v>78</v>
      </c>
    </row>
    <row r="1223" spans="1:18" x14ac:dyDescent="0.25">
      <c r="A1223" s="13"/>
      <c r="B1223" s="13"/>
      <c r="L1223" s="52">
        <v>45762</v>
      </c>
      <c r="M1223" s="53">
        <v>0.46954861111111112</v>
      </c>
      <c r="N1223" s="51" t="s">
        <v>216</v>
      </c>
      <c r="O1223" s="51" t="s">
        <v>326</v>
      </c>
      <c r="P1223" s="51" t="s">
        <v>1052</v>
      </c>
      <c r="Q1223" s="51" t="s">
        <v>80</v>
      </c>
      <c r="R1223" s="51" t="s">
        <v>78</v>
      </c>
    </row>
    <row r="1224" spans="1:18" x14ac:dyDescent="0.25">
      <c r="A1224" s="13"/>
      <c r="B1224" s="13"/>
      <c r="L1224" s="52">
        <v>45762</v>
      </c>
      <c r="M1224" s="53">
        <v>0.46954861111111112</v>
      </c>
      <c r="N1224" s="51" t="s">
        <v>217</v>
      </c>
      <c r="O1224" s="51" t="s">
        <v>326</v>
      </c>
      <c r="P1224" s="51" t="s">
        <v>1053</v>
      </c>
      <c r="Q1224" s="51" t="s">
        <v>80</v>
      </c>
      <c r="R1224" s="51" t="s">
        <v>78</v>
      </c>
    </row>
    <row r="1225" spans="1:18" x14ac:dyDescent="0.25">
      <c r="A1225" s="13"/>
      <c r="B1225" s="13"/>
      <c r="L1225" s="52">
        <v>45762</v>
      </c>
      <c r="M1225" s="53">
        <v>0.46954861111111112</v>
      </c>
      <c r="N1225" s="51" t="s">
        <v>218</v>
      </c>
      <c r="O1225" s="51" t="s">
        <v>326</v>
      </c>
      <c r="P1225" s="51" t="s">
        <v>1054</v>
      </c>
      <c r="Q1225" s="51" t="s">
        <v>80</v>
      </c>
      <c r="R1225" s="51" t="s">
        <v>78</v>
      </c>
    </row>
    <row r="1226" spans="1:18" x14ac:dyDescent="0.25">
      <c r="A1226" s="13"/>
      <c r="B1226" s="13"/>
      <c r="L1226" s="52">
        <v>45762</v>
      </c>
      <c r="M1226" s="53">
        <v>0.46954861111111112</v>
      </c>
      <c r="N1226" s="51" t="s">
        <v>219</v>
      </c>
      <c r="O1226" s="51" t="s">
        <v>326</v>
      </c>
      <c r="P1226" s="51" t="s">
        <v>1055</v>
      </c>
      <c r="Q1226" s="51" t="s">
        <v>80</v>
      </c>
      <c r="R1226" s="51" t="s">
        <v>78</v>
      </c>
    </row>
    <row r="1227" spans="1:18" x14ac:dyDescent="0.25">
      <c r="A1227" s="13"/>
      <c r="B1227" s="13"/>
      <c r="L1227" s="52">
        <v>45762</v>
      </c>
      <c r="M1227" s="53">
        <v>0.46954861111111112</v>
      </c>
      <c r="N1227" s="51" t="s">
        <v>220</v>
      </c>
      <c r="O1227" s="51" t="s">
        <v>326</v>
      </c>
      <c r="P1227" s="51" t="s">
        <v>1056</v>
      </c>
      <c r="Q1227" s="51" t="s">
        <v>80</v>
      </c>
      <c r="R1227" s="51" t="s">
        <v>78</v>
      </c>
    </row>
    <row r="1228" spans="1:18" x14ac:dyDescent="0.25">
      <c r="A1228" s="13"/>
      <c r="B1228" s="13"/>
      <c r="L1228" s="52">
        <v>45762</v>
      </c>
      <c r="M1228" s="53">
        <v>0.46954861111111112</v>
      </c>
      <c r="N1228" s="51" t="s">
        <v>221</v>
      </c>
      <c r="O1228" s="51" t="s">
        <v>326</v>
      </c>
      <c r="P1228" s="51" t="s">
        <v>1057</v>
      </c>
      <c r="Q1228" s="51" t="s">
        <v>80</v>
      </c>
      <c r="R1228" s="51" t="s">
        <v>78</v>
      </c>
    </row>
    <row r="1229" spans="1:18" x14ac:dyDescent="0.25">
      <c r="A1229" s="13"/>
      <c r="B1229" s="13"/>
      <c r="L1229" s="52">
        <v>45762</v>
      </c>
      <c r="M1229" s="53">
        <v>0.46954861111111112</v>
      </c>
      <c r="N1229" s="51" t="s">
        <v>222</v>
      </c>
      <c r="O1229" s="51" t="s">
        <v>326</v>
      </c>
      <c r="P1229" s="51" t="s">
        <v>1058</v>
      </c>
      <c r="Q1229" s="51" t="s">
        <v>80</v>
      </c>
      <c r="R1229" s="51" t="s">
        <v>78</v>
      </c>
    </row>
    <row r="1230" spans="1:18" x14ac:dyDescent="0.25">
      <c r="A1230" s="13"/>
      <c r="B1230" s="13"/>
      <c r="L1230" s="52">
        <v>45762</v>
      </c>
      <c r="M1230" s="53">
        <v>0.46954861111111112</v>
      </c>
      <c r="N1230" s="51" t="s">
        <v>223</v>
      </c>
      <c r="O1230" s="51" t="s">
        <v>326</v>
      </c>
      <c r="P1230" s="51" t="s">
        <v>1059</v>
      </c>
      <c r="Q1230" s="51" t="s">
        <v>80</v>
      </c>
      <c r="R1230" s="51" t="s">
        <v>78</v>
      </c>
    </row>
    <row r="1231" spans="1:18" x14ac:dyDescent="0.25">
      <c r="A1231" s="13"/>
      <c r="B1231" s="13"/>
      <c r="L1231" s="52">
        <v>45762</v>
      </c>
      <c r="M1231" s="53">
        <v>0.46954861111111112</v>
      </c>
      <c r="N1231" s="51" t="s">
        <v>224</v>
      </c>
      <c r="O1231" s="51" t="s">
        <v>326</v>
      </c>
      <c r="P1231" s="51" t="s">
        <v>1060</v>
      </c>
      <c r="Q1231" s="51" t="s">
        <v>80</v>
      </c>
      <c r="R1231" s="51" t="s">
        <v>78</v>
      </c>
    </row>
    <row r="1232" spans="1:18" x14ac:dyDescent="0.25">
      <c r="A1232" s="13"/>
      <c r="B1232" s="13"/>
      <c r="L1232" s="52">
        <v>45762</v>
      </c>
      <c r="M1232" s="53">
        <v>0.46954861111111112</v>
      </c>
      <c r="N1232" s="51" t="s">
        <v>225</v>
      </c>
      <c r="O1232" s="51" t="s">
        <v>326</v>
      </c>
      <c r="P1232" s="51" t="s">
        <v>1061</v>
      </c>
      <c r="Q1232" s="51" t="s">
        <v>80</v>
      </c>
      <c r="R1232" s="51" t="s">
        <v>78</v>
      </c>
    </row>
    <row r="1233" spans="1:18" x14ac:dyDescent="0.25">
      <c r="A1233" s="13"/>
      <c r="B1233" s="13"/>
      <c r="L1233" s="52">
        <v>45762</v>
      </c>
      <c r="M1233" s="53">
        <v>0.46954861111111112</v>
      </c>
      <c r="N1233" s="51" t="s">
        <v>226</v>
      </c>
      <c r="O1233" s="51" t="s">
        <v>326</v>
      </c>
      <c r="P1233" s="51" t="s">
        <v>1062</v>
      </c>
      <c r="Q1233" s="51" t="s">
        <v>80</v>
      </c>
      <c r="R1233" s="51" t="s">
        <v>78</v>
      </c>
    </row>
    <row r="1234" spans="1:18" x14ac:dyDescent="0.25">
      <c r="A1234" s="13"/>
      <c r="B1234" s="13"/>
      <c r="L1234" s="52">
        <v>45762</v>
      </c>
      <c r="M1234" s="53">
        <v>0.46954861111111112</v>
      </c>
      <c r="N1234" s="51" t="s">
        <v>227</v>
      </c>
      <c r="O1234" s="51" t="s">
        <v>326</v>
      </c>
      <c r="P1234" s="51" t="s">
        <v>1063</v>
      </c>
      <c r="Q1234" s="51" t="s">
        <v>80</v>
      </c>
      <c r="R1234" s="51" t="s">
        <v>78</v>
      </c>
    </row>
    <row r="1235" spans="1:18" x14ac:dyDescent="0.25">
      <c r="A1235" s="13"/>
      <c r="B1235" s="13"/>
      <c r="L1235" s="52">
        <v>45762</v>
      </c>
      <c r="M1235" s="53">
        <v>0.46954861111111112</v>
      </c>
      <c r="N1235" s="51" t="s">
        <v>228</v>
      </c>
      <c r="O1235" s="51" t="s">
        <v>326</v>
      </c>
      <c r="P1235" s="51" t="s">
        <v>1064</v>
      </c>
      <c r="Q1235" s="51" t="s">
        <v>80</v>
      </c>
      <c r="R1235" s="51" t="s">
        <v>78</v>
      </c>
    </row>
    <row r="1236" spans="1:18" x14ac:dyDescent="0.25">
      <c r="A1236" s="13"/>
      <c r="B1236" s="13"/>
      <c r="L1236" s="52">
        <v>45762</v>
      </c>
      <c r="M1236" s="53">
        <v>0.46954861111111112</v>
      </c>
      <c r="N1236" s="51" t="s">
        <v>229</v>
      </c>
      <c r="O1236" s="51" t="s">
        <v>326</v>
      </c>
      <c r="P1236" s="51" t="s">
        <v>1065</v>
      </c>
      <c r="Q1236" s="51" t="s">
        <v>80</v>
      </c>
      <c r="R1236" s="51" t="s">
        <v>78</v>
      </c>
    </row>
    <row r="1237" spans="1:18" x14ac:dyDescent="0.25">
      <c r="A1237" s="13"/>
      <c r="B1237" s="13"/>
      <c r="L1237" s="52">
        <v>45762</v>
      </c>
      <c r="M1237" s="53">
        <v>0.46954861111111112</v>
      </c>
      <c r="N1237" s="51" t="s">
        <v>230</v>
      </c>
      <c r="O1237" s="51" t="s">
        <v>326</v>
      </c>
      <c r="P1237" s="51" t="s">
        <v>1066</v>
      </c>
      <c r="Q1237" s="51" t="s">
        <v>80</v>
      </c>
      <c r="R1237" s="51" t="s">
        <v>78</v>
      </c>
    </row>
    <row r="1238" spans="1:18" x14ac:dyDescent="0.25">
      <c r="A1238" s="13"/>
      <c r="B1238" s="13"/>
      <c r="L1238" s="52">
        <v>45762</v>
      </c>
      <c r="M1238" s="53">
        <v>0.46954861111111112</v>
      </c>
      <c r="N1238" s="51" t="s">
        <v>231</v>
      </c>
      <c r="O1238" s="51" t="s">
        <v>326</v>
      </c>
      <c r="P1238" s="51" t="s">
        <v>1067</v>
      </c>
      <c r="Q1238" s="51" t="s">
        <v>80</v>
      </c>
      <c r="R1238" s="51" t="s">
        <v>78</v>
      </c>
    </row>
    <row r="1239" spans="1:18" x14ac:dyDescent="0.25">
      <c r="A1239" s="13"/>
      <c r="B1239" s="13"/>
      <c r="L1239" s="52">
        <v>45762</v>
      </c>
      <c r="M1239" s="53">
        <v>0.46954861111111112</v>
      </c>
      <c r="N1239" s="51" t="s">
        <v>232</v>
      </c>
      <c r="O1239" s="51" t="s">
        <v>326</v>
      </c>
      <c r="P1239" s="51" t="s">
        <v>1068</v>
      </c>
      <c r="Q1239" s="51" t="s">
        <v>80</v>
      </c>
      <c r="R1239" s="51" t="s">
        <v>78</v>
      </c>
    </row>
    <row r="1240" spans="1:18" x14ac:dyDescent="0.25">
      <c r="A1240" s="13"/>
      <c r="B1240" s="13"/>
      <c r="L1240" s="52">
        <v>45762</v>
      </c>
      <c r="M1240" s="53">
        <v>0.46954861111111112</v>
      </c>
      <c r="N1240" s="51" t="s">
        <v>233</v>
      </c>
      <c r="O1240" s="51" t="s">
        <v>326</v>
      </c>
      <c r="P1240" s="51" t="s">
        <v>1069</v>
      </c>
      <c r="Q1240" s="51" t="s">
        <v>80</v>
      </c>
      <c r="R1240" s="51" t="s">
        <v>78</v>
      </c>
    </row>
    <row r="1241" spans="1:18" x14ac:dyDescent="0.25">
      <c r="A1241" s="13"/>
      <c r="B1241" s="13"/>
      <c r="L1241" s="52">
        <v>45762</v>
      </c>
      <c r="M1241" s="53">
        <v>0.46954861111111112</v>
      </c>
      <c r="N1241" s="51" t="s">
        <v>234</v>
      </c>
      <c r="O1241" s="51" t="s">
        <v>326</v>
      </c>
      <c r="P1241" s="51" t="s">
        <v>1070</v>
      </c>
      <c r="Q1241" s="51" t="s">
        <v>80</v>
      </c>
      <c r="R1241" s="51" t="s">
        <v>78</v>
      </c>
    </row>
    <row r="1242" spans="1:18" x14ac:dyDescent="0.25">
      <c r="A1242" s="13"/>
      <c r="B1242" s="13"/>
      <c r="L1242" s="52">
        <v>45762</v>
      </c>
      <c r="M1242" s="53">
        <v>0.46954861111111112</v>
      </c>
      <c r="N1242" s="51" t="s">
        <v>235</v>
      </c>
      <c r="O1242" s="51" t="s">
        <v>326</v>
      </c>
      <c r="P1242" s="51" t="s">
        <v>1071</v>
      </c>
      <c r="Q1242" s="51" t="s">
        <v>80</v>
      </c>
      <c r="R1242" s="51" t="s">
        <v>78</v>
      </c>
    </row>
    <row r="1243" spans="1:18" x14ac:dyDescent="0.25">
      <c r="A1243" s="13"/>
      <c r="B1243" s="13"/>
      <c r="L1243" s="52">
        <v>45762</v>
      </c>
      <c r="M1243" s="53">
        <v>0.46954861111111112</v>
      </c>
      <c r="N1243" s="51" t="s">
        <v>236</v>
      </c>
      <c r="O1243" s="51" t="s">
        <v>326</v>
      </c>
      <c r="P1243" s="51" t="s">
        <v>1072</v>
      </c>
      <c r="Q1243" s="51" t="s">
        <v>80</v>
      </c>
      <c r="R1243" s="51" t="s">
        <v>78</v>
      </c>
    </row>
    <row r="1244" spans="1:18" x14ac:dyDescent="0.25">
      <c r="A1244" s="13"/>
      <c r="B1244" s="13"/>
      <c r="L1244" s="52">
        <v>45762</v>
      </c>
      <c r="M1244" s="53">
        <v>0.46954861111111112</v>
      </c>
      <c r="N1244" s="51" t="s">
        <v>237</v>
      </c>
      <c r="O1244" s="51" t="s">
        <v>326</v>
      </c>
      <c r="P1244" s="51" t="s">
        <v>1073</v>
      </c>
      <c r="Q1244" s="51" t="s">
        <v>80</v>
      </c>
      <c r="R1244" s="51" t="s">
        <v>78</v>
      </c>
    </row>
    <row r="1245" spans="1:18" x14ac:dyDescent="0.25">
      <c r="A1245" s="13"/>
      <c r="B1245" s="13"/>
      <c r="L1245" s="52">
        <v>45762</v>
      </c>
      <c r="M1245" s="53">
        <v>0.46954861111111112</v>
      </c>
      <c r="N1245" s="51" t="s">
        <v>238</v>
      </c>
      <c r="O1245" s="51" t="s">
        <v>326</v>
      </c>
      <c r="P1245" s="51" t="s">
        <v>1074</v>
      </c>
      <c r="Q1245" s="51" t="s">
        <v>80</v>
      </c>
      <c r="R1245" s="51" t="s">
        <v>78</v>
      </c>
    </row>
    <row r="1246" spans="1:18" x14ac:dyDescent="0.25">
      <c r="A1246" s="13"/>
      <c r="B1246" s="13"/>
      <c r="L1246" s="52">
        <v>45762</v>
      </c>
      <c r="M1246" s="53">
        <v>0.46954861111111112</v>
      </c>
      <c r="N1246" s="51" t="s">
        <v>239</v>
      </c>
      <c r="O1246" s="51" t="s">
        <v>326</v>
      </c>
      <c r="P1246" s="51" t="s">
        <v>1075</v>
      </c>
      <c r="Q1246" s="51" t="s">
        <v>80</v>
      </c>
      <c r="R1246" s="51" t="s">
        <v>78</v>
      </c>
    </row>
    <row r="1247" spans="1:18" x14ac:dyDescent="0.25">
      <c r="A1247" s="13"/>
      <c r="B1247" s="13"/>
      <c r="L1247" s="52">
        <v>45762</v>
      </c>
      <c r="M1247" s="53">
        <v>0.46954861111111112</v>
      </c>
      <c r="N1247" s="51" t="s">
        <v>240</v>
      </c>
      <c r="O1247" s="51" t="s">
        <v>326</v>
      </c>
      <c r="P1247" s="51" t="s">
        <v>1076</v>
      </c>
      <c r="Q1247" s="51" t="s">
        <v>80</v>
      </c>
      <c r="R1247" s="51" t="s">
        <v>78</v>
      </c>
    </row>
    <row r="1248" spans="1:18" x14ac:dyDescent="0.25">
      <c r="A1248" s="13"/>
      <c r="B1248" s="13"/>
      <c r="L1248" s="52">
        <v>45762</v>
      </c>
      <c r="M1248" s="53">
        <v>0.46954861111111112</v>
      </c>
      <c r="N1248" s="51" t="s">
        <v>241</v>
      </c>
      <c r="O1248" s="51" t="s">
        <v>326</v>
      </c>
      <c r="P1248" s="51" t="s">
        <v>1077</v>
      </c>
      <c r="Q1248" s="51" t="s">
        <v>80</v>
      </c>
      <c r="R1248" s="51" t="s">
        <v>78</v>
      </c>
    </row>
    <row r="1249" spans="1:18" x14ac:dyDescent="0.25">
      <c r="A1249" s="13"/>
      <c r="B1249" s="13"/>
      <c r="L1249" s="52">
        <v>45762</v>
      </c>
      <c r="M1249" s="53">
        <v>0.46954861111111112</v>
      </c>
      <c r="N1249" s="51" t="s">
        <v>242</v>
      </c>
      <c r="O1249" s="51" t="s">
        <v>326</v>
      </c>
      <c r="P1249" s="51" t="s">
        <v>1078</v>
      </c>
      <c r="Q1249" s="51" t="s">
        <v>80</v>
      </c>
      <c r="R1249" s="51" t="s">
        <v>78</v>
      </c>
    </row>
    <row r="1250" spans="1:18" x14ac:dyDescent="0.25">
      <c r="A1250" s="13"/>
      <c r="B1250" s="13"/>
      <c r="L1250" s="52">
        <v>45762</v>
      </c>
      <c r="M1250" s="53">
        <v>0.46954861111111112</v>
      </c>
      <c r="N1250" s="51" t="s">
        <v>243</v>
      </c>
      <c r="O1250" s="51" t="s">
        <v>326</v>
      </c>
      <c r="P1250" s="51" t="s">
        <v>1079</v>
      </c>
      <c r="Q1250" s="51" t="s">
        <v>80</v>
      </c>
      <c r="R1250" s="51" t="s">
        <v>78</v>
      </c>
    </row>
    <row r="1251" spans="1:18" x14ac:dyDescent="0.25">
      <c r="A1251" s="13"/>
      <c r="B1251" s="13"/>
      <c r="L1251" s="52">
        <v>45762</v>
      </c>
      <c r="M1251" s="53">
        <v>0.46954861111111112</v>
      </c>
      <c r="N1251" s="51" t="s">
        <v>244</v>
      </c>
      <c r="O1251" s="51" t="s">
        <v>326</v>
      </c>
      <c r="P1251" s="51" t="s">
        <v>1080</v>
      </c>
      <c r="Q1251" s="51" t="s">
        <v>80</v>
      </c>
      <c r="R1251" s="51" t="s">
        <v>78</v>
      </c>
    </row>
    <row r="1252" spans="1:18" x14ac:dyDescent="0.25">
      <c r="A1252" s="13"/>
      <c r="B1252" s="13"/>
      <c r="L1252" s="52">
        <v>45762</v>
      </c>
      <c r="M1252" s="53">
        <v>0.46954861111111112</v>
      </c>
      <c r="N1252" s="51" t="s">
        <v>245</v>
      </c>
      <c r="O1252" s="51" t="s">
        <v>326</v>
      </c>
      <c r="P1252" s="51" t="s">
        <v>1081</v>
      </c>
      <c r="Q1252" s="51" t="s">
        <v>80</v>
      </c>
      <c r="R1252" s="51" t="s">
        <v>78</v>
      </c>
    </row>
    <row r="1253" spans="1:18" x14ac:dyDescent="0.25">
      <c r="A1253" s="13"/>
      <c r="B1253" s="13"/>
      <c r="L1253" s="52">
        <v>45762</v>
      </c>
      <c r="M1253" s="53">
        <v>0.46954861111111112</v>
      </c>
      <c r="N1253" s="51" t="s">
        <v>246</v>
      </c>
      <c r="O1253" s="51" t="s">
        <v>326</v>
      </c>
      <c r="P1253" s="51" t="s">
        <v>1082</v>
      </c>
      <c r="Q1253" s="51" t="s">
        <v>80</v>
      </c>
      <c r="R1253" s="51" t="s">
        <v>78</v>
      </c>
    </row>
    <row r="1254" spans="1:18" x14ac:dyDescent="0.25">
      <c r="A1254" s="13"/>
      <c r="B1254" s="13"/>
      <c r="L1254" s="52">
        <v>45762</v>
      </c>
      <c r="M1254" s="53">
        <v>0.46954861111111112</v>
      </c>
      <c r="N1254" s="51" t="s">
        <v>247</v>
      </c>
      <c r="O1254" s="51" t="s">
        <v>326</v>
      </c>
      <c r="P1254" s="51" t="s">
        <v>1083</v>
      </c>
      <c r="Q1254" s="51" t="s">
        <v>80</v>
      </c>
      <c r="R1254" s="51" t="s">
        <v>78</v>
      </c>
    </row>
    <row r="1255" spans="1:18" x14ac:dyDescent="0.25">
      <c r="A1255" s="13"/>
      <c r="B1255" s="13"/>
      <c r="L1255" s="52">
        <v>45762</v>
      </c>
      <c r="M1255" s="53">
        <v>0.46954861111111112</v>
      </c>
      <c r="N1255" s="51" t="s">
        <v>248</v>
      </c>
      <c r="O1255" s="51" t="s">
        <v>326</v>
      </c>
      <c r="P1255" s="51" t="s">
        <v>1084</v>
      </c>
      <c r="Q1255" s="51" t="s">
        <v>80</v>
      </c>
      <c r="R1255" s="51" t="s">
        <v>78</v>
      </c>
    </row>
    <row r="1256" spans="1:18" x14ac:dyDescent="0.25">
      <c r="A1256" s="13"/>
      <c r="B1256" s="13"/>
      <c r="L1256" s="52">
        <v>45762</v>
      </c>
      <c r="M1256" s="53">
        <v>0.46954861111111112</v>
      </c>
      <c r="N1256" s="51" t="s">
        <v>249</v>
      </c>
      <c r="O1256" s="51" t="s">
        <v>326</v>
      </c>
      <c r="P1256" s="51" t="s">
        <v>1085</v>
      </c>
      <c r="Q1256" s="51" t="s">
        <v>80</v>
      </c>
      <c r="R1256" s="51" t="s">
        <v>78</v>
      </c>
    </row>
    <row r="1257" spans="1:18" x14ac:dyDescent="0.25">
      <c r="A1257" s="13"/>
      <c r="B1257" s="13"/>
      <c r="L1257" s="52">
        <v>45762</v>
      </c>
      <c r="M1257" s="53">
        <v>0.46956018518518516</v>
      </c>
      <c r="N1257" s="51" t="s">
        <v>250</v>
      </c>
      <c r="O1257" s="51" t="s">
        <v>326</v>
      </c>
      <c r="P1257" s="51" t="s">
        <v>1086</v>
      </c>
      <c r="Q1257" s="51" t="s">
        <v>80</v>
      </c>
      <c r="R1257" s="51" t="s">
        <v>78</v>
      </c>
    </row>
    <row r="1258" spans="1:18" x14ac:dyDescent="0.25">
      <c r="A1258" s="13"/>
      <c r="B1258" s="13"/>
      <c r="L1258" s="52">
        <v>45762</v>
      </c>
      <c r="M1258" s="53">
        <v>0.46956018518518516</v>
      </c>
      <c r="N1258" s="51" t="s">
        <v>251</v>
      </c>
      <c r="O1258" s="51" t="s">
        <v>326</v>
      </c>
      <c r="P1258" s="51" t="s">
        <v>1087</v>
      </c>
      <c r="Q1258" s="51" t="s">
        <v>80</v>
      </c>
      <c r="R1258" s="51" t="s">
        <v>78</v>
      </c>
    </row>
    <row r="1259" spans="1:18" x14ac:dyDescent="0.25">
      <c r="A1259" s="13"/>
      <c r="B1259" s="13"/>
      <c r="L1259" s="52">
        <v>45762</v>
      </c>
      <c r="M1259" s="53">
        <v>0.46956018518518516</v>
      </c>
      <c r="N1259" s="51" t="s">
        <v>252</v>
      </c>
      <c r="O1259" s="51" t="s">
        <v>326</v>
      </c>
      <c r="P1259" s="51" t="s">
        <v>1088</v>
      </c>
      <c r="Q1259" s="51" t="s">
        <v>80</v>
      </c>
      <c r="R1259" s="51" t="s">
        <v>78</v>
      </c>
    </row>
    <row r="1260" spans="1:18" x14ac:dyDescent="0.25">
      <c r="A1260" s="13"/>
      <c r="B1260" s="13"/>
      <c r="L1260" s="52">
        <v>45762</v>
      </c>
      <c r="M1260" s="53">
        <v>0.46956018518518516</v>
      </c>
      <c r="N1260" s="51" t="s">
        <v>253</v>
      </c>
      <c r="O1260" s="51" t="s">
        <v>326</v>
      </c>
      <c r="P1260" s="51" t="s">
        <v>1089</v>
      </c>
      <c r="Q1260" s="51" t="s">
        <v>80</v>
      </c>
      <c r="R1260" s="51" t="s">
        <v>78</v>
      </c>
    </row>
    <row r="1261" spans="1:18" x14ac:dyDescent="0.25">
      <c r="A1261" s="13"/>
      <c r="B1261" s="13"/>
      <c r="L1261" s="52">
        <v>45762</v>
      </c>
      <c r="M1261" s="53">
        <v>0.46956018518518516</v>
      </c>
      <c r="N1261" s="51" t="s">
        <v>254</v>
      </c>
      <c r="O1261" s="51" t="s">
        <v>326</v>
      </c>
      <c r="P1261" s="51" t="s">
        <v>1090</v>
      </c>
      <c r="Q1261" s="51" t="s">
        <v>80</v>
      </c>
      <c r="R1261" s="51" t="s">
        <v>78</v>
      </c>
    </row>
    <row r="1262" spans="1:18" x14ac:dyDescent="0.25">
      <c r="A1262" s="13"/>
      <c r="B1262" s="13"/>
      <c r="L1262" s="52">
        <v>45762</v>
      </c>
      <c r="M1262" s="53">
        <v>0.46956018518518516</v>
      </c>
      <c r="N1262" s="51" t="s">
        <v>255</v>
      </c>
      <c r="O1262" s="51" t="s">
        <v>326</v>
      </c>
      <c r="P1262" s="51" t="s">
        <v>1091</v>
      </c>
      <c r="Q1262" s="51" t="s">
        <v>80</v>
      </c>
      <c r="R1262" s="51" t="s">
        <v>78</v>
      </c>
    </row>
    <row r="1263" spans="1:18" x14ac:dyDescent="0.25">
      <c r="A1263" s="13"/>
      <c r="B1263" s="13"/>
      <c r="L1263" s="52">
        <v>45762</v>
      </c>
      <c r="M1263" s="53">
        <v>0.46956018518518516</v>
      </c>
      <c r="N1263" s="51" t="s">
        <v>256</v>
      </c>
      <c r="O1263" s="51" t="s">
        <v>326</v>
      </c>
      <c r="P1263" s="51" t="s">
        <v>1092</v>
      </c>
      <c r="Q1263" s="51" t="s">
        <v>80</v>
      </c>
      <c r="R1263" s="51" t="s">
        <v>78</v>
      </c>
    </row>
    <row r="1264" spans="1:18" x14ac:dyDescent="0.25">
      <c r="A1264" s="13"/>
      <c r="B1264" s="13"/>
      <c r="L1264" s="52">
        <v>45762</v>
      </c>
      <c r="M1264" s="53">
        <v>0.46956018518518516</v>
      </c>
      <c r="N1264" s="51" t="s">
        <v>257</v>
      </c>
      <c r="O1264" s="51" t="s">
        <v>326</v>
      </c>
      <c r="P1264" s="51" t="s">
        <v>1093</v>
      </c>
      <c r="Q1264" s="51" t="s">
        <v>80</v>
      </c>
      <c r="R1264" s="51" t="s">
        <v>78</v>
      </c>
    </row>
    <row r="1265" spans="1:18" x14ac:dyDescent="0.25">
      <c r="A1265" s="13"/>
      <c r="B1265" s="13"/>
      <c r="L1265" s="52">
        <v>45762</v>
      </c>
      <c r="M1265" s="53">
        <v>0.46956018518518516</v>
      </c>
      <c r="N1265" s="51" t="s">
        <v>258</v>
      </c>
      <c r="O1265" s="51" t="s">
        <v>326</v>
      </c>
      <c r="P1265" s="51" t="s">
        <v>1094</v>
      </c>
      <c r="Q1265" s="51" t="s">
        <v>80</v>
      </c>
      <c r="R1265" s="51" t="s">
        <v>78</v>
      </c>
    </row>
    <row r="1266" spans="1:18" x14ac:dyDescent="0.25">
      <c r="A1266" s="13"/>
      <c r="B1266" s="13"/>
      <c r="L1266" s="52">
        <v>45762</v>
      </c>
      <c r="M1266" s="53">
        <v>0.46956018518518516</v>
      </c>
      <c r="N1266" s="51" t="s">
        <v>259</v>
      </c>
      <c r="O1266" s="51" t="s">
        <v>326</v>
      </c>
      <c r="P1266" s="51" t="s">
        <v>1095</v>
      </c>
      <c r="Q1266" s="51" t="s">
        <v>80</v>
      </c>
      <c r="R1266" s="51" t="s">
        <v>78</v>
      </c>
    </row>
    <row r="1267" spans="1:18" x14ac:dyDescent="0.25">
      <c r="A1267" s="13"/>
      <c r="B1267" s="13"/>
      <c r="L1267" s="52">
        <v>45762</v>
      </c>
      <c r="M1267" s="53">
        <v>0.46956018518518516</v>
      </c>
      <c r="N1267" s="51" t="s">
        <v>260</v>
      </c>
      <c r="O1267" s="51" t="s">
        <v>326</v>
      </c>
      <c r="P1267" s="51" t="s">
        <v>1096</v>
      </c>
      <c r="Q1267" s="51" t="s">
        <v>80</v>
      </c>
      <c r="R1267" s="51" t="s">
        <v>78</v>
      </c>
    </row>
    <row r="1268" spans="1:18" x14ac:dyDescent="0.25">
      <c r="A1268" s="13"/>
      <c r="B1268" s="13"/>
      <c r="L1268" s="52">
        <v>45762</v>
      </c>
      <c r="M1268" s="53">
        <v>0.46956018518518516</v>
      </c>
      <c r="N1268" s="51" t="s">
        <v>261</v>
      </c>
      <c r="O1268" s="51" t="s">
        <v>326</v>
      </c>
      <c r="P1268" s="51" t="s">
        <v>1097</v>
      </c>
      <c r="Q1268" s="51" t="s">
        <v>80</v>
      </c>
      <c r="R1268" s="51" t="s">
        <v>78</v>
      </c>
    </row>
    <row r="1269" spans="1:18" x14ac:dyDescent="0.25">
      <c r="A1269" s="13"/>
      <c r="B1269" s="13"/>
      <c r="L1269" s="52">
        <v>45762</v>
      </c>
      <c r="M1269" s="53">
        <v>0.46956018518518516</v>
      </c>
      <c r="N1269" s="51" t="s">
        <v>262</v>
      </c>
      <c r="O1269" s="51" t="s">
        <v>326</v>
      </c>
      <c r="P1269" s="51" t="s">
        <v>1098</v>
      </c>
      <c r="Q1269" s="51" t="s">
        <v>80</v>
      </c>
      <c r="R1269" s="51" t="s">
        <v>78</v>
      </c>
    </row>
    <row r="1270" spans="1:18" x14ac:dyDescent="0.25">
      <c r="A1270" s="13"/>
      <c r="B1270" s="13"/>
      <c r="L1270" s="52">
        <v>45762</v>
      </c>
      <c r="M1270" s="53">
        <v>0.46956018518518516</v>
      </c>
      <c r="N1270" s="51" t="s">
        <v>263</v>
      </c>
      <c r="O1270" s="51" t="s">
        <v>326</v>
      </c>
      <c r="P1270" s="51" t="s">
        <v>1099</v>
      </c>
      <c r="Q1270" s="51" t="s">
        <v>80</v>
      </c>
      <c r="R1270" s="51" t="s">
        <v>78</v>
      </c>
    </row>
    <row r="1271" spans="1:18" x14ac:dyDescent="0.25">
      <c r="A1271" s="13"/>
      <c r="B1271" s="13"/>
      <c r="L1271" s="52">
        <v>45762</v>
      </c>
      <c r="M1271" s="53">
        <v>0.46956018518518516</v>
      </c>
      <c r="N1271" s="51" t="s">
        <v>264</v>
      </c>
      <c r="O1271" s="51" t="s">
        <v>326</v>
      </c>
      <c r="P1271" s="51" t="s">
        <v>1100</v>
      </c>
      <c r="Q1271" s="51" t="s">
        <v>80</v>
      </c>
      <c r="R1271" s="51" t="s">
        <v>78</v>
      </c>
    </row>
    <row r="1272" spans="1:18" x14ac:dyDescent="0.25">
      <c r="A1272" s="13"/>
      <c r="B1272" s="13"/>
      <c r="L1272" s="52">
        <v>45762</v>
      </c>
      <c r="M1272" s="53">
        <v>0.46956018518518516</v>
      </c>
      <c r="N1272" s="51" t="s">
        <v>265</v>
      </c>
      <c r="O1272" s="51" t="s">
        <v>326</v>
      </c>
      <c r="P1272" s="51" t="s">
        <v>1101</v>
      </c>
      <c r="Q1272" s="51" t="s">
        <v>80</v>
      </c>
      <c r="R1272" s="51" t="s">
        <v>78</v>
      </c>
    </row>
    <row r="1273" spans="1:18" x14ac:dyDescent="0.25">
      <c r="A1273" s="13"/>
      <c r="B1273" s="13"/>
      <c r="L1273" s="52">
        <v>45762</v>
      </c>
      <c r="M1273" s="53">
        <v>0.46956018518518516</v>
      </c>
      <c r="N1273" s="51" t="s">
        <v>266</v>
      </c>
      <c r="O1273" s="51" t="s">
        <v>326</v>
      </c>
      <c r="P1273" s="51" t="s">
        <v>1102</v>
      </c>
      <c r="Q1273" s="51" t="s">
        <v>80</v>
      </c>
      <c r="R1273" s="51" t="s">
        <v>78</v>
      </c>
    </row>
    <row r="1274" spans="1:18" x14ac:dyDescent="0.25">
      <c r="A1274" s="13"/>
      <c r="B1274" s="13"/>
      <c r="L1274" s="52">
        <v>45762</v>
      </c>
      <c r="M1274" s="53">
        <v>0.46956018518518516</v>
      </c>
      <c r="N1274" s="51" t="s">
        <v>267</v>
      </c>
      <c r="O1274" s="51" t="s">
        <v>326</v>
      </c>
      <c r="P1274" s="51" t="s">
        <v>1103</v>
      </c>
      <c r="Q1274" s="51" t="s">
        <v>80</v>
      </c>
      <c r="R1274" s="51" t="s">
        <v>78</v>
      </c>
    </row>
    <row r="1275" spans="1:18" x14ac:dyDescent="0.25">
      <c r="A1275" s="13"/>
      <c r="B1275" s="13"/>
      <c r="L1275" s="52">
        <v>45762</v>
      </c>
      <c r="M1275" s="53">
        <v>0.46956018518518516</v>
      </c>
      <c r="N1275" s="51" t="s">
        <v>268</v>
      </c>
      <c r="O1275" s="51" t="s">
        <v>326</v>
      </c>
      <c r="P1275" s="51" t="s">
        <v>1104</v>
      </c>
      <c r="Q1275" s="51" t="s">
        <v>80</v>
      </c>
      <c r="R1275" s="51" t="s">
        <v>78</v>
      </c>
    </row>
    <row r="1276" spans="1:18" x14ac:dyDescent="0.25">
      <c r="A1276" s="13"/>
      <c r="B1276" s="13"/>
      <c r="L1276" s="52">
        <v>45762</v>
      </c>
      <c r="M1276" s="53">
        <v>0.46956018518518516</v>
      </c>
      <c r="N1276" s="51" t="s">
        <v>269</v>
      </c>
      <c r="O1276" s="51" t="s">
        <v>326</v>
      </c>
      <c r="P1276" s="51" t="s">
        <v>1105</v>
      </c>
      <c r="Q1276" s="51" t="s">
        <v>80</v>
      </c>
      <c r="R1276" s="51" t="s">
        <v>78</v>
      </c>
    </row>
    <row r="1277" spans="1:18" x14ac:dyDescent="0.25">
      <c r="A1277" s="13"/>
      <c r="B1277" s="13"/>
      <c r="L1277" s="52">
        <v>45762</v>
      </c>
      <c r="M1277" s="53">
        <v>0.46956018518518516</v>
      </c>
      <c r="N1277" s="51" t="s">
        <v>270</v>
      </c>
      <c r="O1277" s="51" t="s">
        <v>326</v>
      </c>
      <c r="P1277" s="51" t="s">
        <v>1106</v>
      </c>
      <c r="Q1277" s="51" t="s">
        <v>80</v>
      </c>
      <c r="R1277" s="51" t="s">
        <v>78</v>
      </c>
    </row>
    <row r="1278" spans="1:18" x14ac:dyDescent="0.25">
      <c r="A1278" s="13"/>
      <c r="B1278" s="13"/>
      <c r="L1278" s="52">
        <v>45762</v>
      </c>
      <c r="M1278" s="53">
        <v>0.46956018518518516</v>
      </c>
      <c r="N1278" s="51" t="s">
        <v>271</v>
      </c>
      <c r="O1278" s="51" t="s">
        <v>326</v>
      </c>
      <c r="P1278" s="51" t="s">
        <v>1107</v>
      </c>
      <c r="Q1278" s="51" t="s">
        <v>80</v>
      </c>
      <c r="R1278" s="51" t="s">
        <v>78</v>
      </c>
    </row>
    <row r="1279" spans="1:18" x14ac:dyDescent="0.25">
      <c r="A1279" s="13"/>
      <c r="B1279" s="13"/>
      <c r="L1279" s="52">
        <v>45762</v>
      </c>
      <c r="M1279" s="53">
        <v>0.46956018518518516</v>
      </c>
      <c r="N1279" s="51" t="s">
        <v>272</v>
      </c>
      <c r="O1279" s="51" t="s">
        <v>326</v>
      </c>
      <c r="P1279" s="51" t="s">
        <v>1108</v>
      </c>
      <c r="Q1279" s="51" t="s">
        <v>80</v>
      </c>
      <c r="R1279" s="51" t="s">
        <v>78</v>
      </c>
    </row>
    <row r="1280" spans="1:18" x14ac:dyDescent="0.25">
      <c r="A1280" s="13"/>
      <c r="B1280" s="13"/>
      <c r="L1280" s="52">
        <v>45762</v>
      </c>
      <c r="M1280" s="53">
        <v>0.46956018518518516</v>
      </c>
      <c r="N1280" s="51" t="s">
        <v>273</v>
      </c>
      <c r="O1280" s="51" t="s">
        <v>326</v>
      </c>
      <c r="P1280" s="51" t="s">
        <v>1109</v>
      </c>
      <c r="Q1280" s="51" t="s">
        <v>80</v>
      </c>
      <c r="R1280" s="51" t="s">
        <v>78</v>
      </c>
    </row>
    <row r="1281" spans="1:18" x14ac:dyDescent="0.25">
      <c r="A1281" s="13"/>
      <c r="B1281" s="13"/>
      <c r="L1281" s="52">
        <v>45762</v>
      </c>
      <c r="M1281" s="53">
        <v>0.46956018518518516</v>
      </c>
      <c r="N1281" s="51" t="s">
        <v>274</v>
      </c>
      <c r="O1281" s="51" t="s">
        <v>326</v>
      </c>
      <c r="P1281" s="51" t="s">
        <v>1110</v>
      </c>
      <c r="Q1281" s="51" t="s">
        <v>80</v>
      </c>
      <c r="R1281" s="51" t="s">
        <v>78</v>
      </c>
    </row>
    <row r="1282" spans="1:18" x14ac:dyDescent="0.25">
      <c r="A1282" s="13"/>
      <c r="B1282" s="13"/>
      <c r="L1282" s="52">
        <v>45762</v>
      </c>
      <c r="M1282" s="53">
        <v>0.46956018518518516</v>
      </c>
      <c r="N1282" s="51" t="s">
        <v>275</v>
      </c>
      <c r="O1282" s="51" t="s">
        <v>326</v>
      </c>
      <c r="P1282" s="51" t="s">
        <v>1111</v>
      </c>
      <c r="Q1282" s="51" t="s">
        <v>80</v>
      </c>
      <c r="R1282" s="51" t="s">
        <v>78</v>
      </c>
    </row>
    <row r="1283" spans="1:18" x14ac:dyDescent="0.25">
      <c r="A1283" s="13"/>
      <c r="B1283" s="13"/>
      <c r="L1283" s="52">
        <v>45762</v>
      </c>
      <c r="M1283" s="53">
        <v>0.46956018518518516</v>
      </c>
      <c r="N1283" s="51" t="s">
        <v>276</v>
      </c>
      <c r="O1283" s="51" t="s">
        <v>326</v>
      </c>
      <c r="P1283" s="51" t="s">
        <v>1112</v>
      </c>
      <c r="Q1283" s="51" t="s">
        <v>80</v>
      </c>
      <c r="R1283" s="51" t="s">
        <v>78</v>
      </c>
    </row>
    <row r="1284" spans="1:18" x14ac:dyDescent="0.25">
      <c r="A1284" s="13"/>
      <c r="B1284" s="13"/>
      <c r="L1284" s="52">
        <v>45762</v>
      </c>
      <c r="M1284" s="53">
        <v>0.46956018518518516</v>
      </c>
      <c r="N1284" s="51" t="s">
        <v>277</v>
      </c>
      <c r="O1284" s="51" t="s">
        <v>326</v>
      </c>
      <c r="P1284" s="51" t="s">
        <v>1113</v>
      </c>
      <c r="Q1284" s="51" t="s">
        <v>80</v>
      </c>
      <c r="R1284" s="51" t="s">
        <v>78</v>
      </c>
    </row>
    <row r="1285" spans="1:18" x14ac:dyDescent="0.25">
      <c r="A1285" s="13"/>
      <c r="B1285" s="13"/>
      <c r="L1285" s="52">
        <v>45762</v>
      </c>
      <c r="M1285" s="53">
        <v>0.46956018518518516</v>
      </c>
      <c r="N1285" s="51" t="s">
        <v>278</v>
      </c>
      <c r="O1285" s="51" t="s">
        <v>326</v>
      </c>
      <c r="P1285" s="51" t="s">
        <v>1114</v>
      </c>
      <c r="Q1285" s="51" t="s">
        <v>80</v>
      </c>
      <c r="R1285" s="51" t="s">
        <v>78</v>
      </c>
    </row>
    <row r="1286" spans="1:18" x14ac:dyDescent="0.25">
      <c r="A1286" s="13"/>
      <c r="B1286" s="13"/>
      <c r="L1286" s="52">
        <v>45762</v>
      </c>
      <c r="M1286" s="53">
        <v>0.46956018518518516</v>
      </c>
      <c r="N1286" s="51" t="s">
        <v>279</v>
      </c>
      <c r="O1286" s="51" t="s">
        <v>326</v>
      </c>
      <c r="P1286" s="51" t="s">
        <v>1115</v>
      </c>
      <c r="Q1286" s="51" t="s">
        <v>80</v>
      </c>
      <c r="R1286" s="51" t="s">
        <v>78</v>
      </c>
    </row>
    <row r="1287" spans="1:18" x14ac:dyDescent="0.25">
      <c r="A1287" s="13"/>
      <c r="B1287" s="13"/>
      <c r="L1287" s="52">
        <v>45762</v>
      </c>
      <c r="M1287" s="53">
        <v>0.46956018518518516</v>
      </c>
      <c r="N1287" s="51" t="s">
        <v>280</v>
      </c>
      <c r="O1287" s="51" t="s">
        <v>326</v>
      </c>
      <c r="P1287" s="51" t="s">
        <v>1116</v>
      </c>
      <c r="Q1287" s="51" t="s">
        <v>80</v>
      </c>
      <c r="R1287" s="51" t="s">
        <v>78</v>
      </c>
    </row>
    <row r="1288" spans="1:18" x14ac:dyDescent="0.25">
      <c r="A1288" s="13"/>
      <c r="B1288" s="13"/>
      <c r="L1288" s="52">
        <v>45762</v>
      </c>
      <c r="M1288" s="53">
        <v>0.46956018518518516</v>
      </c>
      <c r="N1288" s="51" t="s">
        <v>281</v>
      </c>
      <c r="O1288" s="51" t="s">
        <v>326</v>
      </c>
      <c r="P1288" s="51" t="s">
        <v>1117</v>
      </c>
      <c r="Q1288" s="51" t="s">
        <v>80</v>
      </c>
      <c r="R1288" s="51" t="s">
        <v>78</v>
      </c>
    </row>
    <row r="1289" spans="1:18" x14ac:dyDescent="0.25">
      <c r="A1289" s="13"/>
      <c r="B1289" s="13"/>
      <c r="L1289" s="52">
        <v>45762</v>
      </c>
      <c r="M1289" s="53">
        <v>0.46956018518518516</v>
      </c>
      <c r="N1289" s="51" t="s">
        <v>282</v>
      </c>
      <c r="O1289" s="51" t="s">
        <v>326</v>
      </c>
      <c r="Q1289" s="51" t="s">
        <v>524</v>
      </c>
      <c r="R1289" s="51" t="s">
        <v>132</v>
      </c>
    </row>
    <row r="1290" spans="1:18" x14ac:dyDescent="0.25">
      <c r="A1290" s="13"/>
      <c r="B1290" s="13"/>
      <c r="L1290" s="52">
        <v>45762</v>
      </c>
      <c r="M1290" s="53">
        <v>0.46956018518518516</v>
      </c>
      <c r="N1290" s="51" t="s">
        <v>283</v>
      </c>
      <c r="O1290" s="51" t="s">
        <v>326</v>
      </c>
      <c r="Q1290" s="51" t="s">
        <v>524</v>
      </c>
      <c r="R1290" s="51" t="s">
        <v>132</v>
      </c>
    </row>
    <row r="1291" spans="1:18" x14ac:dyDescent="0.25">
      <c r="A1291" s="13"/>
      <c r="B1291" s="13"/>
      <c r="L1291" s="52">
        <v>45762</v>
      </c>
      <c r="M1291" s="53">
        <v>0.46956018518518516</v>
      </c>
      <c r="N1291" s="51" t="s">
        <v>284</v>
      </c>
      <c r="O1291" s="51" t="s">
        <v>326</v>
      </c>
      <c r="Q1291" s="51" t="s">
        <v>524</v>
      </c>
      <c r="R1291" s="51" t="s">
        <v>132</v>
      </c>
    </row>
    <row r="1292" spans="1:18" x14ac:dyDescent="0.25">
      <c r="A1292" s="13"/>
      <c r="B1292" s="13"/>
      <c r="L1292" s="52">
        <v>45762</v>
      </c>
      <c r="M1292" s="53">
        <v>0.46956018518518516</v>
      </c>
      <c r="N1292" s="51" t="s">
        <v>285</v>
      </c>
      <c r="O1292" s="51" t="s">
        <v>326</v>
      </c>
      <c r="P1292" s="51" t="s">
        <v>1118</v>
      </c>
      <c r="Q1292" s="51" t="s">
        <v>80</v>
      </c>
      <c r="R1292" s="51" t="s">
        <v>78</v>
      </c>
    </row>
    <row r="1293" spans="1:18" x14ac:dyDescent="0.25">
      <c r="A1293" s="13"/>
      <c r="B1293" s="13"/>
      <c r="L1293" s="52">
        <v>45762</v>
      </c>
      <c r="M1293" s="53">
        <v>0.46956018518518516</v>
      </c>
      <c r="N1293" s="51" t="s">
        <v>286</v>
      </c>
      <c r="O1293" s="51" t="s">
        <v>326</v>
      </c>
      <c r="P1293" s="51" t="s">
        <v>1119</v>
      </c>
      <c r="Q1293" s="51" t="s">
        <v>80</v>
      </c>
      <c r="R1293" s="51" t="s">
        <v>78</v>
      </c>
    </row>
    <row r="1294" spans="1:18" x14ac:dyDescent="0.25">
      <c r="A1294" s="13"/>
      <c r="B1294" s="13"/>
      <c r="L1294" s="52">
        <v>45762</v>
      </c>
      <c r="M1294" s="53">
        <v>0.46956018518518516</v>
      </c>
      <c r="N1294" s="51" t="s">
        <v>287</v>
      </c>
      <c r="O1294" s="51" t="s">
        <v>326</v>
      </c>
      <c r="P1294" s="51" t="s">
        <v>1120</v>
      </c>
      <c r="Q1294" s="51" t="s">
        <v>80</v>
      </c>
      <c r="R1294" s="51" t="s">
        <v>78</v>
      </c>
    </row>
    <row r="1295" spans="1:18" x14ac:dyDescent="0.25">
      <c r="A1295" s="13"/>
      <c r="B1295" s="13"/>
      <c r="L1295" s="52">
        <v>45762</v>
      </c>
      <c r="M1295" s="53">
        <v>0.46956018518518516</v>
      </c>
      <c r="N1295" s="51" t="s">
        <v>288</v>
      </c>
      <c r="O1295" s="51" t="s">
        <v>326</v>
      </c>
      <c r="P1295" s="51" t="s">
        <v>1121</v>
      </c>
      <c r="Q1295" s="51" t="s">
        <v>80</v>
      </c>
      <c r="R1295" s="51" t="s">
        <v>78</v>
      </c>
    </row>
    <row r="1296" spans="1:18" x14ac:dyDescent="0.25">
      <c r="A1296" s="13"/>
      <c r="B1296" s="13"/>
      <c r="L1296" s="52">
        <v>45762</v>
      </c>
      <c r="M1296" s="53">
        <v>0.46956018518518516</v>
      </c>
      <c r="N1296" s="51" t="s">
        <v>289</v>
      </c>
      <c r="O1296" s="51" t="s">
        <v>326</v>
      </c>
      <c r="P1296" s="51" t="s">
        <v>1122</v>
      </c>
      <c r="Q1296" s="51" t="s">
        <v>80</v>
      </c>
      <c r="R1296" s="51" t="s">
        <v>78</v>
      </c>
    </row>
    <row r="1297" spans="1:18" x14ac:dyDescent="0.25">
      <c r="A1297" s="13"/>
      <c r="B1297" s="13"/>
      <c r="L1297" s="52">
        <v>45762</v>
      </c>
      <c r="M1297" s="53">
        <v>0.46956018518518516</v>
      </c>
      <c r="N1297" s="51" t="s">
        <v>290</v>
      </c>
      <c r="O1297" s="51" t="s">
        <v>326</v>
      </c>
      <c r="P1297" s="51" t="s">
        <v>1123</v>
      </c>
      <c r="Q1297" s="51" t="s">
        <v>80</v>
      </c>
      <c r="R1297" s="51" t="s">
        <v>78</v>
      </c>
    </row>
    <row r="1298" spans="1:18" x14ac:dyDescent="0.25">
      <c r="A1298" s="13"/>
      <c r="B1298" s="13"/>
      <c r="L1298" s="52">
        <v>45762</v>
      </c>
      <c r="M1298" s="53">
        <v>0.46956018518518516</v>
      </c>
      <c r="N1298" s="51" t="s">
        <v>291</v>
      </c>
      <c r="O1298" s="51" t="s">
        <v>326</v>
      </c>
      <c r="P1298" s="51" t="s">
        <v>1124</v>
      </c>
      <c r="Q1298" s="51" t="s">
        <v>80</v>
      </c>
      <c r="R1298" s="51" t="s">
        <v>78</v>
      </c>
    </row>
    <row r="1299" spans="1:18" x14ac:dyDescent="0.25">
      <c r="A1299" s="13"/>
      <c r="B1299" s="13"/>
      <c r="L1299" s="52">
        <v>45762</v>
      </c>
      <c r="M1299" s="53">
        <v>0.46956018518518516</v>
      </c>
      <c r="N1299" s="51" t="s">
        <v>292</v>
      </c>
      <c r="O1299" s="51" t="s">
        <v>326</v>
      </c>
      <c r="P1299" s="51" t="s">
        <v>1125</v>
      </c>
      <c r="Q1299" s="51" t="s">
        <v>80</v>
      </c>
      <c r="R1299" s="51" t="s">
        <v>78</v>
      </c>
    </row>
    <row r="1300" spans="1:18" x14ac:dyDescent="0.25">
      <c r="A1300" s="13"/>
      <c r="B1300" s="13"/>
      <c r="L1300" s="52">
        <v>45762</v>
      </c>
      <c r="M1300" s="53">
        <v>0.46956018518518516</v>
      </c>
      <c r="N1300" s="51" t="s">
        <v>293</v>
      </c>
      <c r="O1300" s="51" t="s">
        <v>326</v>
      </c>
      <c r="P1300" s="51" t="s">
        <v>1126</v>
      </c>
      <c r="Q1300" s="51" t="s">
        <v>80</v>
      </c>
      <c r="R1300" s="51" t="s">
        <v>78</v>
      </c>
    </row>
    <row r="1301" spans="1:18" x14ac:dyDescent="0.25">
      <c r="A1301" s="13"/>
      <c r="B1301" s="13"/>
      <c r="L1301" s="52">
        <v>45762</v>
      </c>
      <c r="M1301" s="53">
        <v>0.46956018518518516</v>
      </c>
      <c r="N1301" s="51" t="s">
        <v>294</v>
      </c>
      <c r="O1301" s="51" t="s">
        <v>326</v>
      </c>
      <c r="P1301" s="51" t="s">
        <v>1127</v>
      </c>
      <c r="Q1301" s="51" t="s">
        <v>80</v>
      </c>
      <c r="R1301" s="51" t="s">
        <v>78</v>
      </c>
    </row>
    <row r="1302" spans="1:18" x14ac:dyDescent="0.25">
      <c r="A1302" s="13"/>
      <c r="B1302" s="13"/>
      <c r="L1302" s="52">
        <v>45762</v>
      </c>
      <c r="M1302" s="53">
        <v>0.46956018518518516</v>
      </c>
      <c r="N1302" s="51" t="s">
        <v>295</v>
      </c>
      <c r="O1302" s="51" t="s">
        <v>326</v>
      </c>
      <c r="P1302" s="51" t="s">
        <v>1128</v>
      </c>
      <c r="Q1302" s="51" t="s">
        <v>80</v>
      </c>
      <c r="R1302" s="51" t="s">
        <v>78</v>
      </c>
    </row>
    <row r="1303" spans="1:18" x14ac:dyDescent="0.25">
      <c r="A1303" s="13"/>
      <c r="B1303" s="13"/>
      <c r="L1303" s="52">
        <v>45762</v>
      </c>
      <c r="M1303" s="53">
        <v>0.46956018518518516</v>
      </c>
      <c r="N1303" s="51" t="s">
        <v>296</v>
      </c>
      <c r="O1303" s="51" t="s">
        <v>326</v>
      </c>
      <c r="P1303" s="51" t="s">
        <v>1129</v>
      </c>
      <c r="Q1303" s="51" t="s">
        <v>80</v>
      </c>
      <c r="R1303" s="51" t="s">
        <v>78</v>
      </c>
    </row>
    <row r="1304" spans="1:18" x14ac:dyDescent="0.25">
      <c r="A1304" s="13"/>
      <c r="B1304" s="13"/>
      <c r="L1304" s="52">
        <v>45762</v>
      </c>
      <c r="M1304" s="53">
        <v>0.46956018518518516</v>
      </c>
      <c r="N1304" s="51" t="s">
        <v>297</v>
      </c>
      <c r="O1304" s="51" t="s">
        <v>326</v>
      </c>
      <c r="P1304" s="51" t="s">
        <v>1130</v>
      </c>
      <c r="Q1304" s="51" t="s">
        <v>80</v>
      </c>
      <c r="R1304" s="51" t="s">
        <v>78</v>
      </c>
    </row>
    <row r="1305" spans="1:18" x14ac:dyDescent="0.25">
      <c r="A1305" s="13"/>
      <c r="B1305" s="13"/>
      <c r="L1305" s="52">
        <v>45762</v>
      </c>
      <c r="M1305" s="53">
        <v>0.46956018518518516</v>
      </c>
      <c r="N1305" s="51" t="s">
        <v>298</v>
      </c>
      <c r="O1305" s="51" t="s">
        <v>326</v>
      </c>
      <c r="P1305" s="51" t="s">
        <v>1131</v>
      </c>
      <c r="Q1305" s="51" t="s">
        <v>80</v>
      </c>
      <c r="R1305" s="51" t="s">
        <v>78</v>
      </c>
    </row>
    <row r="1306" spans="1:18" x14ac:dyDescent="0.25">
      <c r="A1306" s="13"/>
      <c r="B1306" s="13"/>
      <c r="L1306" s="52">
        <v>45762</v>
      </c>
      <c r="M1306" s="53">
        <v>0.46956018518518516</v>
      </c>
      <c r="N1306" s="51" t="s">
        <v>299</v>
      </c>
      <c r="O1306" s="51" t="s">
        <v>326</v>
      </c>
      <c r="P1306" s="51" t="s">
        <v>1132</v>
      </c>
      <c r="Q1306" s="51" t="s">
        <v>80</v>
      </c>
      <c r="R1306" s="51" t="s">
        <v>78</v>
      </c>
    </row>
    <row r="1307" spans="1:18" x14ac:dyDescent="0.25">
      <c r="A1307" s="13"/>
      <c r="B1307" s="13"/>
      <c r="L1307" s="52">
        <v>45762</v>
      </c>
      <c r="M1307" s="53">
        <v>0.46956018518518516</v>
      </c>
      <c r="N1307" s="51" t="s">
        <v>300</v>
      </c>
      <c r="O1307" s="51" t="s">
        <v>326</v>
      </c>
      <c r="P1307" s="51" t="s">
        <v>1133</v>
      </c>
      <c r="Q1307" s="51" t="s">
        <v>80</v>
      </c>
      <c r="R1307" s="51" t="s">
        <v>78</v>
      </c>
    </row>
    <row r="1308" spans="1:18" x14ac:dyDescent="0.25">
      <c r="A1308" s="13"/>
      <c r="B1308" s="13"/>
      <c r="L1308" s="52">
        <v>45762</v>
      </c>
      <c r="M1308" s="53">
        <v>0.46956018518518516</v>
      </c>
      <c r="N1308" s="51" t="s">
        <v>301</v>
      </c>
      <c r="O1308" s="51" t="s">
        <v>326</v>
      </c>
      <c r="P1308" s="51" t="s">
        <v>1134</v>
      </c>
      <c r="Q1308" s="51" t="s">
        <v>80</v>
      </c>
      <c r="R1308" s="51" t="s">
        <v>78</v>
      </c>
    </row>
    <row r="1309" spans="1:18" x14ac:dyDescent="0.25">
      <c r="A1309" s="13"/>
      <c r="B1309" s="13"/>
      <c r="L1309" s="52">
        <v>45762</v>
      </c>
      <c r="M1309" s="53">
        <v>0.46956018518518516</v>
      </c>
      <c r="N1309" s="51" t="s">
        <v>302</v>
      </c>
      <c r="O1309" s="51" t="s">
        <v>326</v>
      </c>
      <c r="P1309" s="51" t="s">
        <v>1135</v>
      </c>
      <c r="Q1309" s="51" t="s">
        <v>80</v>
      </c>
      <c r="R1309" s="51" t="s">
        <v>78</v>
      </c>
    </row>
    <row r="1310" spans="1:18" x14ac:dyDescent="0.25">
      <c r="A1310" s="13"/>
      <c r="B1310" s="13"/>
      <c r="L1310" s="52">
        <v>45762</v>
      </c>
      <c r="M1310" s="53">
        <v>0.46956018518518516</v>
      </c>
      <c r="N1310" s="51" t="s">
        <v>303</v>
      </c>
      <c r="O1310" s="51" t="s">
        <v>326</v>
      </c>
      <c r="P1310" s="51" t="s">
        <v>1136</v>
      </c>
      <c r="Q1310" s="51" t="s">
        <v>80</v>
      </c>
      <c r="R1310" s="51" t="s">
        <v>78</v>
      </c>
    </row>
    <row r="1311" spans="1:18" x14ac:dyDescent="0.25">
      <c r="A1311" s="13"/>
      <c r="B1311" s="13"/>
      <c r="L1311" s="52">
        <v>45762</v>
      </c>
      <c r="M1311" s="53">
        <v>0.46956018518518516</v>
      </c>
      <c r="N1311" s="51" t="s">
        <v>304</v>
      </c>
      <c r="O1311" s="51" t="s">
        <v>326</v>
      </c>
      <c r="P1311" s="51" t="s">
        <v>1137</v>
      </c>
      <c r="Q1311" s="51" t="s">
        <v>80</v>
      </c>
      <c r="R1311" s="51" t="s">
        <v>78</v>
      </c>
    </row>
    <row r="1312" spans="1:18" x14ac:dyDescent="0.25">
      <c r="A1312" s="13"/>
      <c r="B1312" s="13"/>
      <c r="L1312" s="52">
        <v>45762</v>
      </c>
      <c r="M1312" s="53">
        <v>0.46956018518518516</v>
      </c>
      <c r="N1312" s="51" t="s">
        <v>305</v>
      </c>
      <c r="O1312" s="51" t="s">
        <v>326</v>
      </c>
      <c r="P1312" s="51" t="s">
        <v>1138</v>
      </c>
      <c r="Q1312" s="51" t="s">
        <v>80</v>
      </c>
      <c r="R1312" s="51" t="s">
        <v>78</v>
      </c>
    </row>
    <row r="1313" spans="1:18" x14ac:dyDescent="0.25">
      <c r="A1313" s="13"/>
      <c r="B1313" s="13"/>
      <c r="L1313" s="52">
        <v>45762</v>
      </c>
      <c r="M1313" s="53">
        <v>0.46956018518518516</v>
      </c>
      <c r="N1313" s="51" t="s">
        <v>306</v>
      </c>
      <c r="O1313" s="51" t="s">
        <v>326</v>
      </c>
      <c r="P1313" s="51" t="s">
        <v>1139</v>
      </c>
      <c r="Q1313" s="51" t="s">
        <v>80</v>
      </c>
      <c r="R1313" s="51" t="s">
        <v>78</v>
      </c>
    </row>
    <row r="1314" spans="1:18" x14ac:dyDescent="0.25">
      <c r="A1314" s="13"/>
      <c r="B1314" s="13"/>
      <c r="L1314" s="52">
        <v>45762</v>
      </c>
      <c r="M1314" s="53">
        <v>0.46956018518518516</v>
      </c>
      <c r="N1314" s="51" t="s">
        <v>307</v>
      </c>
      <c r="O1314" s="51" t="s">
        <v>326</v>
      </c>
      <c r="P1314" s="51" t="s">
        <v>1140</v>
      </c>
      <c r="Q1314" s="51" t="s">
        <v>80</v>
      </c>
      <c r="R1314" s="51" t="s">
        <v>78</v>
      </c>
    </row>
    <row r="1315" spans="1:18" x14ac:dyDescent="0.25">
      <c r="A1315" s="13"/>
      <c r="B1315" s="13"/>
      <c r="L1315" s="52">
        <v>45762</v>
      </c>
      <c r="M1315" s="53">
        <v>0.46956018518518516</v>
      </c>
      <c r="N1315" s="51" t="s">
        <v>308</v>
      </c>
      <c r="O1315" s="51" t="s">
        <v>326</v>
      </c>
      <c r="P1315" s="51" t="s">
        <v>1141</v>
      </c>
      <c r="Q1315" s="51" t="s">
        <v>80</v>
      </c>
      <c r="R1315" s="51" t="s">
        <v>78</v>
      </c>
    </row>
    <row r="1316" spans="1:18" x14ac:dyDescent="0.25">
      <c r="A1316" s="13"/>
      <c r="B1316" s="13"/>
      <c r="L1316" s="52">
        <v>45762</v>
      </c>
      <c r="M1316" s="53">
        <v>0.46956018518518516</v>
      </c>
      <c r="N1316" s="51" t="s">
        <v>309</v>
      </c>
      <c r="O1316" s="51" t="s">
        <v>326</v>
      </c>
      <c r="P1316" s="51" t="s">
        <v>1142</v>
      </c>
      <c r="Q1316" s="51" t="s">
        <v>80</v>
      </c>
      <c r="R1316" s="51" t="s">
        <v>78</v>
      </c>
    </row>
    <row r="1317" spans="1:18" x14ac:dyDescent="0.25">
      <c r="A1317" s="13"/>
      <c r="B1317" s="13"/>
      <c r="L1317" s="52">
        <v>45762</v>
      </c>
      <c r="M1317" s="53">
        <v>0.46956018518518516</v>
      </c>
      <c r="N1317" s="51" t="s">
        <v>310</v>
      </c>
      <c r="O1317" s="51" t="s">
        <v>326</v>
      </c>
      <c r="P1317" s="51" t="s">
        <v>1143</v>
      </c>
      <c r="Q1317" s="51" t="s">
        <v>80</v>
      </c>
      <c r="R1317" s="51" t="s">
        <v>78</v>
      </c>
    </row>
    <row r="1318" spans="1:18" x14ac:dyDescent="0.25">
      <c r="A1318" s="13"/>
      <c r="B1318" s="13"/>
      <c r="L1318" s="52">
        <v>45762</v>
      </c>
      <c r="M1318" s="53">
        <v>0.46956018518518516</v>
      </c>
      <c r="N1318" s="51" t="s">
        <v>311</v>
      </c>
      <c r="O1318" s="51" t="s">
        <v>326</v>
      </c>
      <c r="P1318" s="51" t="s">
        <v>1144</v>
      </c>
      <c r="Q1318" s="51" t="s">
        <v>80</v>
      </c>
      <c r="R1318" s="51" t="s">
        <v>78</v>
      </c>
    </row>
    <row r="1319" spans="1:18" x14ac:dyDescent="0.25">
      <c r="A1319" s="13"/>
      <c r="B1319" s="13"/>
      <c r="L1319" s="52">
        <v>45762</v>
      </c>
      <c r="M1319" s="53">
        <v>0.46956018518518516</v>
      </c>
      <c r="N1319" s="51" t="s">
        <v>312</v>
      </c>
      <c r="O1319" s="51" t="s">
        <v>326</v>
      </c>
      <c r="P1319" s="51" t="s">
        <v>1145</v>
      </c>
      <c r="Q1319" s="51" t="s">
        <v>80</v>
      </c>
      <c r="R1319" s="51" t="s">
        <v>78</v>
      </c>
    </row>
    <row r="1320" spans="1:18" x14ac:dyDescent="0.25">
      <c r="A1320" s="13"/>
      <c r="B1320" s="13"/>
      <c r="L1320" s="52">
        <v>45762</v>
      </c>
      <c r="M1320" s="53">
        <v>0.46956018518518516</v>
      </c>
      <c r="N1320" s="51" t="s">
        <v>313</v>
      </c>
      <c r="O1320" s="51" t="s">
        <v>326</v>
      </c>
      <c r="P1320" s="51" t="s">
        <v>1146</v>
      </c>
      <c r="Q1320" s="51" t="s">
        <v>80</v>
      </c>
      <c r="R1320" s="51" t="s">
        <v>78</v>
      </c>
    </row>
    <row r="1321" spans="1:18" x14ac:dyDescent="0.25">
      <c r="A1321" s="13"/>
      <c r="B1321" s="13"/>
      <c r="L1321" s="52">
        <v>45762</v>
      </c>
      <c r="M1321" s="53">
        <v>0.46956018518518516</v>
      </c>
      <c r="N1321" s="51" t="s">
        <v>314</v>
      </c>
      <c r="O1321" s="51" t="s">
        <v>326</v>
      </c>
      <c r="P1321" s="51" t="s">
        <v>1147</v>
      </c>
      <c r="Q1321" s="51" t="s">
        <v>80</v>
      </c>
      <c r="R1321" s="51" t="s">
        <v>78</v>
      </c>
    </row>
    <row r="1322" spans="1:18" x14ac:dyDescent="0.25">
      <c r="A1322" s="13"/>
      <c r="B1322" s="13"/>
      <c r="L1322" s="52">
        <v>45762</v>
      </c>
      <c r="M1322" s="53">
        <v>0.46956018518518516</v>
      </c>
      <c r="N1322" s="51" t="s">
        <v>315</v>
      </c>
      <c r="O1322" s="51" t="s">
        <v>326</v>
      </c>
      <c r="P1322" s="51" t="s">
        <v>1148</v>
      </c>
      <c r="Q1322" s="51" t="s">
        <v>80</v>
      </c>
      <c r="R1322" s="51" t="s">
        <v>78</v>
      </c>
    </row>
    <row r="1323" spans="1:18" x14ac:dyDescent="0.25">
      <c r="A1323" s="13"/>
      <c r="B1323" s="13"/>
      <c r="L1323" s="52">
        <v>45762</v>
      </c>
      <c r="M1323" s="53">
        <v>0.46956018518518516</v>
      </c>
      <c r="N1323" s="51" t="s">
        <v>316</v>
      </c>
      <c r="O1323" s="51" t="s">
        <v>326</v>
      </c>
      <c r="P1323" s="51" t="s">
        <v>1149</v>
      </c>
      <c r="Q1323" s="51" t="s">
        <v>80</v>
      </c>
      <c r="R1323" s="51" t="s">
        <v>78</v>
      </c>
    </row>
    <row r="1324" spans="1:18" x14ac:dyDescent="0.25">
      <c r="A1324" s="13"/>
      <c r="B1324" s="13"/>
      <c r="L1324" s="52">
        <v>45762</v>
      </c>
      <c r="M1324" s="53">
        <v>0.46956018518518516</v>
      </c>
      <c r="N1324" s="51" t="s">
        <v>317</v>
      </c>
      <c r="O1324" s="51" t="s">
        <v>326</v>
      </c>
      <c r="P1324" s="51" t="s">
        <v>1150</v>
      </c>
      <c r="Q1324" s="51" t="s">
        <v>80</v>
      </c>
      <c r="R1324" s="51" t="s">
        <v>78</v>
      </c>
    </row>
    <row r="1325" spans="1:18" x14ac:dyDescent="0.25">
      <c r="A1325" s="13"/>
      <c r="B1325" s="13"/>
      <c r="L1325" s="52">
        <v>45762</v>
      </c>
      <c r="M1325" s="53">
        <v>0.46956018518518516</v>
      </c>
      <c r="N1325" s="51" t="s">
        <v>318</v>
      </c>
      <c r="O1325" s="51" t="s">
        <v>326</v>
      </c>
      <c r="P1325" s="51" t="s">
        <v>1151</v>
      </c>
      <c r="Q1325" s="51" t="s">
        <v>80</v>
      </c>
      <c r="R1325" s="51" t="s">
        <v>78</v>
      </c>
    </row>
    <row r="1326" spans="1:18" x14ac:dyDescent="0.25">
      <c r="A1326" s="13"/>
      <c r="B1326" s="13"/>
      <c r="L1326" s="52">
        <v>45762</v>
      </c>
      <c r="M1326" s="53">
        <v>0.46956018518518516</v>
      </c>
      <c r="N1326" s="51" t="s">
        <v>319</v>
      </c>
      <c r="O1326" s="51" t="s">
        <v>326</v>
      </c>
      <c r="P1326" s="51" t="s">
        <v>1152</v>
      </c>
      <c r="Q1326" s="51" t="s">
        <v>80</v>
      </c>
      <c r="R1326" s="51" t="s">
        <v>78</v>
      </c>
    </row>
    <row r="1327" spans="1:18" x14ac:dyDescent="0.25">
      <c r="A1327" s="13"/>
      <c r="B1327" s="13"/>
      <c r="L1327" s="52">
        <v>45762</v>
      </c>
      <c r="M1327" s="53">
        <v>0.46956018518518516</v>
      </c>
      <c r="N1327" s="51" t="s">
        <v>320</v>
      </c>
      <c r="O1327" s="51" t="s">
        <v>326</v>
      </c>
      <c r="P1327" s="51" t="s">
        <v>1153</v>
      </c>
      <c r="Q1327" s="51" t="s">
        <v>80</v>
      </c>
      <c r="R1327" s="51" t="s">
        <v>78</v>
      </c>
    </row>
    <row r="1328" spans="1:18" x14ac:dyDescent="0.25">
      <c r="A1328" s="13"/>
      <c r="B1328" s="13"/>
      <c r="L1328" s="52">
        <v>45762</v>
      </c>
      <c r="M1328" s="53">
        <v>0.46956018518518516</v>
      </c>
      <c r="N1328" s="51" t="s">
        <v>321</v>
      </c>
      <c r="O1328" s="51" t="s">
        <v>326</v>
      </c>
      <c r="P1328" s="51" t="s">
        <v>1154</v>
      </c>
      <c r="Q1328" s="51" t="s">
        <v>80</v>
      </c>
      <c r="R1328" s="51" t="s">
        <v>78</v>
      </c>
    </row>
    <row r="1329" spans="1:18" x14ac:dyDescent="0.25">
      <c r="A1329" s="13"/>
      <c r="B1329" s="13"/>
      <c r="L1329" s="52">
        <v>45762</v>
      </c>
      <c r="M1329" s="53">
        <v>0.46956018518518516</v>
      </c>
      <c r="O1329" s="51" t="s">
        <v>327</v>
      </c>
      <c r="Q1329" s="51" t="s">
        <v>1155</v>
      </c>
      <c r="R1329" s="51" t="s">
        <v>78</v>
      </c>
    </row>
    <row r="1330" spans="1:18" x14ac:dyDescent="0.25">
      <c r="A1330" s="13"/>
      <c r="B1330" s="13"/>
      <c r="L1330" s="52">
        <v>45762</v>
      </c>
      <c r="M1330" s="53">
        <v>0.46964120370370371</v>
      </c>
      <c r="O1330" s="51" t="s">
        <v>327</v>
      </c>
      <c r="Q1330" s="51" t="s">
        <v>330</v>
      </c>
      <c r="R1330" s="51" t="s">
        <v>78</v>
      </c>
    </row>
    <row r="1331" spans="1:18" x14ac:dyDescent="0.25">
      <c r="A1331" s="13"/>
      <c r="B1331" s="13"/>
      <c r="L1331" s="52">
        <v>45762</v>
      </c>
      <c r="M1331" s="53">
        <v>0.46964120370370371</v>
      </c>
      <c r="O1331" s="51" t="s">
        <v>327</v>
      </c>
      <c r="Q1331" s="51" t="s">
        <v>1156</v>
      </c>
      <c r="R1331" s="51" t="s">
        <v>78</v>
      </c>
    </row>
    <row r="1332" spans="1:18" x14ac:dyDescent="0.25">
      <c r="A1332" s="13"/>
      <c r="B1332" s="13"/>
      <c r="L1332" s="52">
        <v>45762</v>
      </c>
      <c r="M1332" s="53">
        <v>0.46964120370370371</v>
      </c>
      <c r="N1332" s="51" t="s">
        <v>138</v>
      </c>
      <c r="O1332" s="51" t="s">
        <v>327</v>
      </c>
      <c r="Q1332" s="51" t="s">
        <v>524</v>
      </c>
      <c r="R1332" s="51" t="s">
        <v>132</v>
      </c>
    </row>
    <row r="1333" spans="1:18" x14ac:dyDescent="0.25">
      <c r="A1333" s="13"/>
      <c r="B1333" s="13"/>
      <c r="L1333" s="52">
        <v>45762</v>
      </c>
      <c r="M1333" s="53">
        <v>0.46964120370370371</v>
      </c>
      <c r="N1333" s="51" t="s">
        <v>139</v>
      </c>
      <c r="O1333" s="51" t="s">
        <v>327</v>
      </c>
      <c r="Q1333" s="51" t="s">
        <v>524</v>
      </c>
      <c r="R1333" s="51" t="s">
        <v>132</v>
      </c>
    </row>
    <row r="1334" spans="1:18" x14ac:dyDescent="0.25">
      <c r="A1334" s="13"/>
      <c r="B1334" s="13"/>
      <c r="L1334" s="52">
        <v>45762</v>
      </c>
      <c r="M1334" s="53">
        <v>0.46964120370370371</v>
      </c>
      <c r="N1334" s="51" t="s">
        <v>140</v>
      </c>
      <c r="O1334" s="51" t="s">
        <v>327</v>
      </c>
      <c r="Q1334" s="51" t="s">
        <v>524</v>
      </c>
      <c r="R1334" s="51" t="s">
        <v>132</v>
      </c>
    </row>
    <row r="1335" spans="1:18" x14ac:dyDescent="0.25">
      <c r="A1335" s="13"/>
      <c r="B1335" s="13"/>
      <c r="L1335" s="52">
        <v>45762</v>
      </c>
      <c r="M1335" s="53">
        <v>0.46964120370370371</v>
      </c>
      <c r="N1335" s="51" t="s">
        <v>141</v>
      </c>
      <c r="O1335" s="51" t="s">
        <v>327</v>
      </c>
      <c r="Q1335" s="51" t="s">
        <v>524</v>
      </c>
      <c r="R1335" s="51" t="s">
        <v>132</v>
      </c>
    </row>
    <row r="1336" spans="1:18" x14ac:dyDescent="0.25">
      <c r="A1336" s="13"/>
      <c r="B1336" s="13"/>
      <c r="L1336" s="52">
        <v>45762</v>
      </c>
      <c r="M1336" s="53">
        <v>0.46964120370370371</v>
      </c>
      <c r="N1336" s="51" t="s">
        <v>142</v>
      </c>
      <c r="O1336" s="51" t="s">
        <v>327</v>
      </c>
      <c r="Q1336" s="51" t="s">
        <v>524</v>
      </c>
      <c r="R1336" s="51" t="s">
        <v>132</v>
      </c>
    </row>
    <row r="1337" spans="1:18" x14ac:dyDescent="0.25">
      <c r="A1337" s="13"/>
      <c r="B1337" s="13"/>
      <c r="L1337" s="52">
        <v>45762</v>
      </c>
      <c r="M1337" s="53">
        <v>0.46964120370370371</v>
      </c>
      <c r="N1337" s="51" t="s">
        <v>143</v>
      </c>
      <c r="O1337" s="51" t="s">
        <v>327</v>
      </c>
      <c r="Q1337" s="51" t="s">
        <v>524</v>
      </c>
      <c r="R1337" s="51" t="s">
        <v>132</v>
      </c>
    </row>
    <row r="1338" spans="1:18" x14ac:dyDescent="0.25">
      <c r="A1338" s="13"/>
      <c r="B1338" s="13"/>
      <c r="L1338" s="52">
        <v>45762</v>
      </c>
      <c r="M1338" s="53">
        <v>0.46964120370370371</v>
      </c>
      <c r="N1338" s="51" t="s">
        <v>144</v>
      </c>
      <c r="O1338" s="51" t="s">
        <v>327</v>
      </c>
      <c r="Q1338" s="51" t="s">
        <v>524</v>
      </c>
      <c r="R1338" s="51" t="s">
        <v>132</v>
      </c>
    </row>
    <row r="1339" spans="1:18" x14ac:dyDescent="0.25">
      <c r="A1339" s="13"/>
      <c r="B1339" s="13"/>
      <c r="L1339" s="52">
        <v>45762</v>
      </c>
      <c r="M1339" s="53">
        <v>0.46964120370370371</v>
      </c>
      <c r="N1339" s="51" t="s">
        <v>145</v>
      </c>
      <c r="O1339" s="51" t="s">
        <v>327</v>
      </c>
      <c r="Q1339" s="51" t="s">
        <v>524</v>
      </c>
      <c r="R1339" s="51" t="s">
        <v>132</v>
      </c>
    </row>
    <row r="1340" spans="1:18" x14ac:dyDescent="0.25">
      <c r="A1340" s="13"/>
      <c r="B1340" s="13"/>
      <c r="L1340" s="52">
        <v>45762</v>
      </c>
      <c r="M1340" s="53">
        <v>0.46964120370370371</v>
      </c>
      <c r="N1340" s="51" t="s">
        <v>146</v>
      </c>
      <c r="O1340" s="51" t="s">
        <v>327</v>
      </c>
      <c r="Q1340" s="51" t="s">
        <v>524</v>
      </c>
      <c r="R1340" s="51" t="s">
        <v>132</v>
      </c>
    </row>
    <row r="1341" spans="1:18" x14ac:dyDescent="0.25">
      <c r="A1341" s="13"/>
      <c r="B1341" s="13"/>
      <c r="L1341" s="52">
        <v>45762</v>
      </c>
      <c r="M1341" s="53">
        <v>0.46964120370370371</v>
      </c>
      <c r="N1341" s="51" t="s">
        <v>147</v>
      </c>
      <c r="O1341" s="51" t="s">
        <v>327</v>
      </c>
      <c r="Q1341" s="51" t="s">
        <v>524</v>
      </c>
      <c r="R1341" s="51" t="s">
        <v>132</v>
      </c>
    </row>
    <row r="1342" spans="1:18" x14ac:dyDescent="0.25">
      <c r="A1342" s="13"/>
      <c r="B1342" s="13"/>
      <c r="L1342" s="52">
        <v>45762</v>
      </c>
      <c r="M1342" s="53">
        <v>0.46964120370370371</v>
      </c>
      <c r="N1342" s="51" t="s">
        <v>148</v>
      </c>
      <c r="O1342" s="51" t="s">
        <v>327</v>
      </c>
      <c r="Q1342" s="51" t="s">
        <v>524</v>
      </c>
      <c r="R1342" s="51" t="s">
        <v>132</v>
      </c>
    </row>
    <row r="1343" spans="1:18" x14ac:dyDescent="0.25">
      <c r="A1343" s="13"/>
      <c r="B1343" s="13"/>
      <c r="L1343" s="52">
        <v>45762</v>
      </c>
      <c r="M1343" s="53">
        <v>0.46964120370370371</v>
      </c>
      <c r="N1343" s="51" t="s">
        <v>149</v>
      </c>
      <c r="O1343" s="51" t="s">
        <v>327</v>
      </c>
      <c r="Q1343" s="51" t="s">
        <v>524</v>
      </c>
      <c r="R1343" s="51" t="s">
        <v>132</v>
      </c>
    </row>
    <row r="1344" spans="1:18" x14ac:dyDescent="0.25">
      <c r="A1344" s="13"/>
      <c r="B1344" s="13"/>
      <c r="L1344" s="52">
        <v>45762</v>
      </c>
      <c r="M1344" s="53">
        <v>0.46964120370370371</v>
      </c>
      <c r="N1344" s="51" t="s">
        <v>150</v>
      </c>
      <c r="O1344" s="51" t="s">
        <v>327</v>
      </c>
      <c r="Q1344" s="51" t="s">
        <v>524</v>
      </c>
      <c r="R1344" s="51" t="s">
        <v>132</v>
      </c>
    </row>
    <row r="1345" spans="1:18" x14ac:dyDescent="0.25">
      <c r="A1345" s="13"/>
      <c r="B1345" s="13"/>
      <c r="L1345" s="52">
        <v>45762</v>
      </c>
      <c r="M1345" s="53">
        <v>0.46964120370370371</v>
      </c>
      <c r="N1345" s="51" t="s">
        <v>151</v>
      </c>
      <c r="O1345" s="51" t="s">
        <v>327</v>
      </c>
      <c r="Q1345" s="51" t="s">
        <v>524</v>
      </c>
      <c r="R1345" s="51" t="s">
        <v>132</v>
      </c>
    </row>
    <row r="1346" spans="1:18" x14ac:dyDescent="0.25">
      <c r="A1346" s="13"/>
      <c r="B1346" s="13"/>
      <c r="L1346" s="52">
        <v>45762</v>
      </c>
      <c r="M1346" s="53">
        <v>0.46964120370370371</v>
      </c>
      <c r="N1346" s="51" t="s">
        <v>152</v>
      </c>
      <c r="O1346" s="51" t="s">
        <v>327</v>
      </c>
      <c r="Q1346" s="51" t="s">
        <v>524</v>
      </c>
      <c r="R1346" s="51" t="s">
        <v>132</v>
      </c>
    </row>
    <row r="1347" spans="1:18" x14ac:dyDescent="0.25">
      <c r="A1347" s="13"/>
      <c r="B1347" s="13"/>
      <c r="L1347" s="52">
        <v>45762</v>
      </c>
      <c r="M1347" s="53">
        <v>0.46964120370370371</v>
      </c>
      <c r="N1347" s="51" t="s">
        <v>153</v>
      </c>
      <c r="O1347" s="51" t="s">
        <v>327</v>
      </c>
      <c r="Q1347" s="51" t="s">
        <v>524</v>
      </c>
      <c r="R1347" s="51" t="s">
        <v>132</v>
      </c>
    </row>
    <row r="1348" spans="1:18" x14ac:dyDescent="0.25">
      <c r="A1348" s="13"/>
      <c r="B1348" s="13"/>
      <c r="L1348" s="52">
        <v>45762</v>
      </c>
      <c r="M1348" s="53">
        <v>0.46964120370370371</v>
      </c>
      <c r="N1348" s="51" t="s">
        <v>154</v>
      </c>
      <c r="O1348" s="51" t="s">
        <v>327</v>
      </c>
      <c r="Q1348" s="51" t="s">
        <v>524</v>
      </c>
      <c r="R1348" s="51" t="s">
        <v>132</v>
      </c>
    </row>
    <row r="1349" spans="1:18" x14ac:dyDescent="0.25">
      <c r="A1349" s="13"/>
      <c r="B1349" s="13"/>
      <c r="L1349" s="52">
        <v>45762</v>
      </c>
      <c r="M1349" s="53">
        <v>0.46964120370370371</v>
      </c>
      <c r="N1349" s="51" t="s">
        <v>155</v>
      </c>
      <c r="O1349" s="51" t="s">
        <v>327</v>
      </c>
      <c r="Q1349" s="51" t="s">
        <v>524</v>
      </c>
      <c r="R1349" s="51" t="s">
        <v>132</v>
      </c>
    </row>
    <row r="1350" spans="1:18" x14ac:dyDescent="0.25">
      <c r="A1350" s="13"/>
      <c r="B1350" s="13"/>
      <c r="L1350" s="52">
        <v>45762</v>
      </c>
      <c r="M1350" s="53">
        <v>0.46964120370370371</v>
      </c>
      <c r="N1350" s="51" t="s">
        <v>156</v>
      </c>
      <c r="O1350" s="51" t="s">
        <v>327</v>
      </c>
      <c r="Q1350" s="51" t="s">
        <v>524</v>
      </c>
      <c r="R1350" s="51" t="s">
        <v>132</v>
      </c>
    </row>
    <row r="1351" spans="1:18" x14ac:dyDescent="0.25">
      <c r="A1351" s="13"/>
      <c r="B1351" s="13"/>
      <c r="L1351" s="52">
        <v>45762</v>
      </c>
      <c r="M1351" s="53">
        <v>0.46964120370370371</v>
      </c>
      <c r="N1351" s="51" t="s">
        <v>157</v>
      </c>
      <c r="O1351" s="51" t="s">
        <v>327</v>
      </c>
      <c r="P1351" s="51" t="s">
        <v>1157</v>
      </c>
      <c r="Q1351" s="51" t="s">
        <v>80</v>
      </c>
      <c r="R1351" s="51" t="s">
        <v>78</v>
      </c>
    </row>
    <row r="1352" spans="1:18" x14ac:dyDescent="0.25">
      <c r="A1352" s="13"/>
      <c r="B1352" s="13"/>
      <c r="L1352" s="52">
        <v>45762</v>
      </c>
      <c r="M1352" s="53">
        <v>0.46964120370370371</v>
      </c>
      <c r="N1352" s="51" t="s">
        <v>158</v>
      </c>
      <c r="O1352" s="51" t="s">
        <v>327</v>
      </c>
      <c r="P1352" s="51" t="s">
        <v>1158</v>
      </c>
      <c r="Q1352" s="51" t="s">
        <v>80</v>
      </c>
      <c r="R1352" s="51" t="s">
        <v>78</v>
      </c>
    </row>
    <row r="1353" spans="1:18" x14ac:dyDescent="0.25">
      <c r="A1353" s="13"/>
      <c r="B1353" s="13"/>
      <c r="L1353" s="52">
        <v>45762</v>
      </c>
      <c r="M1353" s="53">
        <v>0.46964120370370371</v>
      </c>
      <c r="N1353" s="51" t="s">
        <v>159</v>
      </c>
      <c r="O1353" s="51" t="s">
        <v>327</v>
      </c>
      <c r="P1353" s="51" t="s">
        <v>1159</v>
      </c>
      <c r="Q1353" s="51" t="s">
        <v>80</v>
      </c>
      <c r="R1353" s="51" t="s">
        <v>78</v>
      </c>
    </row>
    <row r="1354" spans="1:18" x14ac:dyDescent="0.25">
      <c r="A1354" s="13"/>
      <c r="B1354" s="13"/>
      <c r="L1354" s="52">
        <v>45762</v>
      </c>
      <c r="M1354" s="53">
        <v>0.46964120370370371</v>
      </c>
      <c r="N1354" s="51" t="s">
        <v>160</v>
      </c>
      <c r="O1354" s="51" t="s">
        <v>327</v>
      </c>
      <c r="P1354" s="51" t="s">
        <v>1160</v>
      </c>
      <c r="Q1354" s="51" t="s">
        <v>80</v>
      </c>
      <c r="R1354" s="51" t="s">
        <v>78</v>
      </c>
    </row>
    <row r="1355" spans="1:18" x14ac:dyDescent="0.25">
      <c r="A1355" s="13"/>
      <c r="B1355" s="13"/>
      <c r="L1355" s="52">
        <v>45762</v>
      </c>
      <c r="M1355" s="53">
        <v>0.46964120370370371</v>
      </c>
      <c r="N1355" s="51" t="s">
        <v>161</v>
      </c>
      <c r="O1355" s="51" t="s">
        <v>327</v>
      </c>
      <c r="P1355" s="51" t="s">
        <v>1161</v>
      </c>
      <c r="Q1355" s="51" t="s">
        <v>80</v>
      </c>
      <c r="R1355" s="51" t="s">
        <v>78</v>
      </c>
    </row>
    <row r="1356" spans="1:18" x14ac:dyDescent="0.25">
      <c r="A1356" s="13"/>
      <c r="B1356" s="13"/>
      <c r="L1356" s="52">
        <v>45762</v>
      </c>
      <c r="M1356" s="53">
        <v>0.46964120370370371</v>
      </c>
      <c r="N1356" s="51" t="s">
        <v>162</v>
      </c>
      <c r="O1356" s="51" t="s">
        <v>327</v>
      </c>
      <c r="P1356" s="51" t="s">
        <v>1162</v>
      </c>
      <c r="Q1356" s="51" t="s">
        <v>80</v>
      </c>
      <c r="R1356" s="51" t="s">
        <v>78</v>
      </c>
    </row>
    <row r="1357" spans="1:18" x14ac:dyDescent="0.25">
      <c r="A1357" s="13"/>
      <c r="B1357" s="13"/>
      <c r="L1357" s="52">
        <v>45762</v>
      </c>
      <c r="M1357" s="53">
        <v>0.46964120370370371</v>
      </c>
      <c r="N1357" s="51" t="s">
        <v>163</v>
      </c>
      <c r="O1357" s="51" t="s">
        <v>327</v>
      </c>
      <c r="Q1357" s="51" t="s">
        <v>524</v>
      </c>
      <c r="R1357" s="51" t="s">
        <v>132</v>
      </c>
    </row>
    <row r="1358" spans="1:18" x14ac:dyDescent="0.25">
      <c r="A1358" s="13"/>
      <c r="B1358" s="13"/>
      <c r="L1358" s="52">
        <v>45762</v>
      </c>
      <c r="M1358" s="53">
        <v>0.46964120370370371</v>
      </c>
      <c r="N1358" s="51" t="s">
        <v>164</v>
      </c>
      <c r="O1358" s="51" t="s">
        <v>327</v>
      </c>
      <c r="Q1358" s="51" t="s">
        <v>524</v>
      </c>
      <c r="R1358" s="51" t="s">
        <v>132</v>
      </c>
    </row>
    <row r="1359" spans="1:18" x14ac:dyDescent="0.25">
      <c r="A1359" s="13"/>
      <c r="B1359" s="13"/>
      <c r="L1359" s="52">
        <v>45762</v>
      </c>
      <c r="M1359" s="53">
        <v>0.46964120370370371</v>
      </c>
      <c r="N1359" s="51" t="s">
        <v>165</v>
      </c>
      <c r="O1359" s="51" t="s">
        <v>327</v>
      </c>
      <c r="Q1359" s="51" t="s">
        <v>524</v>
      </c>
      <c r="R1359" s="51" t="s">
        <v>132</v>
      </c>
    </row>
    <row r="1360" spans="1:18" x14ac:dyDescent="0.25">
      <c r="A1360" s="13"/>
      <c r="B1360" s="13"/>
      <c r="L1360" s="52">
        <v>45762</v>
      </c>
      <c r="M1360" s="53">
        <v>0.46964120370370371</v>
      </c>
      <c r="N1360" s="51" t="s">
        <v>166</v>
      </c>
      <c r="O1360" s="51" t="s">
        <v>327</v>
      </c>
      <c r="P1360" s="51" t="s">
        <v>1163</v>
      </c>
      <c r="Q1360" s="51" t="s">
        <v>80</v>
      </c>
      <c r="R1360" s="51" t="s">
        <v>78</v>
      </c>
    </row>
    <row r="1361" spans="1:18" x14ac:dyDescent="0.25">
      <c r="A1361" s="13"/>
      <c r="B1361" s="13"/>
      <c r="L1361" s="52">
        <v>45762</v>
      </c>
      <c r="M1361" s="53">
        <v>0.46964120370370371</v>
      </c>
      <c r="N1361" s="51" t="s">
        <v>167</v>
      </c>
      <c r="O1361" s="51" t="s">
        <v>327</v>
      </c>
      <c r="P1361" s="51" t="s">
        <v>1164</v>
      </c>
      <c r="Q1361" s="51" t="s">
        <v>80</v>
      </c>
      <c r="R1361" s="51" t="s">
        <v>78</v>
      </c>
    </row>
    <row r="1362" spans="1:18" x14ac:dyDescent="0.25">
      <c r="A1362" s="13"/>
      <c r="B1362" s="13"/>
      <c r="L1362" s="52">
        <v>45762</v>
      </c>
      <c r="M1362" s="53">
        <v>0.46964120370370371</v>
      </c>
      <c r="N1362" s="51" t="s">
        <v>168</v>
      </c>
      <c r="O1362" s="51" t="s">
        <v>327</v>
      </c>
      <c r="P1362" s="51" t="s">
        <v>1165</v>
      </c>
      <c r="Q1362" s="51" t="s">
        <v>80</v>
      </c>
      <c r="R1362" s="51" t="s">
        <v>78</v>
      </c>
    </row>
    <row r="1363" spans="1:18" x14ac:dyDescent="0.25">
      <c r="A1363" s="13"/>
      <c r="B1363" s="13"/>
      <c r="L1363" s="52">
        <v>45762</v>
      </c>
      <c r="M1363" s="53">
        <v>0.46964120370370371</v>
      </c>
      <c r="N1363" s="51" t="s">
        <v>169</v>
      </c>
      <c r="O1363" s="51" t="s">
        <v>327</v>
      </c>
      <c r="P1363" s="51" t="s">
        <v>1166</v>
      </c>
      <c r="Q1363" s="51" t="s">
        <v>80</v>
      </c>
      <c r="R1363" s="51" t="s">
        <v>78</v>
      </c>
    </row>
    <row r="1364" spans="1:18" x14ac:dyDescent="0.25">
      <c r="A1364" s="13"/>
      <c r="B1364" s="13"/>
      <c r="L1364" s="52">
        <v>45762</v>
      </c>
      <c r="M1364" s="53">
        <v>0.46964120370370371</v>
      </c>
      <c r="N1364" s="51" t="s">
        <v>170</v>
      </c>
      <c r="O1364" s="51" t="s">
        <v>327</v>
      </c>
      <c r="P1364" s="51" t="s">
        <v>1167</v>
      </c>
      <c r="Q1364" s="51" t="s">
        <v>80</v>
      </c>
      <c r="R1364" s="51" t="s">
        <v>78</v>
      </c>
    </row>
    <row r="1365" spans="1:18" x14ac:dyDescent="0.25">
      <c r="A1365" s="13"/>
      <c r="B1365" s="13"/>
      <c r="L1365" s="52">
        <v>45762</v>
      </c>
      <c r="M1365" s="53">
        <v>0.46964120370370371</v>
      </c>
      <c r="N1365" s="51" t="s">
        <v>171</v>
      </c>
      <c r="O1365" s="51" t="s">
        <v>327</v>
      </c>
      <c r="P1365" s="51" t="s">
        <v>1168</v>
      </c>
      <c r="Q1365" s="51" t="s">
        <v>80</v>
      </c>
      <c r="R1365" s="51" t="s">
        <v>78</v>
      </c>
    </row>
    <row r="1366" spans="1:18" x14ac:dyDescent="0.25">
      <c r="A1366" s="13"/>
      <c r="B1366" s="13"/>
      <c r="L1366" s="52">
        <v>45762</v>
      </c>
      <c r="M1366" s="53">
        <v>0.46964120370370371</v>
      </c>
      <c r="N1366" s="51" t="s">
        <v>172</v>
      </c>
      <c r="O1366" s="51" t="s">
        <v>327</v>
      </c>
      <c r="Q1366" s="51" t="s">
        <v>524</v>
      </c>
      <c r="R1366" s="51" t="s">
        <v>132</v>
      </c>
    </row>
    <row r="1367" spans="1:18" x14ac:dyDescent="0.25">
      <c r="A1367" s="13"/>
      <c r="B1367" s="13"/>
      <c r="L1367" s="52">
        <v>45762</v>
      </c>
      <c r="M1367" s="53">
        <v>0.46964120370370371</v>
      </c>
      <c r="N1367" s="51" t="s">
        <v>173</v>
      </c>
      <c r="O1367" s="51" t="s">
        <v>327</v>
      </c>
      <c r="Q1367" s="51" t="s">
        <v>524</v>
      </c>
      <c r="R1367" s="51" t="s">
        <v>132</v>
      </c>
    </row>
    <row r="1368" spans="1:18" x14ac:dyDescent="0.25">
      <c r="A1368" s="13"/>
      <c r="B1368" s="13"/>
      <c r="L1368" s="52">
        <v>45762</v>
      </c>
      <c r="M1368" s="53">
        <v>0.46964120370370371</v>
      </c>
      <c r="N1368" s="51" t="s">
        <v>174</v>
      </c>
      <c r="O1368" s="51" t="s">
        <v>327</v>
      </c>
      <c r="Q1368" s="51" t="s">
        <v>524</v>
      </c>
      <c r="R1368" s="51" t="s">
        <v>132</v>
      </c>
    </row>
    <row r="1369" spans="1:18" x14ac:dyDescent="0.25">
      <c r="A1369" s="13"/>
      <c r="B1369" s="13"/>
      <c r="L1369" s="52">
        <v>45762</v>
      </c>
      <c r="M1369" s="53">
        <v>0.46964120370370371</v>
      </c>
      <c r="N1369" s="51" t="s">
        <v>175</v>
      </c>
      <c r="O1369" s="51" t="s">
        <v>327</v>
      </c>
      <c r="Q1369" s="51" t="s">
        <v>524</v>
      </c>
      <c r="R1369" s="51" t="s">
        <v>132</v>
      </c>
    </row>
    <row r="1370" spans="1:18" x14ac:dyDescent="0.25">
      <c r="A1370" s="13"/>
      <c r="B1370" s="13"/>
      <c r="L1370" s="52">
        <v>45762</v>
      </c>
      <c r="M1370" s="53">
        <v>0.46964120370370371</v>
      </c>
      <c r="N1370" s="51" t="s">
        <v>176</v>
      </c>
      <c r="O1370" s="51" t="s">
        <v>327</v>
      </c>
      <c r="Q1370" s="51" t="s">
        <v>524</v>
      </c>
      <c r="R1370" s="51" t="s">
        <v>132</v>
      </c>
    </row>
    <row r="1371" spans="1:18" x14ac:dyDescent="0.25">
      <c r="A1371" s="13"/>
      <c r="B1371" s="13"/>
      <c r="L1371" s="52">
        <v>45762</v>
      </c>
      <c r="M1371" s="53">
        <v>0.46964120370370371</v>
      </c>
      <c r="N1371" s="51" t="s">
        <v>177</v>
      </c>
      <c r="O1371" s="51" t="s">
        <v>327</v>
      </c>
      <c r="Q1371" s="51" t="s">
        <v>524</v>
      </c>
      <c r="R1371" s="51" t="s">
        <v>132</v>
      </c>
    </row>
    <row r="1372" spans="1:18" x14ac:dyDescent="0.25">
      <c r="A1372" s="13"/>
      <c r="B1372" s="13"/>
      <c r="L1372" s="52">
        <v>45762</v>
      </c>
      <c r="M1372" s="53">
        <v>0.46964120370370371</v>
      </c>
      <c r="N1372" s="51" t="s">
        <v>177</v>
      </c>
      <c r="O1372" s="51" t="s">
        <v>327</v>
      </c>
      <c r="Q1372" s="51" t="s">
        <v>524</v>
      </c>
      <c r="R1372" s="51" t="s">
        <v>132</v>
      </c>
    </row>
    <row r="1373" spans="1:18" x14ac:dyDescent="0.25">
      <c r="A1373" s="13"/>
      <c r="B1373" s="13"/>
      <c r="L1373" s="52">
        <v>45762</v>
      </c>
      <c r="M1373" s="53">
        <v>0.46964120370370371</v>
      </c>
      <c r="N1373" s="51" t="s">
        <v>178</v>
      </c>
      <c r="O1373" s="51" t="s">
        <v>327</v>
      </c>
      <c r="Q1373" s="51" t="s">
        <v>524</v>
      </c>
      <c r="R1373" s="51" t="s">
        <v>132</v>
      </c>
    </row>
    <row r="1374" spans="1:18" x14ac:dyDescent="0.25">
      <c r="A1374" s="13"/>
      <c r="B1374" s="13"/>
      <c r="L1374" s="52">
        <v>45762</v>
      </c>
      <c r="M1374" s="53">
        <v>0.46964120370370371</v>
      </c>
      <c r="N1374" s="51" t="s">
        <v>178</v>
      </c>
      <c r="O1374" s="51" t="s">
        <v>327</v>
      </c>
      <c r="Q1374" s="51" t="s">
        <v>524</v>
      </c>
      <c r="R1374" s="51" t="s">
        <v>132</v>
      </c>
    </row>
    <row r="1375" spans="1:18" x14ac:dyDescent="0.25">
      <c r="A1375" s="13"/>
      <c r="B1375" s="13"/>
      <c r="L1375" s="52">
        <v>45762</v>
      </c>
      <c r="M1375" s="53">
        <v>0.46964120370370371</v>
      </c>
      <c r="N1375" s="51" t="s">
        <v>179</v>
      </c>
      <c r="O1375" s="51" t="s">
        <v>327</v>
      </c>
      <c r="Q1375" s="51" t="s">
        <v>524</v>
      </c>
      <c r="R1375" s="51" t="s">
        <v>132</v>
      </c>
    </row>
    <row r="1376" spans="1:18" x14ac:dyDescent="0.25">
      <c r="A1376" s="13"/>
      <c r="B1376" s="13"/>
      <c r="L1376" s="52">
        <v>45762</v>
      </c>
      <c r="M1376" s="53">
        <v>0.46964120370370371</v>
      </c>
      <c r="N1376" s="51" t="s">
        <v>180</v>
      </c>
      <c r="O1376" s="51" t="s">
        <v>327</v>
      </c>
      <c r="Q1376" s="51" t="s">
        <v>524</v>
      </c>
      <c r="R1376" s="51" t="s">
        <v>132</v>
      </c>
    </row>
    <row r="1377" spans="1:18" x14ac:dyDescent="0.25">
      <c r="A1377" s="13"/>
      <c r="B1377" s="13"/>
      <c r="L1377" s="52">
        <v>45762</v>
      </c>
      <c r="M1377" s="53">
        <v>0.46964120370370371</v>
      </c>
      <c r="N1377" s="51" t="s">
        <v>181</v>
      </c>
      <c r="O1377" s="51" t="s">
        <v>327</v>
      </c>
      <c r="P1377" s="51" t="s">
        <v>1169</v>
      </c>
      <c r="Q1377" s="51" t="s">
        <v>80</v>
      </c>
      <c r="R1377" s="51" t="s">
        <v>78</v>
      </c>
    </row>
    <row r="1378" spans="1:18" x14ac:dyDescent="0.25">
      <c r="A1378" s="13"/>
      <c r="B1378" s="13"/>
      <c r="L1378" s="52">
        <v>45762</v>
      </c>
      <c r="M1378" s="53">
        <v>0.46964120370370371</v>
      </c>
      <c r="N1378" s="51" t="s">
        <v>182</v>
      </c>
      <c r="O1378" s="51" t="s">
        <v>327</v>
      </c>
      <c r="Q1378" s="51" t="s">
        <v>524</v>
      </c>
      <c r="R1378" s="51" t="s">
        <v>132</v>
      </c>
    </row>
    <row r="1379" spans="1:18" x14ac:dyDescent="0.25">
      <c r="A1379" s="13"/>
      <c r="B1379" s="13"/>
      <c r="L1379" s="52">
        <v>45762</v>
      </c>
      <c r="M1379" s="53">
        <v>0.46964120370370371</v>
      </c>
      <c r="N1379" s="51" t="s">
        <v>183</v>
      </c>
      <c r="O1379" s="51" t="s">
        <v>327</v>
      </c>
      <c r="Q1379" s="51" t="s">
        <v>524</v>
      </c>
      <c r="R1379" s="51" t="s">
        <v>132</v>
      </c>
    </row>
    <row r="1380" spans="1:18" x14ac:dyDescent="0.25">
      <c r="A1380" s="13"/>
      <c r="B1380" s="13"/>
      <c r="L1380" s="52">
        <v>45762</v>
      </c>
      <c r="M1380" s="53">
        <v>0.46964120370370371</v>
      </c>
      <c r="N1380" s="51" t="s">
        <v>184</v>
      </c>
      <c r="O1380" s="51" t="s">
        <v>327</v>
      </c>
      <c r="P1380" s="51" t="s">
        <v>1170</v>
      </c>
      <c r="Q1380" s="51" t="s">
        <v>80</v>
      </c>
      <c r="R1380" s="51" t="s">
        <v>78</v>
      </c>
    </row>
    <row r="1381" spans="1:18" x14ac:dyDescent="0.25">
      <c r="A1381" s="13"/>
      <c r="B1381" s="13"/>
      <c r="L1381" s="52">
        <v>45762</v>
      </c>
      <c r="M1381" s="53">
        <v>0.46964120370370371</v>
      </c>
      <c r="N1381" s="51" t="s">
        <v>185</v>
      </c>
      <c r="O1381" s="51" t="s">
        <v>327</v>
      </c>
      <c r="P1381" s="51" t="s">
        <v>1171</v>
      </c>
      <c r="Q1381" s="51" t="s">
        <v>80</v>
      </c>
      <c r="R1381" s="51" t="s">
        <v>78</v>
      </c>
    </row>
    <row r="1382" spans="1:18" x14ac:dyDescent="0.25">
      <c r="A1382" s="13"/>
      <c r="B1382" s="13"/>
      <c r="L1382" s="52">
        <v>45762</v>
      </c>
      <c r="M1382" s="53">
        <v>0.46964120370370371</v>
      </c>
      <c r="N1382" s="51" t="s">
        <v>186</v>
      </c>
      <c r="O1382" s="51" t="s">
        <v>327</v>
      </c>
      <c r="P1382" s="51" t="s">
        <v>1172</v>
      </c>
      <c r="Q1382" s="51" t="s">
        <v>80</v>
      </c>
      <c r="R1382" s="51" t="s">
        <v>78</v>
      </c>
    </row>
    <row r="1383" spans="1:18" x14ac:dyDescent="0.25">
      <c r="A1383" s="13"/>
      <c r="B1383" s="13"/>
      <c r="L1383" s="52">
        <v>45762</v>
      </c>
      <c r="M1383" s="53">
        <v>0.46964120370370371</v>
      </c>
      <c r="N1383" s="51" t="s">
        <v>187</v>
      </c>
      <c r="O1383" s="51" t="s">
        <v>327</v>
      </c>
      <c r="P1383" s="51" t="s">
        <v>1173</v>
      </c>
      <c r="Q1383" s="51" t="s">
        <v>80</v>
      </c>
      <c r="R1383" s="51" t="s">
        <v>78</v>
      </c>
    </row>
    <row r="1384" spans="1:18" x14ac:dyDescent="0.25">
      <c r="A1384" s="13"/>
      <c r="B1384" s="13"/>
      <c r="L1384" s="52">
        <v>45762</v>
      </c>
      <c r="M1384" s="53">
        <v>0.46964120370370371</v>
      </c>
      <c r="N1384" s="51" t="s">
        <v>188</v>
      </c>
      <c r="O1384" s="51" t="s">
        <v>327</v>
      </c>
      <c r="P1384" s="51" t="s">
        <v>1174</v>
      </c>
      <c r="Q1384" s="51" t="s">
        <v>80</v>
      </c>
      <c r="R1384" s="51" t="s">
        <v>78</v>
      </c>
    </row>
    <row r="1385" spans="1:18" x14ac:dyDescent="0.25">
      <c r="A1385" s="13"/>
      <c r="B1385" s="13"/>
      <c r="L1385" s="52">
        <v>45762</v>
      </c>
      <c r="M1385" s="53">
        <v>0.46964120370370371</v>
      </c>
      <c r="N1385" s="51" t="s">
        <v>189</v>
      </c>
      <c r="O1385" s="51" t="s">
        <v>327</v>
      </c>
      <c r="P1385" s="51" t="s">
        <v>1175</v>
      </c>
      <c r="Q1385" s="51" t="s">
        <v>80</v>
      </c>
      <c r="R1385" s="51" t="s">
        <v>78</v>
      </c>
    </row>
    <row r="1386" spans="1:18" x14ac:dyDescent="0.25">
      <c r="A1386" s="13"/>
      <c r="B1386" s="13"/>
      <c r="L1386" s="52">
        <v>45762</v>
      </c>
      <c r="M1386" s="53">
        <v>0.46964120370370371</v>
      </c>
      <c r="N1386" s="51" t="s">
        <v>190</v>
      </c>
      <c r="O1386" s="51" t="s">
        <v>327</v>
      </c>
      <c r="P1386" s="51" t="s">
        <v>1176</v>
      </c>
      <c r="Q1386" s="51" t="s">
        <v>80</v>
      </c>
      <c r="R1386" s="51" t="s">
        <v>78</v>
      </c>
    </row>
    <row r="1387" spans="1:18" x14ac:dyDescent="0.25">
      <c r="A1387" s="13"/>
      <c r="B1387" s="13"/>
      <c r="L1387" s="52">
        <v>45762</v>
      </c>
      <c r="M1387" s="53">
        <v>0.46964120370370371</v>
      </c>
      <c r="N1387" s="51" t="s">
        <v>191</v>
      </c>
      <c r="O1387" s="51" t="s">
        <v>327</v>
      </c>
      <c r="P1387" s="51" t="s">
        <v>1177</v>
      </c>
      <c r="Q1387" s="51" t="s">
        <v>80</v>
      </c>
      <c r="R1387" s="51" t="s">
        <v>78</v>
      </c>
    </row>
    <row r="1388" spans="1:18" x14ac:dyDescent="0.25">
      <c r="A1388" s="13"/>
      <c r="B1388" s="13"/>
      <c r="L1388" s="52">
        <v>45762</v>
      </c>
      <c r="M1388" s="53">
        <v>0.46964120370370371</v>
      </c>
      <c r="N1388" s="51" t="s">
        <v>192</v>
      </c>
      <c r="O1388" s="51" t="s">
        <v>327</v>
      </c>
      <c r="Q1388" s="51" t="s">
        <v>524</v>
      </c>
      <c r="R1388" s="51" t="s">
        <v>132</v>
      </c>
    </row>
    <row r="1389" spans="1:18" x14ac:dyDescent="0.25">
      <c r="A1389" s="13"/>
      <c r="B1389" s="13"/>
      <c r="L1389" s="52">
        <v>45762</v>
      </c>
      <c r="M1389" s="53">
        <v>0.46964120370370371</v>
      </c>
      <c r="N1389" s="51" t="s">
        <v>193</v>
      </c>
      <c r="O1389" s="51" t="s">
        <v>327</v>
      </c>
      <c r="P1389" s="51" t="s">
        <v>1178</v>
      </c>
      <c r="Q1389" s="51" t="s">
        <v>80</v>
      </c>
      <c r="R1389" s="51" t="s">
        <v>78</v>
      </c>
    </row>
    <row r="1390" spans="1:18" x14ac:dyDescent="0.25">
      <c r="A1390" s="13"/>
      <c r="B1390" s="13"/>
      <c r="L1390" s="52">
        <v>45762</v>
      </c>
      <c r="M1390" s="53">
        <v>0.46964120370370371</v>
      </c>
      <c r="N1390" s="51" t="s">
        <v>194</v>
      </c>
      <c r="O1390" s="51" t="s">
        <v>327</v>
      </c>
      <c r="P1390" s="51" t="s">
        <v>1179</v>
      </c>
      <c r="Q1390" s="51" t="s">
        <v>80</v>
      </c>
      <c r="R1390" s="51" t="s">
        <v>78</v>
      </c>
    </row>
    <row r="1391" spans="1:18" x14ac:dyDescent="0.25">
      <c r="A1391" s="13"/>
      <c r="B1391" s="13"/>
      <c r="L1391" s="52">
        <v>45762</v>
      </c>
      <c r="M1391" s="53">
        <v>0.46964120370370371</v>
      </c>
      <c r="N1391" s="51" t="s">
        <v>195</v>
      </c>
      <c r="O1391" s="51" t="s">
        <v>327</v>
      </c>
      <c r="Q1391" s="51" t="s">
        <v>524</v>
      </c>
      <c r="R1391" s="51" t="s">
        <v>132</v>
      </c>
    </row>
    <row r="1392" spans="1:18" x14ac:dyDescent="0.25">
      <c r="A1392" s="13"/>
      <c r="B1392" s="13"/>
      <c r="L1392" s="52">
        <v>45762</v>
      </c>
      <c r="M1392" s="53">
        <v>0.46964120370370371</v>
      </c>
      <c r="N1392" s="51" t="s">
        <v>196</v>
      </c>
      <c r="O1392" s="51" t="s">
        <v>327</v>
      </c>
      <c r="P1392" s="51" t="s">
        <v>1180</v>
      </c>
      <c r="Q1392" s="51" t="s">
        <v>80</v>
      </c>
      <c r="R1392" s="51" t="s">
        <v>78</v>
      </c>
    </row>
    <row r="1393" spans="1:18" x14ac:dyDescent="0.25">
      <c r="A1393" s="13"/>
      <c r="B1393" s="13"/>
      <c r="L1393" s="52">
        <v>45762</v>
      </c>
      <c r="M1393" s="53">
        <v>0.46964120370370371</v>
      </c>
      <c r="N1393" s="51" t="s">
        <v>197</v>
      </c>
      <c r="O1393" s="51" t="s">
        <v>327</v>
      </c>
      <c r="P1393" s="51" t="s">
        <v>1181</v>
      </c>
      <c r="Q1393" s="51" t="s">
        <v>80</v>
      </c>
      <c r="R1393" s="51" t="s">
        <v>78</v>
      </c>
    </row>
    <row r="1394" spans="1:18" x14ac:dyDescent="0.25">
      <c r="A1394" s="13"/>
      <c r="B1394" s="13"/>
      <c r="L1394" s="52">
        <v>45762</v>
      </c>
      <c r="M1394" s="53">
        <v>0.46964120370370371</v>
      </c>
      <c r="N1394" s="51" t="s">
        <v>198</v>
      </c>
      <c r="O1394" s="51" t="s">
        <v>327</v>
      </c>
      <c r="P1394" s="51" t="s">
        <v>129</v>
      </c>
      <c r="Q1394" s="51" t="s">
        <v>80</v>
      </c>
      <c r="R1394" s="51" t="s">
        <v>78</v>
      </c>
    </row>
    <row r="1395" spans="1:18" x14ac:dyDescent="0.25">
      <c r="A1395" s="13"/>
      <c r="B1395" s="13"/>
      <c r="L1395" s="52">
        <v>45762</v>
      </c>
      <c r="M1395" s="53">
        <v>0.46964120370370371</v>
      </c>
      <c r="N1395" s="51" t="s">
        <v>199</v>
      </c>
      <c r="O1395" s="51" t="s">
        <v>327</v>
      </c>
      <c r="P1395" s="51" t="s">
        <v>1182</v>
      </c>
      <c r="Q1395" s="51" t="s">
        <v>80</v>
      </c>
      <c r="R1395" s="51" t="s">
        <v>78</v>
      </c>
    </row>
    <row r="1396" spans="1:18" x14ac:dyDescent="0.25">
      <c r="A1396" s="13"/>
      <c r="B1396" s="13"/>
      <c r="L1396" s="52">
        <v>45762</v>
      </c>
      <c r="M1396" s="53">
        <v>0.46964120370370371</v>
      </c>
      <c r="N1396" s="51" t="s">
        <v>200</v>
      </c>
      <c r="O1396" s="51" t="s">
        <v>327</v>
      </c>
      <c r="P1396" s="51" t="s">
        <v>1183</v>
      </c>
      <c r="Q1396" s="51" t="s">
        <v>80</v>
      </c>
      <c r="R1396" s="51" t="s">
        <v>78</v>
      </c>
    </row>
    <row r="1397" spans="1:18" x14ac:dyDescent="0.25">
      <c r="A1397" s="13"/>
      <c r="B1397" s="13"/>
      <c r="L1397" s="52">
        <v>45762</v>
      </c>
      <c r="M1397" s="53">
        <v>0.46964120370370371</v>
      </c>
      <c r="N1397" s="51" t="s">
        <v>201</v>
      </c>
      <c r="O1397" s="51" t="s">
        <v>327</v>
      </c>
      <c r="P1397" s="51" t="s">
        <v>1184</v>
      </c>
      <c r="Q1397" s="51" t="s">
        <v>80</v>
      </c>
      <c r="R1397" s="51" t="s">
        <v>78</v>
      </c>
    </row>
    <row r="1398" spans="1:18" x14ac:dyDescent="0.25">
      <c r="A1398" s="13"/>
      <c r="B1398" s="13"/>
      <c r="L1398" s="52">
        <v>45762</v>
      </c>
      <c r="M1398" s="53">
        <v>0.46964120370370371</v>
      </c>
      <c r="N1398" s="51" t="s">
        <v>202</v>
      </c>
      <c r="O1398" s="51" t="s">
        <v>327</v>
      </c>
      <c r="P1398" s="51" t="s">
        <v>1185</v>
      </c>
      <c r="Q1398" s="51" t="s">
        <v>80</v>
      </c>
      <c r="R1398" s="51" t="s">
        <v>78</v>
      </c>
    </row>
    <row r="1399" spans="1:18" x14ac:dyDescent="0.25">
      <c r="A1399" s="13"/>
      <c r="B1399" s="13"/>
      <c r="L1399" s="52">
        <v>45762</v>
      </c>
      <c r="M1399" s="53">
        <v>0.46964120370370371</v>
      </c>
      <c r="N1399" s="51" t="s">
        <v>203</v>
      </c>
      <c r="O1399" s="51" t="s">
        <v>327</v>
      </c>
      <c r="P1399" s="51" t="s">
        <v>1186</v>
      </c>
      <c r="Q1399" s="51" t="s">
        <v>80</v>
      </c>
      <c r="R1399" s="51" t="s">
        <v>78</v>
      </c>
    </row>
    <row r="1400" spans="1:18" x14ac:dyDescent="0.25">
      <c r="A1400" s="13"/>
      <c r="B1400" s="13"/>
      <c r="L1400" s="52">
        <v>45762</v>
      </c>
      <c r="M1400" s="53">
        <v>0.46964120370370371</v>
      </c>
      <c r="N1400" s="51" t="s">
        <v>204</v>
      </c>
      <c r="O1400" s="51" t="s">
        <v>327</v>
      </c>
      <c r="P1400" s="51" t="s">
        <v>1187</v>
      </c>
      <c r="Q1400" s="51" t="s">
        <v>80</v>
      </c>
      <c r="R1400" s="51" t="s">
        <v>78</v>
      </c>
    </row>
    <row r="1401" spans="1:18" x14ac:dyDescent="0.25">
      <c r="A1401" s="13"/>
      <c r="B1401" s="13"/>
      <c r="L1401" s="52">
        <v>45762</v>
      </c>
      <c r="M1401" s="53">
        <v>0.46964120370370371</v>
      </c>
      <c r="N1401" s="51" t="s">
        <v>205</v>
      </c>
      <c r="O1401" s="51" t="s">
        <v>327</v>
      </c>
      <c r="P1401" s="51" t="s">
        <v>1188</v>
      </c>
      <c r="Q1401" s="51" t="s">
        <v>80</v>
      </c>
      <c r="R1401" s="51" t="s">
        <v>78</v>
      </c>
    </row>
    <row r="1402" spans="1:18" x14ac:dyDescent="0.25">
      <c r="A1402" s="13"/>
      <c r="B1402" s="13"/>
      <c r="L1402" s="52">
        <v>45762</v>
      </c>
      <c r="M1402" s="53">
        <v>0.46964120370370371</v>
      </c>
      <c r="N1402" s="51" t="s">
        <v>206</v>
      </c>
      <c r="O1402" s="51" t="s">
        <v>327</v>
      </c>
      <c r="P1402" s="51" t="s">
        <v>1189</v>
      </c>
      <c r="Q1402" s="51" t="s">
        <v>80</v>
      </c>
      <c r="R1402" s="51" t="s">
        <v>78</v>
      </c>
    </row>
    <row r="1403" spans="1:18" x14ac:dyDescent="0.25">
      <c r="A1403" s="13"/>
      <c r="B1403" s="13"/>
      <c r="L1403" s="52">
        <v>45762</v>
      </c>
      <c r="M1403" s="53">
        <v>0.46964120370370371</v>
      </c>
      <c r="N1403" s="51" t="s">
        <v>207</v>
      </c>
      <c r="O1403" s="51" t="s">
        <v>327</v>
      </c>
      <c r="P1403" s="51" t="s">
        <v>1190</v>
      </c>
      <c r="Q1403" s="51" t="s">
        <v>80</v>
      </c>
      <c r="R1403" s="51" t="s">
        <v>78</v>
      </c>
    </row>
    <row r="1404" spans="1:18" x14ac:dyDescent="0.25">
      <c r="A1404" s="13"/>
      <c r="B1404" s="13"/>
      <c r="L1404" s="52">
        <v>45762</v>
      </c>
      <c r="M1404" s="53">
        <v>0.46964120370370371</v>
      </c>
      <c r="N1404" s="51" t="s">
        <v>208</v>
      </c>
      <c r="O1404" s="51" t="s">
        <v>327</v>
      </c>
      <c r="P1404" s="51" t="s">
        <v>1191</v>
      </c>
      <c r="Q1404" s="51" t="s">
        <v>80</v>
      </c>
      <c r="R1404" s="51" t="s">
        <v>78</v>
      </c>
    </row>
    <row r="1405" spans="1:18" x14ac:dyDescent="0.25">
      <c r="A1405" s="13"/>
      <c r="B1405" s="13"/>
      <c r="L1405" s="52">
        <v>45762</v>
      </c>
      <c r="M1405" s="53">
        <v>0.46964120370370371</v>
      </c>
      <c r="N1405" s="51" t="s">
        <v>209</v>
      </c>
      <c r="O1405" s="51" t="s">
        <v>327</v>
      </c>
      <c r="P1405" s="51" t="s">
        <v>1192</v>
      </c>
      <c r="Q1405" s="51" t="s">
        <v>80</v>
      </c>
      <c r="R1405" s="51" t="s">
        <v>78</v>
      </c>
    </row>
    <row r="1406" spans="1:18" x14ac:dyDescent="0.25">
      <c r="A1406" s="13"/>
      <c r="B1406" s="13"/>
      <c r="L1406" s="52">
        <v>45762</v>
      </c>
      <c r="M1406" s="53">
        <v>0.46964120370370371</v>
      </c>
      <c r="N1406" s="51" t="s">
        <v>210</v>
      </c>
      <c r="O1406" s="51" t="s">
        <v>327</v>
      </c>
      <c r="P1406" s="51" t="s">
        <v>1193</v>
      </c>
      <c r="Q1406" s="51" t="s">
        <v>80</v>
      </c>
      <c r="R1406" s="51" t="s">
        <v>78</v>
      </c>
    </row>
    <row r="1407" spans="1:18" x14ac:dyDescent="0.25">
      <c r="A1407" s="13"/>
      <c r="B1407" s="13"/>
      <c r="L1407" s="52">
        <v>45762</v>
      </c>
      <c r="M1407" s="53">
        <v>0.46964120370370371</v>
      </c>
      <c r="N1407" s="51" t="s">
        <v>211</v>
      </c>
      <c r="O1407" s="51" t="s">
        <v>327</v>
      </c>
      <c r="P1407" s="51" t="s">
        <v>124</v>
      </c>
      <c r="Q1407" s="51" t="s">
        <v>80</v>
      </c>
      <c r="R1407" s="51" t="s">
        <v>78</v>
      </c>
    </row>
    <row r="1408" spans="1:18" x14ac:dyDescent="0.25">
      <c r="A1408" s="13"/>
      <c r="B1408" s="13"/>
      <c r="L1408" s="52">
        <v>45762</v>
      </c>
      <c r="M1408" s="53">
        <v>0.46964120370370371</v>
      </c>
      <c r="N1408" s="51" t="s">
        <v>212</v>
      </c>
      <c r="O1408" s="51" t="s">
        <v>327</v>
      </c>
      <c r="P1408" s="51" t="s">
        <v>125</v>
      </c>
      <c r="Q1408" s="51" t="s">
        <v>80</v>
      </c>
      <c r="R1408" s="51" t="s">
        <v>78</v>
      </c>
    </row>
    <row r="1409" spans="1:18" x14ac:dyDescent="0.25">
      <c r="A1409" s="13"/>
      <c r="B1409" s="13"/>
      <c r="L1409" s="52">
        <v>45762</v>
      </c>
      <c r="M1409" s="53">
        <v>0.46964120370370371</v>
      </c>
      <c r="N1409" s="51" t="s">
        <v>213</v>
      </c>
      <c r="O1409" s="51" t="s">
        <v>327</v>
      </c>
      <c r="P1409" s="51" t="s">
        <v>126</v>
      </c>
      <c r="Q1409" s="51" t="s">
        <v>80</v>
      </c>
      <c r="R1409" s="51" t="s">
        <v>78</v>
      </c>
    </row>
    <row r="1410" spans="1:18" x14ac:dyDescent="0.25">
      <c r="A1410" s="13"/>
      <c r="B1410" s="13"/>
      <c r="L1410" s="52">
        <v>45762</v>
      </c>
      <c r="M1410" s="53">
        <v>0.46964120370370371</v>
      </c>
      <c r="N1410" s="51" t="s">
        <v>214</v>
      </c>
      <c r="O1410" s="51" t="s">
        <v>327</v>
      </c>
      <c r="P1410" s="51" t="s">
        <v>127</v>
      </c>
      <c r="Q1410" s="51" t="s">
        <v>80</v>
      </c>
      <c r="R1410" s="51" t="s">
        <v>78</v>
      </c>
    </row>
    <row r="1411" spans="1:18" x14ac:dyDescent="0.25">
      <c r="A1411" s="13"/>
      <c r="B1411" s="13"/>
      <c r="L1411" s="52">
        <v>45762</v>
      </c>
      <c r="M1411" s="53">
        <v>0.46964120370370371</v>
      </c>
      <c r="N1411" s="51" t="s">
        <v>215</v>
      </c>
      <c r="O1411" s="51" t="s">
        <v>327</v>
      </c>
      <c r="P1411" s="51" t="s">
        <v>128</v>
      </c>
      <c r="Q1411" s="51" t="s">
        <v>80</v>
      </c>
      <c r="R1411" s="51" t="s">
        <v>78</v>
      </c>
    </row>
    <row r="1412" spans="1:18" x14ac:dyDescent="0.25">
      <c r="A1412" s="13"/>
      <c r="B1412" s="13"/>
      <c r="L1412" s="52">
        <v>45762</v>
      </c>
      <c r="M1412" s="53">
        <v>0.46964120370370371</v>
      </c>
      <c r="N1412" s="51" t="s">
        <v>216</v>
      </c>
      <c r="O1412" s="51" t="s">
        <v>327</v>
      </c>
      <c r="P1412" s="51" t="s">
        <v>1194</v>
      </c>
      <c r="Q1412" s="51" t="s">
        <v>80</v>
      </c>
      <c r="R1412" s="51" t="s">
        <v>78</v>
      </c>
    </row>
    <row r="1413" spans="1:18" x14ac:dyDescent="0.25">
      <c r="A1413" s="13"/>
      <c r="B1413" s="13"/>
      <c r="L1413" s="52">
        <v>45762</v>
      </c>
      <c r="M1413" s="53">
        <v>0.46964120370370371</v>
      </c>
      <c r="N1413" s="51" t="s">
        <v>217</v>
      </c>
      <c r="O1413" s="51" t="s">
        <v>327</v>
      </c>
      <c r="P1413" s="51" t="s">
        <v>1195</v>
      </c>
      <c r="Q1413" s="51" t="s">
        <v>80</v>
      </c>
      <c r="R1413" s="51" t="s">
        <v>78</v>
      </c>
    </row>
    <row r="1414" spans="1:18" x14ac:dyDescent="0.25">
      <c r="A1414" s="13"/>
      <c r="B1414" s="13"/>
      <c r="L1414" s="52">
        <v>45762</v>
      </c>
      <c r="M1414" s="53">
        <v>0.46964120370370371</v>
      </c>
      <c r="N1414" s="51" t="s">
        <v>218</v>
      </c>
      <c r="O1414" s="51" t="s">
        <v>327</v>
      </c>
      <c r="P1414" s="51" t="s">
        <v>1196</v>
      </c>
      <c r="Q1414" s="51" t="s">
        <v>80</v>
      </c>
      <c r="R1414" s="51" t="s">
        <v>78</v>
      </c>
    </row>
    <row r="1415" spans="1:18" x14ac:dyDescent="0.25">
      <c r="A1415" s="13"/>
      <c r="B1415" s="13"/>
      <c r="L1415" s="52">
        <v>45762</v>
      </c>
      <c r="M1415" s="53">
        <v>0.46964120370370371</v>
      </c>
      <c r="N1415" s="51" t="s">
        <v>219</v>
      </c>
      <c r="O1415" s="51" t="s">
        <v>327</v>
      </c>
      <c r="P1415" s="51" t="s">
        <v>1197</v>
      </c>
      <c r="Q1415" s="51" t="s">
        <v>80</v>
      </c>
      <c r="R1415" s="51" t="s">
        <v>78</v>
      </c>
    </row>
    <row r="1416" spans="1:18" x14ac:dyDescent="0.25">
      <c r="A1416" s="13"/>
      <c r="B1416" s="13"/>
      <c r="L1416" s="52">
        <v>45762</v>
      </c>
      <c r="M1416" s="53">
        <v>0.46964120370370371</v>
      </c>
      <c r="N1416" s="51" t="s">
        <v>220</v>
      </c>
      <c r="O1416" s="51" t="s">
        <v>327</v>
      </c>
      <c r="P1416" s="51" t="s">
        <v>1198</v>
      </c>
      <c r="Q1416" s="51" t="s">
        <v>80</v>
      </c>
      <c r="R1416" s="51" t="s">
        <v>78</v>
      </c>
    </row>
    <row r="1417" spans="1:18" x14ac:dyDescent="0.25">
      <c r="A1417" s="13"/>
      <c r="B1417" s="13"/>
      <c r="L1417" s="52">
        <v>45762</v>
      </c>
      <c r="M1417" s="53">
        <v>0.46964120370370371</v>
      </c>
      <c r="N1417" s="51" t="s">
        <v>221</v>
      </c>
      <c r="O1417" s="51" t="s">
        <v>327</v>
      </c>
      <c r="P1417" s="51" t="s">
        <v>1199</v>
      </c>
      <c r="Q1417" s="51" t="s">
        <v>80</v>
      </c>
      <c r="R1417" s="51" t="s">
        <v>78</v>
      </c>
    </row>
    <row r="1418" spans="1:18" x14ac:dyDescent="0.25">
      <c r="A1418" s="13"/>
      <c r="B1418" s="13"/>
      <c r="L1418" s="52">
        <v>45762</v>
      </c>
      <c r="M1418" s="53">
        <v>0.46964120370370371</v>
      </c>
      <c r="N1418" s="51" t="s">
        <v>222</v>
      </c>
      <c r="O1418" s="51" t="s">
        <v>327</v>
      </c>
      <c r="P1418" s="51" t="s">
        <v>1200</v>
      </c>
      <c r="Q1418" s="51" t="s">
        <v>80</v>
      </c>
      <c r="R1418" s="51" t="s">
        <v>78</v>
      </c>
    </row>
    <row r="1419" spans="1:18" x14ac:dyDescent="0.25">
      <c r="A1419" s="13"/>
      <c r="B1419" s="13"/>
      <c r="L1419" s="52">
        <v>45762</v>
      </c>
      <c r="M1419" s="53">
        <v>0.46964120370370371</v>
      </c>
      <c r="N1419" s="51" t="s">
        <v>223</v>
      </c>
      <c r="O1419" s="51" t="s">
        <v>327</v>
      </c>
      <c r="P1419" s="51" t="s">
        <v>1201</v>
      </c>
      <c r="Q1419" s="51" t="s">
        <v>80</v>
      </c>
      <c r="R1419" s="51" t="s">
        <v>78</v>
      </c>
    </row>
    <row r="1420" spans="1:18" x14ac:dyDescent="0.25">
      <c r="A1420" s="13"/>
      <c r="B1420" s="13"/>
      <c r="L1420" s="52">
        <v>45762</v>
      </c>
      <c r="M1420" s="53">
        <v>0.46964120370370371</v>
      </c>
      <c r="N1420" s="51" t="s">
        <v>224</v>
      </c>
      <c r="O1420" s="51" t="s">
        <v>327</v>
      </c>
      <c r="P1420" s="51" t="s">
        <v>1202</v>
      </c>
      <c r="Q1420" s="51" t="s">
        <v>80</v>
      </c>
      <c r="R1420" s="51" t="s">
        <v>78</v>
      </c>
    </row>
    <row r="1421" spans="1:18" x14ac:dyDescent="0.25">
      <c r="A1421" s="13"/>
      <c r="B1421" s="13"/>
      <c r="L1421" s="52">
        <v>45762</v>
      </c>
      <c r="M1421" s="53">
        <v>0.46964120370370371</v>
      </c>
      <c r="N1421" s="51" t="s">
        <v>225</v>
      </c>
      <c r="O1421" s="51" t="s">
        <v>327</v>
      </c>
      <c r="P1421" s="51" t="s">
        <v>1203</v>
      </c>
      <c r="Q1421" s="51" t="s">
        <v>80</v>
      </c>
      <c r="R1421" s="51" t="s">
        <v>78</v>
      </c>
    </row>
    <row r="1422" spans="1:18" x14ac:dyDescent="0.25">
      <c r="A1422" s="13"/>
      <c r="B1422" s="13"/>
      <c r="L1422" s="52">
        <v>45762</v>
      </c>
      <c r="M1422" s="53">
        <v>0.46964120370370371</v>
      </c>
      <c r="N1422" s="51" t="s">
        <v>226</v>
      </c>
      <c r="O1422" s="51" t="s">
        <v>327</v>
      </c>
      <c r="P1422" s="51" t="s">
        <v>1204</v>
      </c>
      <c r="Q1422" s="51" t="s">
        <v>80</v>
      </c>
      <c r="R1422" s="51" t="s">
        <v>78</v>
      </c>
    </row>
    <row r="1423" spans="1:18" x14ac:dyDescent="0.25">
      <c r="A1423" s="13"/>
      <c r="B1423" s="13"/>
      <c r="L1423" s="52">
        <v>45762</v>
      </c>
      <c r="M1423" s="53">
        <v>0.46964120370370371</v>
      </c>
      <c r="N1423" s="51" t="s">
        <v>227</v>
      </c>
      <c r="O1423" s="51" t="s">
        <v>327</v>
      </c>
      <c r="P1423" s="51" t="s">
        <v>1205</v>
      </c>
      <c r="Q1423" s="51" t="s">
        <v>80</v>
      </c>
      <c r="R1423" s="51" t="s">
        <v>78</v>
      </c>
    </row>
    <row r="1424" spans="1:18" x14ac:dyDescent="0.25">
      <c r="A1424" s="13"/>
      <c r="B1424" s="13"/>
      <c r="L1424" s="52">
        <v>45762</v>
      </c>
      <c r="M1424" s="53">
        <v>0.46964120370370371</v>
      </c>
      <c r="N1424" s="51" t="s">
        <v>228</v>
      </c>
      <c r="O1424" s="51" t="s">
        <v>327</v>
      </c>
      <c r="P1424" s="51" t="s">
        <v>1206</v>
      </c>
      <c r="Q1424" s="51" t="s">
        <v>80</v>
      </c>
      <c r="R1424" s="51" t="s">
        <v>78</v>
      </c>
    </row>
    <row r="1425" spans="1:18" x14ac:dyDescent="0.25">
      <c r="A1425" s="13"/>
      <c r="B1425" s="13"/>
      <c r="L1425" s="52">
        <v>45762</v>
      </c>
      <c r="M1425" s="53">
        <v>0.46964120370370371</v>
      </c>
      <c r="N1425" s="51" t="s">
        <v>229</v>
      </c>
      <c r="O1425" s="51" t="s">
        <v>327</v>
      </c>
      <c r="P1425" s="51" t="s">
        <v>1207</v>
      </c>
      <c r="Q1425" s="51" t="s">
        <v>80</v>
      </c>
      <c r="R1425" s="51" t="s">
        <v>78</v>
      </c>
    </row>
    <row r="1426" spans="1:18" x14ac:dyDescent="0.25">
      <c r="A1426" s="13"/>
      <c r="B1426" s="13"/>
      <c r="L1426" s="52">
        <v>45762</v>
      </c>
      <c r="M1426" s="53">
        <v>0.46964120370370371</v>
      </c>
      <c r="N1426" s="51" t="s">
        <v>230</v>
      </c>
      <c r="O1426" s="51" t="s">
        <v>327</v>
      </c>
      <c r="P1426" s="51" t="s">
        <v>1208</v>
      </c>
      <c r="Q1426" s="51" t="s">
        <v>80</v>
      </c>
      <c r="R1426" s="51" t="s">
        <v>78</v>
      </c>
    </row>
    <row r="1427" spans="1:18" x14ac:dyDescent="0.25">
      <c r="A1427" s="13"/>
      <c r="B1427" s="13"/>
      <c r="L1427" s="52">
        <v>45762</v>
      </c>
      <c r="M1427" s="53">
        <v>0.46964120370370371</v>
      </c>
      <c r="N1427" s="51" t="s">
        <v>231</v>
      </c>
      <c r="O1427" s="51" t="s">
        <v>327</v>
      </c>
      <c r="P1427" s="51" t="s">
        <v>1209</v>
      </c>
      <c r="Q1427" s="51" t="s">
        <v>80</v>
      </c>
      <c r="R1427" s="51" t="s">
        <v>78</v>
      </c>
    </row>
    <row r="1428" spans="1:18" x14ac:dyDescent="0.25">
      <c r="A1428" s="13"/>
      <c r="B1428" s="13"/>
      <c r="L1428" s="52">
        <v>45762</v>
      </c>
      <c r="M1428" s="53">
        <v>0.46964120370370371</v>
      </c>
      <c r="N1428" s="51" t="s">
        <v>232</v>
      </c>
      <c r="O1428" s="51" t="s">
        <v>327</v>
      </c>
      <c r="P1428" s="51" t="s">
        <v>1210</v>
      </c>
      <c r="Q1428" s="51" t="s">
        <v>80</v>
      </c>
      <c r="R1428" s="51" t="s">
        <v>78</v>
      </c>
    </row>
    <row r="1429" spans="1:18" x14ac:dyDescent="0.25">
      <c r="A1429" s="13"/>
      <c r="B1429" s="13"/>
      <c r="L1429" s="52">
        <v>45762</v>
      </c>
      <c r="M1429" s="53">
        <v>0.46964120370370371</v>
      </c>
      <c r="N1429" s="51" t="s">
        <v>233</v>
      </c>
      <c r="O1429" s="51" t="s">
        <v>327</v>
      </c>
      <c r="P1429" s="51" t="s">
        <v>1211</v>
      </c>
      <c r="Q1429" s="51" t="s">
        <v>80</v>
      </c>
      <c r="R1429" s="51" t="s">
        <v>78</v>
      </c>
    </row>
    <row r="1430" spans="1:18" x14ac:dyDescent="0.25">
      <c r="A1430" s="13"/>
      <c r="B1430" s="13"/>
      <c r="L1430" s="52">
        <v>45762</v>
      </c>
      <c r="M1430" s="53">
        <v>0.46964120370370371</v>
      </c>
      <c r="N1430" s="51" t="s">
        <v>234</v>
      </c>
      <c r="O1430" s="51" t="s">
        <v>327</v>
      </c>
      <c r="P1430" s="51" t="s">
        <v>1212</v>
      </c>
      <c r="Q1430" s="51" t="s">
        <v>80</v>
      </c>
      <c r="R1430" s="51" t="s">
        <v>78</v>
      </c>
    </row>
    <row r="1431" spans="1:18" x14ac:dyDescent="0.25">
      <c r="A1431" s="13"/>
      <c r="B1431" s="13"/>
      <c r="L1431" s="52">
        <v>45762</v>
      </c>
      <c r="M1431" s="53">
        <v>0.46964120370370371</v>
      </c>
      <c r="N1431" s="51" t="s">
        <v>235</v>
      </c>
      <c r="O1431" s="51" t="s">
        <v>327</v>
      </c>
      <c r="P1431" s="51" t="s">
        <v>1213</v>
      </c>
      <c r="Q1431" s="51" t="s">
        <v>80</v>
      </c>
      <c r="R1431" s="51" t="s">
        <v>78</v>
      </c>
    </row>
    <row r="1432" spans="1:18" x14ac:dyDescent="0.25">
      <c r="A1432" s="13"/>
      <c r="B1432" s="13"/>
      <c r="L1432" s="52">
        <v>45762</v>
      </c>
      <c r="M1432" s="53">
        <v>0.46964120370370371</v>
      </c>
      <c r="N1432" s="51" t="s">
        <v>236</v>
      </c>
      <c r="O1432" s="51" t="s">
        <v>327</v>
      </c>
      <c r="P1432" s="51" t="s">
        <v>1214</v>
      </c>
      <c r="Q1432" s="51" t="s">
        <v>80</v>
      </c>
      <c r="R1432" s="51" t="s">
        <v>78</v>
      </c>
    </row>
    <row r="1433" spans="1:18" x14ac:dyDescent="0.25">
      <c r="A1433" s="13"/>
      <c r="B1433" s="13"/>
      <c r="L1433" s="52">
        <v>45762</v>
      </c>
      <c r="M1433" s="53">
        <v>0.46964120370370371</v>
      </c>
      <c r="N1433" s="51" t="s">
        <v>237</v>
      </c>
      <c r="O1433" s="51" t="s">
        <v>327</v>
      </c>
      <c r="P1433" s="51" t="s">
        <v>1215</v>
      </c>
      <c r="Q1433" s="51" t="s">
        <v>80</v>
      </c>
      <c r="R1433" s="51" t="s">
        <v>78</v>
      </c>
    </row>
    <row r="1434" spans="1:18" x14ac:dyDescent="0.25">
      <c r="A1434" s="13"/>
      <c r="B1434" s="13"/>
      <c r="L1434" s="52">
        <v>45762</v>
      </c>
      <c r="M1434" s="53">
        <v>0.46964120370370371</v>
      </c>
      <c r="N1434" s="51" t="s">
        <v>238</v>
      </c>
      <c r="O1434" s="51" t="s">
        <v>327</v>
      </c>
      <c r="P1434" s="51" t="s">
        <v>1216</v>
      </c>
      <c r="Q1434" s="51" t="s">
        <v>80</v>
      </c>
      <c r="R1434" s="51" t="s">
        <v>78</v>
      </c>
    </row>
    <row r="1435" spans="1:18" x14ac:dyDescent="0.25">
      <c r="A1435" s="13"/>
      <c r="B1435" s="13"/>
      <c r="L1435" s="52">
        <v>45762</v>
      </c>
      <c r="M1435" s="53">
        <v>0.46964120370370371</v>
      </c>
      <c r="N1435" s="51" t="s">
        <v>239</v>
      </c>
      <c r="O1435" s="51" t="s">
        <v>327</v>
      </c>
      <c r="P1435" s="51" t="s">
        <v>1217</v>
      </c>
      <c r="Q1435" s="51" t="s">
        <v>80</v>
      </c>
      <c r="R1435" s="51" t="s">
        <v>78</v>
      </c>
    </row>
    <row r="1436" spans="1:18" x14ac:dyDescent="0.25">
      <c r="A1436" s="13"/>
      <c r="B1436" s="13"/>
      <c r="L1436" s="52">
        <v>45762</v>
      </c>
      <c r="M1436" s="53">
        <v>0.46964120370370371</v>
      </c>
      <c r="N1436" s="51" t="s">
        <v>240</v>
      </c>
      <c r="O1436" s="51" t="s">
        <v>327</v>
      </c>
      <c r="P1436" s="51" t="s">
        <v>1218</v>
      </c>
      <c r="Q1436" s="51" t="s">
        <v>80</v>
      </c>
      <c r="R1436" s="51" t="s">
        <v>78</v>
      </c>
    </row>
    <row r="1437" spans="1:18" x14ac:dyDescent="0.25">
      <c r="A1437" s="13"/>
      <c r="B1437" s="13"/>
      <c r="L1437" s="52">
        <v>45762</v>
      </c>
      <c r="M1437" s="53">
        <v>0.46964120370370371</v>
      </c>
      <c r="N1437" s="51" t="s">
        <v>241</v>
      </c>
      <c r="O1437" s="51" t="s">
        <v>327</v>
      </c>
      <c r="P1437" s="51" t="s">
        <v>1219</v>
      </c>
      <c r="Q1437" s="51" t="s">
        <v>80</v>
      </c>
      <c r="R1437" s="51" t="s">
        <v>78</v>
      </c>
    </row>
    <row r="1438" spans="1:18" x14ac:dyDescent="0.25">
      <c r="A1438" s="13"/>
      <c r="B1438" s="13"/>
      <c r="L1438" s="52">
        <v>45762</v>
      </c>
      <c r="M1438" s="53">
        <v>0.46964120370370371</v>
      </c>
      <c r="N1438" s="51" t="s">
        <v>242</v>
      </c>
      <c r="O1438" s="51" t="s">
        <v>327</v>
      </c>
      <c r="P1438" s="51" t="s">
        <v>1220</v>
      </c>
      <c r="Q1438" s="51" t="s">
        <v>80</v>
      </c>
      <c r="R1438" s="51" t="s">
        <v>78</v>
      </c>
    </row>
    <row r="1439" spans="1:18" x14ac:dyDescent="0.25">
      <c r="A1439" s="13"/>
      <c r="B1439" s="13"/>
      <c r="L1439" s="52">
        <v>45762</v>
      </c>
      <c r="M1439" s="53">
        <v>0.46964120370370371</v>
      </c>
      <c r="N1439" s="51" t="s">
        <v>243</v>
      </c>
      <c r="O1439" s="51" t="s">
        <v>327</v>
      </c>
      <c r="P1439" s="51" t="s">
        <v>1221</v>
      </c>
      <c r="Q1439" s="51" t="s">
        <v>80</v>
      </c>
      <c r="R1439" s="51" t="s">
        <v>78</v>
      </c>
    </row>
    <row r="1440" spans="1:18" x14ac:dyDescent="0.25">
      <c r="A1440" s="13"/>
      <c r="B1440" s="13"/>
      <c r="L1440" s="52">
        <v>45762</v>
      </c>
      <c r="M1440" s="53">
        <v>0.46964120370370371</v>
      </c>
      <c r="N1440" s="51" t="s">
        <v>244</v>
      </c>
      <c r="O1440" s="51" t="s">
        <v>327</v>
      </c>
      <c r="P1440" s="51" t="s">
        <v>1222</v>
      </c>
      <c r="Q1440" s="51" t="s">
        <v>80</v>
      </c>
      <c r="R1440" s="51" t="s">
        <v>78</v>
      </c>
    </row>
    <row r="1441" spans="1:18" x14ac:dyDescent="0.25">
      <c r="A1441" s="13"/>
      <c r="B1441" s="13"/>
      <c r="L1441" s="52">
        <v>45762</v>
      </c>
      <c r="M1441" s="53">
        <v>0.46964120370370371</v>
      </c>
      <c r="N1441" s="51" t="s">
        <v>245</v>
      </c>
      <c r="O1441" s="51" t="s">
        <v>327</v>
      </c>
      <c r="P1441" s="51" t="s">
        <v>1223</v>
      </c>
      <c r="Q1441" s="51" t="s">
        <v>80</v>
      </c>
      <c r="R1441" s="51" t="s">
        <v>78</v>
      </c>
    </row>
    <row r="1442" spans="1:18" x14ac:dyDescent="0.25">
      <c r="A1442" s="13"/>
      <c r="B1442" s="13"/>
      <c r="L1442" s="52">
        <v>45762</v>
      </c>
      <c r="M1442" s="53">
        <v>0.46964120370370371</v>
      </c>
      <c r="N1442" s="51" t="s">
        <v>246</v>
      </c>
      <c r="O1442" s="51" t="s">
        <v>327</v>
      </c>
      <c r="P1442" s="51" t="s">
        <v>1224</v>
      </c>
      <c r="Q1442" s="51" t="s">
        <v>80</v>
      </c>
      <c r="R1442" s="51" t="s">
        <v>78</v>
      </c>
    </row>
    <row r="1443" spans="1:18" x14ac:dyDescent="0.25">
      <c r="A1443" s="13"/>
      <c r="B1443" s="13"/>
      <c r="L1443" s="52">
        <v>45762</v>
      </c>
      <c r="M1443" s="53">
        <v>0.46964120370370371</v>
      </c>
      <c r="N1443" s="51" t="s">
        <v>247</v>
      </c>
      <c r="O1443" s="51" t="s">
        <v>327</v>
      </c>
      <c r="P1443" s="51" t="s">
        <v>1225</v>
      </c>
      <c r="Q1443" s="51" t="s">
        <v>80</v>
      </c>
      <c r="R1443" s="51" t="s">
        <v>78</v>
      </c>
    </row>
    <row r="1444" spans="1:18" x14ac:dyDescent="0.25">
      <c r="A1444" s="13"/>
      <c r="B1444" s="13"/>
      <c r="L1444" s="52">
        <v>45762</v>
      </c>
      <c r="M1444" s="53">
        <v>0.46964120370370371</v>
      </c>
      <c r="N1444" s="51" t="s">
        <v>248</v>
      </c>
      <c r="O1444" s="51" t="s">
        <v>327</v>
      </c>
      <c r="P1444" s="51" t="s">
        <v>1226</v>
      </c>
      <c r="Q1444" s="51" t="s">
        <v>80</v>
      </c>
      <c r="R1444" s="51" t="s">
        <v>78</v>
      </c>
    </row>
    <row r="1445" spans="1:18" x14ac:dyDescent="0.25">
      <c r="A1445" s="13"/>
      <c r="B1445" s="13"/>
      <c r="L1445" s="52">
        <v>45762</v>
      </c>
      <c r="M1445" s="53">
        <v>0.46964120370370371</v>
      </c>
      <c r="N1445" s="51" t="s">
        <v>249</v>
      </c>
      <c r="O1445" s="51" t="s">
        <v>327</v>
      </c>
      <c r="P1445" s="51" t="s">
        <v>1227</v>
      </c>
      <c r="Q1445" s="51" t="s">
        <v>80</v>
      </c>
      <c r="R1445" s="51" t="s">
        <v>78</v>
      </c>
    </row>
    <row r="1446" spans="1:18" x14ac:dyDescent="0.25">
      <c r="A1446" s="13"/>
      <c r="B1446" s="13"/>
      <c r="L1446" s="52">
        <v>45762</v>
      </c>
      <c r="M1446" s="53">
        <v>0.46964120370370371</v>
      </c>
      <c r="N1446" s="51" t="s">
        <v>250</v>
      </c>
      <c r="O1446" s="51" t="s">
        <v>327</v>
      </c>
      <c r="P1446" s="51" t="s">
        <v>1228</v>
      </c>
      <c r="Q1446" s="51" t="s">
        <v>80</v>
      </c>
      <c r="R1446" s="51" t="s">
        <v>78</v>
      </c>
    </row>
    <row r="1447" spans="1:18" x14ac:dyDescent="0.25">
      <c r="A1447" s="13"/>
      <c r="B1447" s="13"/>
      <c r="L1447" s="52">
        <v>45762</v>
      </c>
      <c r="M1447" s="53">
        <v>0.46964120370370371</v>
      </c>
      <c r="N1447" s="51" t="s">
        <v>251</v>
      </c>
      <c r="O1447" s="51" t="s">
        <v>327</v>
      </c>
      <c r="P1447" s="51" t="s">
        <v>1229</v>
      </c>
      <c r="Q1447" s="51" t="s">
        <v>80</v>
      </c>
      <c r="R1447" s="51" t="s">
        <v>78</v>
      </c>
    </row>
    <row r="1448" spans="1:18" x14ac:dyDescent="0.25">
      <c r="A1448" s="13"/>
      <c r="B1448" s="13"/>
      <c r="L1448" s="52">
        <v>45762</v>
      </c>
      <c r="M1448" s="53">
        <v>0.46964120370370371</v>
      </c>
      <c r="N1448" s="51" t="s">
        <v>252</v>
      </c>
      <c r="O1448" s="51" t="s">
        <v>327</v>
      </c>
      <c r="P1448" s="51" t="s">
        <v>1230</v>
      </c>
      <c r="Q1448" s="51" t="s">
        <v>80</v>
      </c>
      <c r="R1448" s="51" t="s">
        <v>78</v>
      </c>
    </row>
    <row r="1449" spans="1:18" x14ac:dyDescent="0.25">
      <c r="A1449" s="13"/>
      <c r="B1449" s="13"/>
      <c r="L1449" s="52">
        <v>45762</v>
      </c>
      <c r="M1449" s="53">
        <v>0.46964120370370371</v>
      </c>
      <c r="N1449" s="51" t="s">
        <v>253</v>
      </c>
      <c r="O1449" s="51" t="s">
        <v>327</v>
      </c>
      <c r="P1449" s="51" t="s">
        <v>1231</v>
      </c>
      <c r="Q1449" s="51" t="s">
        <v>80</v>
      </c>
      <c r="R1449" s="51" t="s">
        <v>78</v>
      </c>
    </row>
    <row r="1450" spans="1:18" x14ac:dyDescent="0.25">
      <c r="A1450" s="13"/>
      <c r="B1450" s="13"/>
      <c r="L1450" s="52">
        <v>45762</v>
      </c>
      <c r="M1450" s="53">
        <v>0.46964120370370371</v>
      </c>
      <c r="N1450" s="51" t="s">
        <v>254</v>
      </c>
      <c r="O1450" s="51" t="s">
        <v>327</v>
      </c>
      <c r="P1450" s="51" t="s">
        <v>1232</v>
      </c>
      <c r="Q1450" s="51" t="s">
        <v>80</v>
      </c>
      <c r="R1450" s="51" t="s">
        <v>78</v>
      </c>
    </row>
    <row r="1451" spans="1:18" x14ac:dyDescent="0.25">
      <c r="A1451" s="13"/>
      <c r="B1451" s="13"/>
      <c r="L1451" s="52">
        <v>45762</v>
      </c>
      <c r="M1451" s="53">
        <v>0.46964120370370371</v>
      </c>
      <c r="N1451" s="51" t="s">
        <v>255</v>
      </c>
      <c r="O1451" s="51" t="s">
        <v>327</v>
      </c>
      <c r="P1451" s="51" t="s">
        <v>1233</v>
      </c>
      <c r="Q1451" s="51" t="s">
        <v>80</v>
      </c>
      <c r="R1451" s="51" t="s">
        <v>78</v>
      </c>
    </row>
    <row r="1452" spans="1:18" x14ac:dyDescent="0.25">
      <c r="A1452" s="13"/>
      <c r="B1452" s="13"/>
      <c r="L1452" s="52">
        <v>45762</v>
      </c>
      <c r="M1452" s="53">
        <v>0.46964120370370371</v>
      </c>
      <c r="N1452" s="51" t="s">
        <v>256</v>
      </c>
      <c r="O1452" s="51" t="s">
        <v>327</v>
      </c>
      <c r="P1452" s="51" t="s">
        <v>1234</v>
      </c>
      <c r="Q1452" s="51" t="s">
        <v>80</v>
      </c>
      <c r="R1452" s="51" t="s">
        <v>78</v>
      </c>
    </row>
    <row r="1453" spans="1:18" x14ac:dyDescent="0.25">
      <c r="A1453" s="13"/>
      <c r="B1453" s="13"/>
      <c r="L1453" s="52">
        <v>45762</v>
      </c>
      <c r="M1453" s="53">
        <v>0.46964120370370371</v>
      </c>
      <c r="N1453" s="51" t="s">
        <v>257</v>
      </c>
      <c r="O1453" s="51" t="s">
        <v>327</v>
      </c>
      <c r="P1453" s="51" t="s">
        <v>1235</v>
      </c>
      <c r="Q1453" s="51" t="s">
        <v>80</v>
      </c>
      <c r="R1453" s="51" t="s">
        <v>78</v>
      </c>
    </row>
    <row r="1454" spans="1:18" x14ac:dyDescent="0.25">
      <c r="A1454" s="13"/>
      <c r="B1454" s="13"/>
      <c r="L1454" s="52">
        <v>45762</v>
      </c>
      <c r="M1454" s="53">
        <v>0.46964120370370371</v>
      </c>
      <c r="N1454" s="51" t="s">
        <v>258</v>
      </c>
      <c r="O1454" s="51" t="s">
        <v>327</v>
      </c>
      <c r="P1454" s="51" t="s">
        <v>1236</v>
      </c>
      <c r="Q1454" s="51" t="s">
        <v>80</v>
      </c>
      <c r="R1454" s="51" t="s">
        <v>78</v>
      </c>
    </row>
    <row r="1455" spans="1:18" x14ac:dyDescent="0.25">
      <c r="A1455" s="13"/>
      <c r="B1455" s="13"/>
      <c r="L1455" s="52">
        <v>45762</v>
      </c>
      <c r="M1455" s="53">
        <v>0.46964120370370371</v>
      </c>
      <c r="N1455" s="51" t="s">
        <v>259</v>
      </c>
      <c r="O1455" s="51" t="s">
        <v>327</v>
      </c>
      <c r="P1455" s="51" t="s">
        <v>1237</v>
      </c>
      <c r="Q1455" s="51" t="s">
        <v>80</v>
      </c>
      <c r="R1455" s="51" t="s">
        <v>78</v>
      </c>
    </row>
    <row r="1456" spans="1:18" x14ac:dyDescent="0.25">
      <c r="A1456" s="13"/>
      <c r="B1456" s="13"/>
      <c r="L1456" s="52">
        <v>45762</v>
      </c>
      <c r="M1456" s="53">
        <v>0.46964120370370371</v>
      </c>
      <c r="N1456" s="51" t="s">
        <v>260</v>
      </c>
      <c r="O1456" s="51" t="s">
        <v>327</v>
      </c>
      <c r="P1456" s="51" t="s">
        <v>1238</v>
      </c>
      <c r="Q1456" s="51" t="s">
        <v>80</v>
      </c>
      <c r="R1456" s="51" t="s">
        <v>78</v>
      </c>
    </row>
    <row r="1457" spans="1:18" x14ac:dyDescent="0.25">
      <c r="A1457" s="13"/>
      <c r="B1457" s="13"/>
      <c r="L1457" s="52">
        <v>45762</v>
      </c>
      <c r="M1457" s="53">
        <v>0.46964120370370371</v>
      </c>
      <c r="N1457" s="51" t="s">
        <v>261</v>
      </c>
      <c r="O1457" s="51" t="s">
        <v>327</v>
      </c>
      <c r="P1457" s="51" t="s">
        <v>1239</v>
      </c>
      <c r="Q1457" s="51" t="s">
        <v>80</v>
      </c>
      <c r="R1457" s="51" t="s">
        <v>78</v>
      </c>
    </row>
    <row r="1458" spans="1:18" x14ac:dyDescent="0.25">
      <c r="A1458" s="13"/>
      <c r="B1458" s="13"/>
      <c r="L1458" s="52">
        <v>45762</v>
      </c>
      <c r="M1458" s="53">
        <v>0.46964120370370371</v>
      </c>
      <c r="N1458" s="51" t="s">
        <v>262</v>
      </c>
      <c r="O1458" s="51" t="s">
        <v>327</v>
      </c>
      <c r="P1458" s="51" t="s">
        <v>1240</v>
      </c>
      <c r="Q1458" s="51" t="s">
        <v>80</v>
      </c>
      <c r="R1458" s="51" t="s">
        <v>78</v>
      </c>
    </row>
    <row r="1459" spans="1:18" x14ac:dyDescent="0.25">
      <c r="A1459" s="13"/>
      <c r="B1459" s="13"/>
      <c r="L1459" s="52">
        <v>45762</v>
      </c>
      <c r="M1459" s="53">
        <v>0.46964120370370371</v>
      </c>
      <c r="N1459" s="51" t="s">
        <v>263</v>
      </c>
      <c r="O1459" s="51" t="s">
        <v>327</v>
      </c>
      <c r="P1459" s="51" t="s">
        <v>1241</v>
      </c>
      <c r="Q1459" s="51" t="s">
        <v>80</v>
      </c>
      <c r="R1459" s="51" t="s">
        <v>78</v>
      </c>
    </row>
    <row r="1460" spans="1:18" x14ac:dyDescent="0.25">
      <c r="A1460" s="13"/>
      <c r="B1460" s="13"/>
      <c r="L1460" s="52">
        <v>45762</v>
      </c>
      <c r="M1460" s="53">
        <v>0.46964120370370371</v>
      </c>
      <c r="N1460" s="51" t="s">
        <v>264</v>
      </c>
      <c r="O1460" s="51" t="s">
        <v>327</v>
      </c>
      <c r="P1460" s="51" t="s">
        <v>1242</v>
      </c>
      <c r="Q1460" s="51" t="s">
        <v>80</v>
      </c>
      <c r="R1460" s="51" t="s">
        <v>78</v>
      </c>
    </row>
    <row r="1461" spans="1:18" x14ac:dyDescent="0.25">
      <c r="A1461" s="13"/>
      <c r="B1461" s="13"/>
      <c r="L1461" s="52">
        <v>45762</v>
      </c>
      <c r="M1461" s="53">
        <v>0.46964120370370371</v>
      </c>
      <c r="N1461" s="51" t="s">
        <v>265</v>
      </c>
      <c r="O1461" s="51" t="s">
        <v>327</v>
      </c>
      <c r="P1461" s="51" t="s">
        <v>1243</v>
      </c>
      <c r="Q1461" s="51" t="s">
        <v>80</v>
      </c>
      <c r="R1461" s="51" t="s">
        <v>78</v>
      </c>
    </row>
    <row r="1462" spans="1:18" x14ac:dyDescent="0.25">
      <c r="A1462" s="13"/>
      <c r="B1462" s="13"/>
      <c r="L1462" s="52">
        <v>45762</v>
      </c>
      <c r="M1462" s="53">
        <v>0.46964120370370371</v>
      </c>
      <c r="N1462" s="51" t="s">
        <v>266</v>
      </c>
      <c r="O1462" s="51" t="s">
        <v>327</v>
      </c>
      <c r="P1462" s="51" t="s">
        <v>1244</v>
      </c>
      <c r="Q1462" s="51" t="s">
        <v>80</v>
      </c>
      <c r="R1462" s="51" t="s">
        <v>78</v>
      </c>
    </row>
    <row r="1463" spans="1:18" x14ac:dyDescent="0.25">
      <c r="A1463" s="13"/>
      <c r="B1463" s="13"/>
      <c r="L1463" s="52">
        <v>45762</v>
      </c>
      <c r="M1463" s="53">
        <v>0.46964120370370371</v>
      </c>
      <c r="N1463" s="51" t="s">
        <v>267</v>
      </c>
      <c r="O1463" s="51" t="s">
        <v>327</v>
      </c>
      <c r="P1463" s="51" t="s">
        <v>1245</v>
      </c>
      <c r="Q1463" s="51" t="s">
        <v>80</v>
      </c>
      <c r="R1463" s="51" t="s">
        <v>78</v>
      </c>
    </row>
    <row r="1464" spans="1:18" x14ac:dyDescent="0.25">
      <c r="A1464" s="13"/>
      <c r="B1464" s="13"/>
      <c r="L1464" s="52">
        <v>45762</v>
      </c>
      <c r="M1464" s="53">
        <v>0.46964120370370371</v>
      </c>
      <c r="N1464" s="51" t="s">
        <v>268</v>
      </c>
      <c r="O1464" s="51" t="s">
        <v>327</v>
      </c>
      <c r="P1464" s="51" t="s">
        <v>1246</v>
      </c>
      <c r="Q1464" s="51" t="s">
        <v>80</v>
      </c>
      <c r="R1464" s="51" t="s">
        <v>78</v>
      </c>
    </row>
    <row r="1465" spans="1:18" x14ac:dyDescent="0.25">
      <c r="A1465" s="13"/>
      <c r="B1465" s="13"/>
      <c r="L1465" s="52">
        <v>45762</v>
      </c>
      <c r="M1465" s="53">
        <v>0.46964120370370371</v>
      </c>
      <c r="N1465" s="51" t="s">
        <v>269</v>
      </c>
      <c r="O1465" s="51" t="s">
        <v>327</v>
      </c>
      <c r="P1465" s="51" t="s">
        <v>1247</v>
      </c>
      <c r="Q1465" s="51" t="s">
        <v>80</v>
      </c>
      <c r="R1465" s="51" t="s">
        <v>78</v>
      </c>
    </row>
    <row r="1466" spans="1:18" x14ac:dyDescent="0.25">
      <c r="A1466" s="13"/>
      <c r="B1466" s="13"/>
      <c r="L1466" s="52">
        <v>45762</v>
      </c>
      <c r="M1466" s="53">
        <v>0.46964120370370371</v>
      </c>
      <c r="N1466" s="51" t="s">
        <v>270</v>
      </c>
      <c r="O1466" s="51" t="s">
        <v>327</v>
      </c>
      <c r="P1466" s="51" t="s">
        <v>1248</v>
      </c>
      <c r="Q1466" s="51" t="s">
        <v>80</v>
      </c>
      <c r="R1466" s="51" t="s">
        <v>78</v>
      </c>
    </row>
    <row r="1467" spans="1:18" x14ac:dyDescent="0.25">
      <c r="A1467" s="13"/>
      <c r="B1467" s="13"/>
      <c r="L1467" s="52">
        <v>45762</v>
      </c>
      <c r="M1467" s="53">
        <v>0.46964120370370371</v>
      </c>
      <c r="N1467" s="51" t="s">
        <v>271</v>
      </c>
      <c r="O1467" s="51" t="s">
        <v>327</v>
      </c>
      <c r="P1467" s="51" t="s">
        <v>1249</v>
      </c>
      <c r="Q1467" s="51" t="s">
        <v>80</v>
      </c>
      <c r="R1467" s="51" t="s">
        <v>78</v>
      </c>
    </row>
    <row r="1468" spans="1:18" x14ac:dyDescent="0.25">
      <c r="A1468" s="13"/>
      <c r="B1468" s="13"/>
      <c r="L1468" s="52">
        <v>45762</v>
      </c>
      <c r="M1468" s="53">
        <v>0.46964120370370371</v>
      </c>
      <c r="N1468" s="51" t="s">
        <v>272</v>
      </c>
      <c r="O1468" s="51" t="s">
        <v>327</v>
      </c>
      <c r="P1468" s="51" t="s">
        <v>1250</v>
      </c>
      <c r="Q1468" s="51" t="s">
        <v>80</v>
      </c>
      <c r="R1468" s="51" t="s">
        <v>78</v>
      </c>
    </row>
    <row r="1469" spans="1:18" x14ac:dyDescent="0.25">
      <c r="A1469" s="13"/>
      <c r="B1469" s="13"/>
      <c r="L1469" s="52">
        <v>45762</v>
      </c>
      <c r="M1469" s="53">
        <v>0.46964120370370371</v>
      </c>
      <c r="N1469" s="51" t="s">
        <v>273</v>
      </c>
      <c r="O1469" s="51" t="s">
        <v>327</v>
      </c>
      <c r="P1469" s="51" t="s">
        <v>1251</v>
      </c>
      <c r="Q1469" s="51" t="s">
        <v>80</v>
      </c>
      <c r="R1469" s="51" t="s">
        <v>78</v>
      </c>
    </row>
    <row r="1470" spans="1:18" x14ac:dyDescent="0.25">
      <c r="A1470" s="13"/>
      <c r="B1470" s="13"/>
      <c r="L1470" s="52">
        <v>45762</v>
      </c>
      <c r="M1470" s="53">
        <v>0.46964120370370371</v>
      </c>
      <c r="N1470" s="51" t="s">
        <v>274</v>
      </c>
      <c r="O1470" s="51" t="s">
        <v>327</v>
      </c>
      <c r="P1470" s="51" t="s">
        <v>1252</v>
      </c>
      <c r="Q1470" s="51" t="s">
        <v>80</v>
      </c>
      <c r="R1470" s="51" t="s">
        <v>78</v>
      </c>
    </row>
    <row r="1471" spans="1:18" x14ac:dyDescent="0.25">
      <c r="A1471" s="13"/>
      <c r="B1471" s="13"/>
      <c r="L1471" s="52">
        <v>45762</v>
      </c>
      <c r="M1471" s="53">
        <v>0.46964120370370371</v>
      </c>
      <c r="N1471" s="51" t="s">
        <v>275</v>
      </c>
      <c r="O1471" s="51" t="s">
        <v>327</v>
      </c>
      <c r="P1471" s="51" t="s">
        <v>1253</v>
      </c>
      <c r="Q1471" s="51" t="s">
        <v>80</v>
      </c>
      <c r="R1471" s="51" t="s">
        <v>78</v>
      </c>
    </row>
    <row r="1472" spans="1:18" x14ac:dyDescent="0.25">
      <c r="A1472" s="13"/>
      <c r="B1472" s="13"/>
      <c r="L1472" s="52">
        <v>45762</v>
      </c>
      <c r="M1472" s="53">
        <v>0.46964120370370371</v>
      </c>
      <c r="N1472" s="51" t="s">
        <v>276</v>
      </c>
      <c r="O1472" s="51" t="s">
        <v>327</v>
      </c>
      <c r="P1472" s="51" t="s">
        <v>1254</v>
      </c>
      <c r="Q1472" s="51" t="s">
        <v>80</v>
      </c>
      <c r="R1472" s="51" t="s">
        <v>78</v>
      </c>
    </row>
    <row r="1473" spans="1:18" x14ac:dyDescent="0.25">
      <c r="A1473" s="13"/>
      <c r="B1473" s="13"/>
      <c r="L1473" s="52">
        <v>45762</v>
      </c>
      <c r="M1473" s="53">
        <v>0.46964120370370371</v>
      </c>
      <c r="N1473" s="51" t="s">
        <v>277</v>
      </c>
      <c r="O1473" s="51" t="s">
        <v>327</v>
      </c>
      <c r="P1473" s="51" t="s">
        <v>1255</v>
      </c>
      <c r="Q1473" s="51" t="s">
        <v>80</v>
      </c>
      <c r="R1473" s="51" t="s">
        <v>78</v>
      </c>
    </row>
    <row r="1474" spans="1:18" x14ac:dyDescent="0.25">
      <c r="A1474" s="13"/>
      <c r="B1474" s="13"/>
      <c r="L1474" s="52">
        <v>45762</v>
      </c>
      <c r="M1474" s="53">
        <v>0.46964120370370371</v>
      </c>
      <c r="N1474" s="51" t="s">
        <v>278</v>
      </c>
      <c r="O1474" s="51" t="s">
        <v>327</v>
      </c>
      <c r="P1474" s="51" t="s">
        <v>1256</v>
      </c>
      <c r="Q1474" s="51" t="s">
        <v>80</v>
      </c>
      <c r="R1474" s="51" t="s">
        <v>78</v>
      </c>
    </row>
    <row r="1475" spans="1:18" x14ac:dyDescent="0.25">
      <c r="A1475" s="13"/>
      <c r="B1475" s="13"/>
      <c r="L1475" s="52">
        <v>45762</v>
      </c>
      <c r="M1475" s="53">
        <v>0.46964120370370371</v>
      </c>
      <c r="N1475" s="51" t="s">
        <v>279</v>
      </c>
      <c r="O1475" s="51" t="s">
        <v>327</v>
      </c>
      <c r="P1475" s="51" t="s">
        <v>1257</v>
      </c>
      <c r="Q1475" s="51" t="s">
        <v>80</v>
      </c>
      <c r="R1475" s="51" t="s">
        <v>78</v>
      </c>
    </row>
    <row r="1476" spans="1:18" x14ac:dyDescent="0.25">
      <c r="A1476" s="13"/>
      <c r="B1476" s="13"/>
      <c r="L1476" s="52">
        <v>45762</v>
      </c>
      <c r="M1476" s="53">
        <v>0.46964120370370371</v>
      </c>
      <c r="N1476" s="51" t="s">
        <v>280</v>
      </c>
      <c r="O1476" s="51" t="s">
        <v>327</v>
      </c>
      <c r="P1476" s="51" t="s">
        <v>1258</v>
      </c>
      <c r="Q1476" s="51" t="s">
        <v>80</v>
      </c>
      <c r="R1476" s="51" t="s">
        <v>78</v>
      </c>
    </row>
    <row r="1477" spans="1:18" x14ac:dyDescent="0.25">
      <c r="A1477" s="13"/>
      <c r="B1477" s="13"/>
      <c r="L1477" s="52">
        <v>45762</v>
      </c>
      <c r="M1477" s="53">
        <v>0.46964120370370371</v>
      </c>
      <c r="N1477" s="51" t="s">
        <v>281</v>
      </c>
      <c r="O1477" s="51" t="s">
        <v>327</v>
      </c>
      <c r="P1477" s="51" t="s">
        <v>1259</v>
      </c>
      <c r="Q1477" s="51" t="s">
        <v>80</v>
      </c>
      <c r="R1477" s="51" t="s">
        <v>78</v>
      </c>
    </row>
    <row r="1478" spans="1:18" x14ac:dyDescent="0.25">
      <c r="A1478" s="13"/>
      <c r="B1478" s="13"/>
      <c r="L1478" s="52">
        <v>45762</v>
      </c>
      <c r="M1478" s="53">
        <v>0.46964120370370371</v>
      </c>
      <c r="N1478" s="51" t="s">
        <v>282</v>
      </c>
      <c r="O1478" s="51" t="s">
        <v>327</v>
      </c>
      <c r="Q1478" s="51" t="s">
        <v>524</v>
      </c>
      <c r="R1478" s="51" t="s">
        <v>132</v>
      </c>
    </row>
    <row r="1479" spans="1:18" x14ac:dyDescent="0.25">
      <c r="A1479" s="13"/>
      <c r="B1479" s="13"/>
      <c r="L1479" s="52">
        <v>45762</v>
      </c>
      <c r="M1479" s="53">
        <v>0.46964120370370371</v>
      </c>
      <c r="N1479" s="51" t="s">
        <v>283</v>
      </c>
      <c r="O1479" s="51" t="s">
        <v>327</v>
      </c>
      <c r="Q1479" s="51" t="s">
        <v>524</v>
      </c>
      <c r="R1479" s="51" t="s">
        <v>132</v>
      </c>
    </row>
    <row r="1480" spans="1:18" x14ac:dyDescent="0.25">
      <c r="A1480" s="13"/>
      <c r="B1480" s="13"/>
      <c r="L1480" s="52">
        <v>45762</v>
      </c>
      <c r="M1480" s="53">
        <v>0.46964120370370371</v>
      </c>
      <c r="N1480" s="51" t="s">
        <v>284</v>
      </c>
      <c r="O1480" s="51" t="s">
        <v>327</v>
      </c>
      <c r="Q1480" s="51" t="s">
        <v>524</v>
      </c>
      <c r="R1480" s="51" t="s">
        <v>132</v>
      </c>
    </row>
    <row r="1481" spans="1:18" x14ac:dyDescent="0.25">
      <c r="A1481" s="13"/>
      <c r="B1481" s="13"/>
      <c r="L1481" s="52">
        <v>45762</v>
      </c>
      <c r="M1481" s="53">
        <v>0.46964120370370371</v>
      </c>
      <c r="N1481" s="51" t="s">
        <v>285</v>
      </c>
      <c r="O1481" s="51" t="s">
        <v>327</v>
      </c>
      <c r="P1481" s="51" t="s">
        <v>1260</v>
      </c>
      <c r="Q1481" s="51" t="s">
        <v>80</v>
      </c>
      <c r="R1481" s="51" t="s">
        <v>78</v>
      </c>
    </row>
    <row r="1482" spans="1:18" x14ac:dyDescent="0.25">
      <c r="A1482" s="13"/>
      <c r="B1482" s="13"/>
      <c r="L1482" s="52">
        <v>45762</v>
      </c>
      <c r="M1482" s="53">
        <v>0.46964120370370371</v>
      </c>
      <c r="N1482" s="51" t="s">
        <v>286</v>
      </c>
      <c r="O1482" s="51" t="s">
        <v>327</v>
      </c>
      <c r="P1482" s="51" t="s">
        <v>1261</v>
      </c>
      <c r="Q1482" s="51" t="s">
        <v>80</v>
      </c>
      <c r="R1482" s="51" t="s">
        <v>78</v>
      </c>
    </row>
    <row r="1483" spans="1:18" x14ac:dyDescent="0.25">
      <c r="A1483" s="13"/>
      <c r="B1483" s="13"/>
      <c r="L1483" s="52">
        <v>45762</v>
      </c>
      <c r="M1483" s="53">
        <v>0.46964120370370371</v>
      </c>
      <c r="N1483" s="51" t="s">
        <v>287</v>
      </c>
      <c r="O1483" s="51" t="s">
        <v>327</v>
      </c>
      <c r="P1483" s="51" t="s">
        <v>1262</v>
      </c>
      <c r="Q1483" s="51" t="s">
        <v>80</v>
      </c>
      <c r="R1483" s="51" t="s">
        <v>78</v>
      </c>
    </row>
    <row r="1484" spans="1:18" x14ac:dyDescent="0.25">
      <c r="A1484" s="13"/>
      <c r="B1484" s="13"/>
      <c r="L1484" s="52">
        <v>45762</v>
      </c>
      <c r="M1484" s="53">
        <v>0.46964120370370371</v>
      </c>
      <c r="N1484" s="51" t="s">
        <v>288</v>
      </c>
      <c r="O1484" s="51" t="s">
        <v>327</v>
      </c>
      <c r="P1484" s="51" t="s">
        <v>1263</v>
      </c>
      <c r="Q1484" s="51" t="s">
        <v>80</v>
      </c>
      <c r="R1484" s="51" t="s">
        <v>78</v>
      </c>
    </row>
    <row r="1485" spans="1:18" x14ac:dyDescent="0.25">
      <c r="A1485" s="13"/>
      <c r="B1485" s="13"/>
      <c r="L1485" s="52">
        <v>45762</v>
      </c>
      <c r="M1485" s="53">
        <v>0.46964120370370371</v>
      </c>
      <c r="N1485" s="51" t="s">
        <v>289</v>
      </c>
      <c r="O1485" s="51" t="s">
        <v>327</v>
      </c>
      <c r="P1485" s="51" t="s">
        <v>1264</v>
      </c>
      <c r="Q1485" s="51" t="s">
        <v>80</v>
      </c>
      <c r="R1485" s="51" t="s">
        <v>78</v>
      </c>
    </row>
    <row r="1486" spans="1:18" x14ac:dyDescent="0.25">
      <c r="A1486" s="13"/>
      <c r="B1486" s="13"/>
      <c r="L1486" s="52">
        <v>45762</v>
      </c>
      <c r="M1486" s="53">
        <v>0.46964120370370371</v>
      </c>
      <c r="N1486" s="51" t="s">
        <v>290</v>
      </c>
      <c r="O1486" s="51" t="s">
        <v>327</v>
      </c>
      <c r="P1486" s="51" t="s">
        <v>1265</v>
      </c>
      <c r="Q1486" s="51" t="s">
        <v>80</v>
      </c>
      <c r="R1486" s="51" t="s">
        <v>78</v>
      </c>
    </row>
    <row r="1487" spans="1:18" x14ac:dyDescent="0.25">
      <c r="A1487" s="13"/>
      <c r="B1487" s="13"/>
      <c r="L1487" s="52">
        <v>45762</v>
      </c>
      <c r="M1487" s="53">
        <v>0.46964120370370371</v>
      </c>
      <c r="N1487" s="51" t="s">
        <v>291</v>
      </c>
      <c r="O1487" s="51" t="s">
        <v>327</v>
      </c>
      <c r="P1487" s="51" t="s">
        <v>1266</v>
      </c>
      <c r="Q1487" s="51" t="s">
        <v>80</v>
      </c>
      <c r="R1487" s="51" t="s">
        <v>78</v>
      </c>
    </row>
    <row r="1488" spans="1:18" x14ac:dyDescent="0.25">
      <c r="A1488" s="13"/>
      <c r="B1488" s="13"/>
      <c r="L1488" s="52">
        <v>45762</v>
      </c>
      <c r="M1488" s="53">
        <v>0.46964120370370371</v>
      </c>
      <c r="N1488" s="51" t="s">
        <v>292</v>
      </c>
      <c r="O1488" s="51" t="s">
        <v>327</v>
      </c>
      <c r="P1488" s="51" t="s">
        <v>1267</v>
      </c>
      <c r="Q1488" s="51" t="s">
        <v>80</v>
      </c>
      <c r="R1488" s="51" t="s">
        <v>78</v>
      </c>
    </row>
    <row r="1489" spans="1:18" x14ac:dyDescent="0.25">
      <c r="A1489" s="13"/>
      <c r="B1489" s="13"/>
      <c r="L1489" s="52">
        <v>45762</v>
      </c>
      <c r="M1489" s="53">
        <v>0.46964120370370371</v>
      </c>
      <c r="N1489" s="51" t="s">
        <v>293</v>
      </c>
      <c r="O1489" s="51" t="s">
        <v>327</v>
      </c>
      <c r="P1489" s="51" t="s">
        <v>1268</v>
      </c>
      <c r="Q1489" s="51" t="s">
        <v>80</v>
      </c>
      <c r="R1489" s="51" t="s">
        <v>78</v>
      </c>
    </row>
    <row r="1490" spans="1:18" x14ac:dyDescent="0.25">
      <c r="A1490" s="13"/>
      <c r="B1490" s="13"/>
      <c r="L1490" s="52">
        <v>45762</v>
      </c>
      <c r="M1490" s="53">
        <v>0.46964120370370371</v>
      </c>
      <c r="N1490" s="51" t="s">
        <v>294</v>
      </c>
      <c r="O1490" s="51" t="s">
        <v>327</v>
      </c>
      <c r="P1490" s="51" t="s">
        <v>1269</v>
      </c>
      <c r="Q1490" s="51" t="s">
        <v>80</v>
      </c>
      <c r="R1490" s="51" t="s">
        <v>78</v>
      </c>
    </row>
    <row r="1491" spans="1:18" x14ac:dyDescent="0.25">
      <c r="A1491" s="13"/>
      <c r="B1491" s="13"/>
      <c r="L1491" s="52">
        <v>45762</v>
      </c>
      <c r="M1491" s="53">
        <v>0.46964120370370371</v>
      </c>
      <c r="N1491" s="51" t="s">
        <v>295</v>
      </c>
      <c r="O1491" s="51" t="s">
        <v>327</v>
      </c>
      <c r="P1491" s="51" t="s">
        <v>1270</v>
      </c>
      <c r="Q1491" s="51" t="s">
        <v>80</v>
      </c>
      <c r="R1491" s="51" t="s">
        <v>78</v>
      </c>
    </row>
    <row r="1492" spans="1:18" x14ac:dyDescent="0.25">
      <c r="A1492" s="13"/>
      <c r="B1492" s="13"/>
      <c r="L1492" s="52">
        <v>45762</v>
      </c>
      <c r="M1492" s="53">
        <v>0.46964120370370371</v>
      </c>
      <c r="N1492" s="51" t="s">
        <v>296</v>
      </c>
      <c r="O1492" s="51" t="s">
        <v>327</v>
      </c>
      <c r="P1492" s="51" t="s">
        <v>1271</v>
      </c>
      <c r="Q1492" s="51" t="s">
        <v>80</v>
      </c>
      <c r="R1492" s="51" t="s">
        <v>78</v>
      </c>
    </row>
    <row r="1493" spans="1:18" x14ac:dyDescent="0.25">
      <c r="A1493" s="13"/>
      <c r="B1493" s="13"/>
      <c r="L1493" s="52">
        <v>45762</v>
      </c>
      <c r="M1493" s="53">
        <v>0.46964120370370371</v>
      </c>
      <c r="N1493" s="51" t="s">
        <v>297</v>
      </c>
      <c r="O1493" s="51" t="s">
        <v>327</v>
      </c>
      <c r="P1493" s="51" t="s">
        <v>1272</v>
      </c>
      <c r="Q1493" s="51" t="s">
        <v>80</v>
      </c>
      <c r="R1493" s="51" t="s">
        <v>78</v>
      </c>
    </row>
    <row r="1494" spans="1:18" x14ac:dyDescent="0.25">
      <c r="A1494" s="13"/>
      <c r="B1494" s="13"/>
      <c r="L1494" s="52">
        <v>45762</v>
      </c>
      <c r="M1494" s="53">
        <v>0.46964120370370371</v>
      </c>
      <c r="N1494" s="51" t="s">
        <v>298</v>
      </c>
      <c r="O1494" s="51" t="s">
        <v>327</v>
      </c>
      <c r="P1494" s="51" t="s">
        <v>1273</v>
      </c>
      <c r="Q1494" s="51" t="s">
        <v>80</v>
      </c>
      <c r="R1494" s="51" t="s">
        <v>78</v>
      </c>
    </row>
    <row r="1495" spans="1:18" x14ac:dyDescent="0.25">
      <c r="A1495" s="13"/>
      <c r="B1495" s="13"/>
      <c r="L1495" s="52">
        <v>45762</v>
      </c>
      <c r="M1495" s="53">
        <v>0.46964120370370371</v>
      </c>
      <c r="N1495" s="51" t="s">
        <v>299</v>
      </c>
      <c r="O1495" s="51" t="s">
        <v>327</v>
      </c>
      <c r="P1495" s="51" t="s">
        <v>1274</v>
      </c>
      <c r="Q1495" s="51" t="s">
        <v>80</v>
      </c>
      <c r="R1495" s="51" t="s">
        <v>78</v>
      </c>
    </row>
    <row r="1496" spans="1:18" x14ac:dyDescent="0.25">
      <c r="A1496" s="13"/>
      <c r="B1496" s="13"/>
      <c r="L1496" s="52">
        <v>45762</v>
      </c>
      <c r="M1496" s="53">
        <v>0.46964120370370371</v>
      </c>
      <c r="N1496" s="51" t="s">
        <v>300</v>
      </c>
      <c r="O1496" s="51" t="s">
        <v>327</v>
      </c>
      <c r="P1496" s="51" t="s">
        <v>1275</v>
      </c>
      <c r="Q1496" s="51" t="s">
        <v>80</v>
      </c>
      <c r="R1496" s="51" t="s">
        <v>78</v>
      </c>
    </row>
    <row r="1497" spans="1:18" x14ac:dyDescent="0.25">
      <c r="A1497" s="13"/>
      <c r="B1497" s="13"/>
      <c r="L1497" s="52">
        <v>45762</v>
      </c>
      <c r="M1497" s="53">
        <v>0.46964120370370371</v>
      </c>
      <c r="N1497" s="51" t="s">
        <v>301</v>
      </c>
      <c r="O1497" s="51" t="s">
        <v>327</v>
      </c>
      <c r="P1497" s="51" t="s">
        <v>1276</v>
      </c>
      <c r="Q1497" s="51" t="s">
        <v>80</v>
      </c>
      <c r="R1497" s="51" t="s">
        <v>78</v>
      </c>
    </row>
    <row r="1498" spans="1:18" x14ac:dyDescent="0.25">
      <c r="A1498" s="13"/>
      <c r="B1498" s="13"/>
      <c r="L1498" s="52">
        <v>45762</v>
      </c>
      <c r="M1498" s="53">
        <v>0.46964120370370371</v>
      </c>
      <c r="N1498" s="51" t="s">
        <v>302</v>
      </c>
      <c r="O1498" s="51" t="s">
        <v>327</v>
      </c>
      <c r="P1498" s="51" t="s">
        <v>1277</v>
      </c>
      <c r="Q1498" s="51" t="s">
        <v>80</v>
      </c>
      <c r="R1498" s="51" t="s">
        <v>78</v>
      </c>
    </row>
    <row r="1499" spans="1:18" x14ac:dyDescent="0.25">
      <c r="A1499" s="13"/>
      <c r="B1499" s="13"/>
      <c r="L1499" s="52">
        <v>45762</v>
      </c>
      <c r="M1499" s="53">
        <v>0.46964120370370371</v>
      </c>
      <c r="N1499" s="51" t="s">
        <v>303</v>
      </c>
      <c r="O1499" s="51" t="s">
        <v>327</v>
      </c>
      <c r="P1499" s="51" t="s">
        <v>1278</v>
      </c>
      <c r="Q1499" s="51" t="s">
        <v>80</v>
      </c>
      <c r="R1499" s="51" t="s">
        <v>78</v>
      </c>
    </row>
    <row r="1500" spans="1:18" x14ac:dyDescent="0.25">
      <c r="A1500" s="13"/>
      <c r="B1500" s="13"/>
      <c r="L1500" s="52">
        <v>45762</v>
      </c>
      <c r="M1500" s="53">
        <v>0.46964120370370371</v>
      </c>
      <c r="N1500" s="51" t="s">
        <v>304</v>
      </c>
      <c r="O1500" s="51" t="s">
        <v>327</v>
      </c>
      <c r="P1500" s="51" t="s">
        <v>1279</v>
      </c>
      <c r="Q1500" s="51" t="s">
        <v>80</v>
      </c>
      <c r="R1500" s="51" t="s">
        <v>78</v>
      </c>
    </row>
    <row r="1501" spans="1:18" x14ac:dyDescent="0.25">
      <c r="A1501" s="13"/>
      <c r="B1501" s="13"/>
      <c r="L1501" s="52">
        <v>45762</v>
      </c>
      <c r="M1501" s="53">
        <v>0.46964120370370371</v>
      </c>
      <c r="N1501" s="51" t="s">
        <v>305</v>
      </c>
      <c r="O1501" s="51" t="s">
        <v>327</v>
      </c>
      <c r="P1501" s="51" t="s">
        <v>1280</v>
      </c>
      <c r="Q1501" s="51" t="s">
        <v>80</v>
      </c>
      <c r="R1501" s="51" t="s">
        <v>78</v>
      </c>
    </row>
    <row r="1502" spans="1:18" x14ac:dyDescent="0.25">
      <c r="A1502" s="13"/>
      <c r="B1502" s="13"/>
      <c r="L1502" s="52">
        <v>45762</v>
      </c>
      <c r="M1502" s="53">
        <v>0.46964120370370371</v>
      </c>
      <c r="N1502" s="51" t="s">
        <v>306</v>
      </c>
      <c r="O1502" s="51" t="s">
        <v>327</v>
      </c>
      <c r="P1502" s="51" t="s">
        <v>1281</v>
      </c>
      <c r="Q1502" s="51" t="s">
        <v>80</v>
      </c>
      <c r="R1502" s="51" t="s">
        <v>78</v>
      </c>
    </row>
    <row r="1503" spans="1:18" x14ac:dyDescent="0.25">
      <c r="A1503" s="13"/>
      <c r="B1503" s="13"/>
      <c r="L1503" s="52">
        <v>45762</v>
      </c>
      <c r="M1503" s="53">
        <v>0.46964120370370371</v>
      </c>
      <c r="N1503" s="51" t="s">
        <v>307</v>
      </c>
      <c r="O1503" s="51" t="s">
        <v>327</v>
      </c>
      <c r="P1503" s="51" t="s">
        <v>1282</v>
      </c>
      <c r="Q1503" s="51" t="s">
        <v>80</v>
      </c>
      <c r="R1503" s="51" t="s">
        <v>78</v>
      </c>
    </row>
    <row r="1504" spans="1:18" x14ac:dyDescent="0.25">
      <c r="A1504" s="13"/>
      <c r="B1504" s="13"/>
      <c r="L1504" s="52">
        <v>45762</v>
      </c>
      <c r="M1504" s="53">
        <v>0.46964120370370371</v>
      </c>
      <c r="N1504" s="51" t="s">
        <v>308</v>
      </c>
      <c r="O1504" s="51" t="s">
        <v>327</v>
      </c>
      <c r="P1504" s="51" t="s">
        <v>1283</v>
      </c>
      <c r="Q1504" s="51" t="s">
        <v>80</v>
      </c>
      <c r="R1504" s="51" t="s">
        <v>78</v>
      </c>
    </row>
    <row r="1505" spans="1:18" x14ac:dyDescent="0.25">
      <c r="A1505" s="13"/>
      <c r="B1505" s="13"/>
      <c r="L1505" s="52">
        <v>45762</v>
      </c>
      <c r="M1505" s="53">
        <v>0.46964120370370371</v>
      </c>
      <c r="N1505" s="51" t="s">
        <v>309</v>
      </c>
      <c r="O1505" s="51" t="s">
        <v>327</v>
      </c>
      <c r="P1505" s="51" t="s">
        <v>1284</v>
      </c>
      <c r="Q1505" s="51" t="s">
        <v>80</v>
      </c>
      <c r="R1505" s="51" t="s">
        <v>78</v>
      </c>
    </row>
    <row r="1506" spans="1:18" x14ac:dyDescent="0.25">
      <c r="A1506" s="13"/>
      <c r="B1506" s="13"/>
      <c r="L1506" s="52">
        <v>45762</v>
      </c>
      <c r="M1506" s="53">
        <v>0.46964120370370371</v>
      </c>
      <c r="N1506" s="51" t="s">
        <v>310</v>
      </c>
      <c r="O1506" s="51" t="s">
        <v>327</v>
      </c>
      <c r="P1506" s="51" t="s">
        <v>1285</v>
      </c>
      <c r="Q1506" s="51" t="s">
        <v>80</v>
      </c>
      <c r="R1506" s="51" t="s">
        <v>78</v>
      </c>
    </row>
    <row r="1507" spans="1:18" x14ac:dyDescent="0.25">
      <c r="A1507" s="13"/>
      <c r="B1507" s="13"/>
      <c r="L1507" s="52">
        <v>45762</v>
      </c>
      <c r="M1507" s="53">
        <v>0.46964120370370371</v>
      </c>
      <c r="N1507" s="51" t="s">
        <v>311</v>
      </c>
      <c r="O1507" s="51" t="s">
        <v>327</v>
      </c>
      <c r="P1507" s="51" t="s">
        <v>1286</v>
      </c>
      <c r="Q1507" s="51" t="s">
        <v>80</v>
      </c>
      <c r="R1507" s="51" t="s">
        <v>78</v>
      </c>
    </row>
    <row r="1508" spans="1:18" x14ac:dyDescent="0.25">
      <c r="A1508" s="13"/>
      <c r="B1508" s="13"/>
      <c r="L1508" s="52">
        <v>45762</v>
      </c>
      <c r="M1508" s="53">
        <v>0.46964120370370371</v>
      </c>
      <c r="N1508" s="51" t="s">
        <v>312</v>
      </c>
      <c r="O1508" s="51" t="s">
        <v>327</v>
      </c>
      <c r="P1508" s="51" t="s">
        <v>1287</v>
      </c>
      <c r="Q1508" s="51" t="s">
        <v>80</v>
      </c>
      <c r="R1508" s="51" t="s">
        <v>78</v>
      </c>
    </row>
    <row r="1509" spans="1:18" x14ac:dyDescent="0.25">
      <c r="A1509" s="13"/>
      <c r="B1509" s="13"/>
      <c r="L1509" s="52">
        <v>45762</v>
      </c>
      <c r="M1509" s="53">
        <v>0.46964120370370371</v>
      </c>
      <c r="N1509" s="51" t="s">
        <v>313</v>
      </c>
      <c r="O1509" s="51" t="s">
        <v>327</v>
      </c>
      <c r="P1509" s="51" t="s">
        <v>1288</v>
      </c>
      <c r="Q1509" s="51" t="s">
        <v>80</v>
      </c>
      <c r="R1509" s="51" t="s">
        <v>78</v>
      </c>
    </row>
    <row r="1510" spans="1:18" x14ac:dyDescent="0.25">
      <c r="A1510" s="13"/>
      <c r="B1510" s="13"/>
      <c r="L1510" s="52">
        <v>45762</v>
      </c>
      <c r="M1510" s="53">
        <v>0.46964120370370371</v>
      </c>
      <c r="N1510" s="51" t="s">
        <v>314</v>
      </c>
      <c r="O1510" s="51" t="s">
        <v>327</v>
      </c>
      <c r="P1510" s="51" t="s">
        <v>1289</v>
      </c>
      <c r="Q1510" s="51" t="s">
        <v>80</v>
      </c>
      <c r="R1510" s="51" t="s">
        <v>78</v>
      </c>
    </row>
    <row r="1511" spans="1:18" x14ac:dyDescent="0.25">
      <c r="A1511" s="13"/>
      <c r="B1511" s="13"/>
      <c r="L1511" s="52">
        <v>45762</v>
      </c>
      <c r="M1511" s="53">
        <v>0.46964120370370371</v>
      </c>
      <c r="N1511" s="51" t="s">
        <v>315</v>
      </c>
      <c r="O1511" s="51" t="s">
        <v>327</v>
      </c>
      <c r="P1511" s="51" t="s">
        <v>1290</v>
      </c>
      <c r="Q1511" s="51" t="s">
        <v>80</v>
      </c>
      <c r="R1511" s="51" t="s">
        <v>78</v>
      </c>
    </row>
    <row r="1512" spans="1:18" x14ac:dyDescent="0.25">
      <c r="A1512" s="13"/>
      <c r="B1512" s="13"/>
      <c r="L1512" s="52">
        <v>45762</v>
      </c>
      <c r="M1512" s="53">
        <v>0.46964120370370371</v>
      </c>
      <c r="N1512" s="51" t="s">
        <v>316</v>
      </c>
      <c r="O1512" s="51" t="s">
        <v>327</v>
      </c>
      <c r="P1512" s="51" t="s">
        <v>1291</v>
      </c>
      <c r="Q1512" s="51" t="s">
        <v>80</v>
      </c>
      <c r="R1512" s="51" t="s">
        <v>78</v>
      </c>
    </row>
    <row r="1513" spans="1:18" x14ac:dyDescent="0.25">
      <c r="A1513" s="13"/>
      <c r="B1513" s="13"/>
      <c r="L1513" s="52">
        <v>45762</v>
      </c>
      <c r="M1513" s="53">
        <v>0.46965277777777775</v>
      </c>
      <c r="N1513" s="51" t="s">
        <v>317</v>
      </c>
      <c r="O1513" s="51" t="s">
        <v>327</v>
      </c>
      <c r="P1513" s="51" t="s">
        <v>1292</v>
      </c>
      <c r="Q1513" s="51" t="s">
        <v>80</v>
      </c>
      <c r="R1513" s="51" t="s">
        <v>78</v>
      </c>
    </row>
    <row r="1514" spans="1:18" x14ac:dyDescent="0.25">
      <c r="A1514" s="13"/>
      <c r="B1514" s="13"/>
      <c r="L1514" s="52">
        <v>45762</v>
      </c>
      <c r="M1514" s="53">
        <v>0.46965277777777775</v>
      </c>
      <c r="N1514" s="51" t="s">
        <v>318</v>
      </c>
      <c r="O1514" s="51" t="s">
        <v>327</v>
      </c>
      <c r="P1514" s="51" t="s">
        <v>1293</v>
      </c>
      <c r="Q1514" s="51" t="s">
        <v>80</v>
      </c>
      <c r="R1514" s="51" t="s">
        <v>78</v>
      </c>
    </row>
    <row r="1515" spans="1:18" x14ac:dyDescent="0.25">
      <c r="A1515" s="13"/>
      <c r="B1515" s="13"/>
      <c r="L1515" s="52">
        <v>45762</v>
      </c>
      <c r="M1515" s="53">
        <v>0.46965277777777775</v>
      </c>
      <c r="N1515" s="51" t="s">
        <v>319</v>
      </c>
      <c r="O1515" s="51" t="s">
        <v>327</v>
      </c>
      <c r="P1515" s="51" t="s">
        <v>1294</v>
      </c>
      <c r="Q1515" s="51" t="s">
        <v>80</v>
      </c>
      <c r="R1515" s="51" t="s">
        <v>78</v>
      </c>
    </row>
    <row r="1516" spans="1:18" x14ac:dyDescent="0.25">
      <c r="A1516" s="13"/>
      <c r="B1516" s="13"/>
      <c r="L1516" s="52">
        <v>45762</v>
      </c>
      <c r="M1516" s="53">
        <v>0.46965277777777775</v>
      </c>
      <c r="N1516" s="51" t="s">
        <v>320</v>
      </c>
      <c r="O1516" s="51" t="s">
        <v>327</v>
      </c>
      <c r="P1516" s="51" t="s">
        <v>1295</v>
      </c>
      <c r="Q1516" s="51" t="s">
        <v>80</v>
      </c>
      <c r="R1516" s="51" t="s">
        <v>78</v>
      </c>
    </row>
    <row r="1517" spans="1:18" x14ac:dyDescent="0.25">
      <c r="A1517" s="13"/>
      <c r="B1517" s="13"/>
      <c r="L1517" s="52">
        <v>45762</v>
      </c>
      <c r="M1517" s="53">
        <v>0.46965277777777775</v>
      </c>
      <c r="N1517" s="51" t="s">
        <v>321</v>
      </c>
      <c r="O1517" s="51" t="s">
        <v>327</v>
      </c>
      <c r="P1517" s="51" t="s">
        <v>1296</v>
      </c>
      <c r="Q1517" s="51" t="s">
        <v>80</v>
      </c>
      <c r="R1517" s="51" t="s">
        <v>78</v>
      </c>
    </row>
    <row r="1518" spans="1:18" x14ac:dyDescent="0.25">
      <c r="A1518" s="13"/>
      <c r="B1518" s="13"/>
      <c r="L1518" s="52">
        <v>45762</v>
      </c>
      <c r="M1518" s="53">
        <v>0.46965277777777775</v>
      </c>
      <c r="O1518" s="51" t="s">
        <v>328</v>
      </c>
      <c r="Q1518" s="51" t="s">
        <v>1297</v>
      </c>
      <c r="R1518" s="51" t="s">
        <v>78</v>
      </c>
    </row>
    <row r="1519" spans="1:18" x14ac:dyDescent="0.25">
      <c r="A1519" s="13"/>
      <c r="B1519" s="13"/>
      <c r="L1519" s="52">
        <v>45762</v>
      </c>
      <c r="M1519" s="53">
        <v>0.46972222222222221</v>
      </c>
      <c r="O1519" s="51" t="s">
        <v>328</v>
      </c>
      <c r="Q1519" s="51" t="s">
        <v>330</v>
      </c>
      <c r="R1519" s="51" t="s">
        <v>78</v>
      </c>
    </row>
    <row r="1520" spans="1:18" x14ac:dyDescent="0.25">
      <c r="A1520" s="13"/>
      <c r="B1520" s="13"/>
      <c r="L1520" s="52">
        <v>45762</v>
      </c>
      <c r="M1520" s="53">
        <v>0.46972222222222221</v>
      </c>
      <c r="O1520" s="51" t="s">
        <v>328</v>
      </c>
      <c r="Q1520" s="51" t="s">
        <v>1298</v>
      </c>
      <c r="R1520" s="51" t="s">
        <v>78</v>
      </c>
    </row>
    <row r="1521" spans="1:18" x14ac:dyDescent="0.25">
      <c r="A1521" s="13"/>
      <c r="B1521" s="13"/>
      <c r="L1521" s="52">
        <v>45762</v>
      </c>
      <c r="M1521" s="53">
        <v>0.46972222222222221</v>
      </c>
      <c r="N1521" s="51" t="s">
        <v>138</v>
      </c>
      <c r="O1521" s="51" t="s">
        <v>328</v>
      </c>
      <c r="Q1521" s="51" t="s">
        <v>524</v>
      </c>
      <c r="R1521" s="51" t="s">
        <v>132</v>
      </c>
    </row>
    <row r="1522" spans="1:18" x14ac:dyDescent="0.25">
      <c r="A1522" s="13"/>
      <c r="B1522" s="13"/>
      <c r="L1522" s="52">
        <v>45762</v>
      </c>
      <c r="M1522" s="53">
        <v>0.46972222222222221</v>
      </c>
      <c r="N1522" s="51" t="s">
        <v>139</v>
      </c>
      <c r="O1522" s="51" t="s">
        <v>328</v>
      </c>
      <c r="Q1522" s="51" t="s">
        <v>524</v>
      </c>
      <c r="R1522" s="51" t="s">
        <v>132</v>
      </c>
    </row>
    <row r="1523" spans="1:18" x14ac:dyDescent="0.25">
      <c r="A1523" s="13"/>
      <c r="B1523" s="13"/>
      <c r="L1523" s="52">
        <v>45762</v>
      </c>
      <c r="M1523" s="53">
        <v>0.46972222222222221</v>
      </c>
      <c r="N1523" s="51" t="s">
        <v>140</v>
      </c>
      <c r="O1523" s="51" t="s">
        <v>328</v>
      </c>
      <c r="Q1523" s="51" t="s">
        <v>524</v>
      </c>
      <c r="R1523" s="51" t="s">
        <v>132</v>
      </c>
    </row>
    <row r="1524" spans="1:18" x14ac:dyDescent="0.25">
      <c r="A1524" s="13"/>
      <c r="B1524" s="13"/>
      <c r="L1524" s="52">
        <v>45762</v>
      </c>
      <c r="M1524" s="53">
        <v>0.46972222222222221</v>
      </c>
      <c r="N1524" s="51" t="s">
        <v>141</v>
      </c>
      <c r="O1524" s="51" t="s">
        <v>328</v>
      </c>
      <c r="Q1524" s="51" t="s">
        <v>524</v>
      </c>
      <c r="R1524" s="51" t="s">
        <v>132</v>
      </c>
    </row>
    <row r="1525" spans="1:18" x14ac:dyDescent="0.25">
      <c r="A1525" s="13"/>
      <c r="B1525" s="13"/>
      <c r="L1525" s="52">
        <v>45762</v>
      </c>
      <c r="M1525" s="53">
        <v>0.46972222222222221</v>
      </c>
      <c r="N1525" s="51" t="s">
        <v>142</v>
      </c>
      <c r="O1525" s="51" t="s">
        <v>328</v>
      </c>
      <c r="Q1525" s="51" t="s">
        <v>524</v>
      </c>
      <c r="R1525" s="51" t="s">
        <v>132</v>
      </c>
    </row>
    <row r="1526" spans="1:18" x14ac:dyDescent="0.25">
      <c r="A1526" s="13"/>
      <c r="B1526" s="13"/>
      <c r="L1526" s="52">
        <v>45762</v>
      </c>
      <c r="M1526" s="53">
        <v>0.46972222222222221</v>
      </c>
      <c r="N1526" s="51" t="s">
        <v>143</v>
      </c>
      <c r="O1526" s="51" t="s">
        <v>328</v>
      </c>
      <c r="Q1526" s="51" t="s">
        <v>524</v>
      </c>
      <c r="R1526" s="51" t="s">
        <v>132</v>
      </c>
    </row>
    <row r="1527" spans="1:18" x14ac:dyDescent="0.25">
      <c r="A1527" s="13"/>
      <c r="B1527" s="13"/>
      <c r="L1527" s="52">
        <v>45762</v>
      </c>
      <c r="M1527" s="53">
        <v>0.46972222222222221</v>
      </c>
      <c r="N1527" s="51" t="s">
        <v>144</v>
      </c>
      <c r="O1527" s="51" t="s">
        <v>328</v>
      </c>
      <c r="Q1527" s="51" t="s">
        <v>524</v>
      </c>
      <c r="R1527" s="51" t="s">
        <v>132</v>
      </c>
    </row>
    <row r="1528" spans="1:18" x14ac:dyDescent="0.25">
      <c r="A1528" s="13"/>
      <c r="B1528" s="13"/>
      <c r="L1528" s="52">
        <v>45762</v>
      </c>
      <c r="M1528" s="53">
        <v>0.46972222222222221</v>
      </c>
      <c r="N1528" s="51" t="s">
        <v>145</v>
      </c>
      <c r="O1528" s="51" t="s">
        <v>328</v>
      </c>
      <c r="Q1528" s="51" t="s">
        <v>524</v>
      </c>
      <c r="R1528" s="51" t="s">
        <v>132</v>
      </c>
    </row>
    <row r="1529" spans="1:18" x14ac:dyDescent="0.25">
      <c r="A1529" s="13"/>
      <c r="B1529" s="13"/>
      <c r="L1529" s="52">
        <v>45762</v>
      </c>
      <c r="M1529" s="53">
        <v>0.46972222222222221</v>
      </c>
      <c r="N1529" s="51" t="s">
        <v>146</v>
      </c>
      <c r="O1529" s="51" t="s">
        <v>328</v>
      </c>
      <c r="Q1529" s="51" t="s">
        <v>524</v>
      </c>
      <c r="R1529" s="51" t="s">
        <v>132</v>
      </c>
    </row>
    <row r="1530" spans="1:18" x14ac:dyDescent="0.25">
      <c r="A1530" s="13"/>
      <c r="B1530" s="13"/>
      <c r="L1530" s="52">
        <v>45762</v>
      </c>
      <c r="M1530" s="53">
        <v>0.46972222222222221</v>
      </c>
      <c r="N1530" s="51" t="s">
        <v>147</v>
      </c>
      <c r="O1530" s="51" t="s">
        <v>328</v>
      </c>
      <c r="Q1530" s="51" t="s">
        <v>524</v>
      </c>
      <c r="R1530" s="51" t="s">
        <v>132</v>
      </c>
    </row>
    <row r="1531" spans="1:18" x14ac:dyDescent="0.25">
      <c r="A1531" s="13"/>
      <c r="B1531" s="13"/>
      <c r="L1531" s="52">
        <v>45762</v>
      </c>
      <c r="M1531" s="53">
        <v>0.46972222222222221</v>
      </c>
      <c r="N1531" s="51" t="s">
        <v>148</v>
      </c>
      <c r="O1531" s="51" t="s">
        <v>328</v>
      </c>
      <c r="Q1531" s="51" t="s">
        <v>524</v>
      </c>
      <c r="R1531" s="51" t="s">
        <v>132</v>
      </c>
    </row>
    <row r="1532" spans="1:18" x14ac:dyDescent="0.25">
      <c r="A1532" s="13"/>
      <c r="B1532" s="13"/>
      <c r="L1532" s="52">
        <v>45762</v>
      </c>
      <c r="M1532" s="53">
        <v>0.46972222222222221</v>
      </c>
      <c r="N1532" s="51" t="s">
        <v>149</v>
      </c>
      <c r="O1532" s="51" t="s">
        <v>328</v>
      </c>
      <c r="Q1532" s="51" t="s">
        <v>524</v>
      </c>
      <c r="R1532" s="51" t="s">
        <v>132</v>
      </c>
    </row>
    <row r="1533" spans="1:18" x14ac:dyDescent="0.25">
      <c r="A1533" s="13"/>
      <c r="B1533" s="13"/>
      <c r="L1533" s="52">
        <v>45762</v>
      </c>
      <c r="M1533" s="53">
        <v>0.46972222222222221</v>
      </c>
      <c r="N1533" s="51" t="s">
        <v>150</v>
      </c>
      <c r="O1533" s="51" t="s">
        <v>328</v>
      </c>
      <c r="Q1533" s="51" t="s">
        <v>524</v>
      </c>
      <c r="R1533" s="51" t="s">
        <v>132</v>
      </c>
    </row>
    <row r="1534" spans="1:18" x14ac:dyDescent="0.25">
      <c r="A1534" s="13"/>
      <c r="B1534" s="13"/>
      <c r="L1534" s="52">
        <v>45762</v>
      </c>
      <c r="M1534" s="53">
        <v>0.46972222222222221</v>
      </c>
      <c r="N1534" s="51" t="s">
        <v>151</v>
      </c>
      <c r="O1534" s="51" t="s">
        <v>328</v>
      </c>
      <c r="Q1534" s="51" t="s">
        <v>524</v>
      </c>
      <c r="R1534" s="51" t="s">
        <v>132</v>
      </c>
    </row>
    <row r="1535" spans="1:18" x14ac:dyDescent="0.25">
      <c r="A1535" s="13"/>
      <c r="B1535" s="13"/>
      <c r="L1535" s="52">
        <v>45762</v>
      </c>
      <c r="M1535" s="53">
        <v>0.46972222222222221</v>
      </c>
      <c r="N1535" s="51" t="s">
        <v>152</v>
      </c>
      <c r="O1535" s="51" t="s">
        <v>328</v>
      </c>
      <c r="Q1535" s="51" t="s">
        <v>524</v>
      </c>
      <c r="R1535" s="51" t="s">
        <v>132</v>
      </c>
    </row>
    <row r="1536" spans="1:18" x14ac:dyDescent="0.25">
      <c r="A1536" s="13"/>
      <c r="B1536" s="13"/>
      <c r="L1536" s="52">
        <v>45762</v>
      </c>
      <c r="M1536" s="53">
        <v>0.46972222222222221</v>
      </c>
      <c r="N1536" s="51" t="s">
        <v>153</v>
      </c>
      <c r="O1536" s="51" t="s">
        <v>328</v>
      </c>
      <c r="Q1536" s="51" t="s">
        <v>524</v>
      </c>
      <c r="R1536" s="51" t="s">
        <v>132</v>
      </c>
    </row>
    <row r="1537" spans="1:18" x14ac:dyDescent="0.25">
      <c r="A1537" s="13"/>
      <c r="B1537" s="13"/>
      <c r="L1537" s="52">
        <v>45762</v>
      </c>
      <c r="M1537" s="53">
        <v>0.46972222222222221</v>
      </c>
      <c r="N1537" s="51" t="s">
        <v>154</v>
      </c>
      <c r="O1537" s="51" t="s">
        <v>328</v>
      </c>
      <c r="Q1537" s="51" t="s">
        <v>524</v>
      </c>
      <c r="R1537" s="51" t="s">
        <v>132</v>
      </c>
    </row>
    <row r="1538" spans="1:18" x14ac:dyDescent="0.25">
      <c r="A1538" s="13"/>
      <c r="B1538" s="13"/>
      <c r="L1538" s="52">
        <v>45762</v>
      </c>
      <c r="M1538" s="53">
        <v>0.46972222222222221</v>
      </c>
      <c r="N1538" s="51" t="s">
        <v>155</v>
      </c>
      <c r="O1538" s="51" t="s">
        <v>328</v>
      </c>
      <c r="Q1538" s="51" t="s">
        <v>524</v>
      </c>
      <c r="R1538" s="51" t="s">
        <v>132</v>
      </c>
    </row>
    <row r="1539" spans="1:18" x14ac:dyDescent="0.25">
      <c r="A1539" s="13"/>
      <c r="B1539" s="13"/>
      <c r="L1539" s="52">
        <v>45762</v>
      </c>
      <c r="M1539" s="53">
        <v>0.46972222222222221</v>
      </c>
      <c r="N1539" s="51" t="s">
        <v>156</v>
      </c>
      <c r="O1539" s="51" t="s">
        <v>328</v>
      </c>
      <c r="Q1539" s="51" t="s">
        <v>524</v>
      </c>
      <c r="R1539" s="51" t="s">
        <v>132</v>
      </c>
    </row>
    <row r="1540" spans="1:18" x14ac:dyDescent="0.25">
      <c r="A1540" s="13"/>
      <c r="B1540" s="13"/>
      <c r="L1540" s="52">
        <v>45762</v>
      </c>
      <c r="M1540" s="53">
        <v>0.46972222222222221</v>
      </c>
      <c r="N1540" s="51" t="s">
        <v>157</v>
      </c>
      <c r="O1540" s="51" t="s">
        <v>328</v>
      </c>
      <c r="P1540" s="51" t="s">
        <v>1299</v>
      </c>
      <c r="Q1540" s="51" t="s">
        <v>80</v>
      </c>
      <c r="R1540" s="51" t="s">
        <v>78</v>
      </c>
    </row>
    <row r="1541" spans="1:18" x14ac:dyDescent="0.25">
      <c r="A1541" s="13"/>
      <c r="B1541" s="13"/>
      <c r="L1541" s="52">
        <v>45762</v>
      </c>
      <c r="M1541" s="53">
        <v>0.46972222222222221</v>
      </c>
      <c r="N1541" s="51" t="s">
        <v>158</v>
      </c>
      <c r="O1541" s="51" t="s">
        <v>328</v>
      </c>
      <c r="P1541" s="51" t="s">
        <v>1300</v>
      </c>
      <c r="Q1541" s="51" t="s">
        <v>80</v>
      </c>
      <c r="R1541" s="51" t="s">
        <v>78</v>
      </c>
    </row>
    <row r="1542" spans="1:18" x14ac:dyDescent="0.25">
      <c r="A1542" s="13"/>
      <c r="B1542" s="13"/>
      <c r="L1542" s="52">
        <v>45762</v>
      </c>
      <c r="M1542" s="53">
        <v>0.46972222222222221</v>
      </c>
      <c r="N1542" s="51" t="s">
        <v>159</v>
      </c>
      <c r="O1542" s="51" t="s">
        <v>328</v>
      </c>
      <c r="P1542" s="51" t="s">
        <v>1301</v>
      </c>
      <c r="Q1542" s="51" t="s">
        <v>80</v>
      </c>
      <c r="R1542" s="51" t="s">
        <v>78</v>
      </c>
    </row>
    <row r="1543" spans="1:18" x14ac:dyDescent="0.25">
      <c r="A1543" s="13"/>
      <c r="B1543" s="13"/>
      <c r="L1543" s="52">
        <v>45762</v>
      </c>
      <c r="M1543" s="53">
        <v>0.46972222222222221</v>
      </c>
      <c r="N1543" s="51" t="s">
        <v>160</v>
      </c>
      <c r="O1543" s="51" t="s">
        <v>328</v>
      </c>
      <c r="P1543" s="51" t="s">
        <v>1302</v>
      </c>
      <c r="Q1543" s="51" t="s">
        <v>80</v>
      </c>
      <c r="R1543" s="51" t="s">
        <v>78</v>
      </c>
    </row>
    <row r="1544" spans="1:18" x14ac:dyDescent="0.25">
      <c r="A1544" s="13"/>
      <c r="B1544" s="13"/>
      <c r="L1544" s="52">
        <v>45762</v>
      </c>
      <c r="M1544" s="53">
        <v>0.46972222222222221</v>
      </c>
      <c r="N1544" s="51" t="s">
        <v>161</v>
      </c>
      <c r="O1544" s="51" t="s">
        <v>328</v>
      </c>
      <c r="P1544" s="51" t="s">
        <v>1303</v>
      </c>
      <c r="Q1544" s="51" t="s">
        <v>80</v>
      </c>
      <c r="R1544" s="51" t="s">
        <v>78</v>
      </c>
    </row>
    <row r="1545" spans="1:18" x14ac:dyDescent="0.25">
      <c r="A1545" s="13"/>
      <c r="B1545" s="13"/>
      <c r="L1545" s="52">
        <v>45762</v>
      </c>
      <c r="M1545" s="53">
        <v>0.46972222222222221</v>
      </c>
      <c r="N1545" s="51" t="s">
        <v>162</v>
      </c>
      <c r="O1545" s="51" t="s">
        <v>328</v>
      </c>
      <c r="P1545" s="51" t="s">
        <v>1304</v>
      </c>
      <c r="Q1545" s="51" t="s">
        <v>80</v>
      </c>
      <c r="R1545" s="51" t="s">
        <v>78</v>
      </c>
    </row>
    <row r="1546" spans="1:18" x14ac:dyDescent="0.25">
      <c r="A1546" s="13"/>
      <c r="B1546" s="13"/>
      <c r="L1546" s="52">
        <v>45762</v>
      </c>
      <c r="M1546" s="53">
        <v>0.46972222222222221</v>
      </c>
      <c r="N1546" s="51" t="s">
        <v>163</v>
      </c>
      <c r="O1546" s="51" t="s">
        <v>328</v>
      </c>
      <c r="Q1546" s="51" t="s">
        <v>524</v>
      </c>
      <c r="R1546" s="51" t="s">
        <v>132</v>
      </c>
    </row>
    <row r="1547" spans="1:18" x14ac:dyDescent="0.25">
      <c r="A1547" s="13"/>
      <c r="B1547" s="13"/>
      <c r="L1547" s="52">
        <v>45762</v>
      </c>
      <c r="M1547" s="53">
        <v>0.46972222222222221</v>
      </c>
      <c r="N1547" s="51" t="s">
        <v>164</v>
      </c>
      <c r="O1547" s="51" t="s">
        <v>328</v>
      </c>
      <c r="Q1547" s="51" t="s">
        <v>524</v>
      </c>
      <c r="R1547" s="51" t="s">
        <v>132</v>
      </c>
    </row>
    <row r="1548" spans="1:18" x14ac:dyDescent="0.25">
      <c r="A1548" s="13"/>
      <c r="B1548" s="13"/>
      <c r="L1548" s="52">
        <v>45762</v>
      </c>
      <c r="M1548" s="53">
        <v>0.46972222222222221</v>
      </c>
      <c r="N1548" s="51" t="s">
        <v>165</v>
      </c>
      <c r="O1548" s="51" t="s">
        <v>328</v>
      </c>
      <c r="Q1548" s="51" t="s">
        <v>524</v>
      </c>
      <c r="R1548" s="51" t="s">
        <v>132</v>
      </c>
    </row>
    <row r="1549" spans="1:18" x14ac:dyDescent="0.25">
      <c r="A1549" s="13"/>
      <c r="B1549" s="13"/>
      <c r="L1549" s="52">
        <v>45762</v>
      </c>
      <c r="M1549" s="53">
        <v>0.46972222222222221</v>
      </c>
      <c r="N1549" s="51" t="s">
        <v>166</v>
      </c>
      <c r="O1549" s="51" t="s">
        <v>328</v>
      </c>
      <c r="P1549" s="51" t="s">
        <v>1305</v>
      </c>
      <c r="Q1549" s="51" t="s">
        <v>80</v>
      </c>
      <c r="R1549" s="51" t="s">
        <v>78</v>
      </c>
    </row>
    <row r="1550" spans="1:18" x14ac:dyDescent="0.25">
      <c r="A1550" s="13"/>
      <c r="B1550" s="13"/>
      <c r="L1550" s="52">
        <v>45762</v>
      </c>
      <c r="M1550" s="53">
        <v>0.46972222222222221</v>
      </c>
      <c r="N1550" s="51" t="s">
        <v>167</v>
      </c>
      <c r="O1550" s="51" t="s">
        <v>328</v>
      </c>
      <c r="P1550" s="51" t="s">
        <v>1306</v>
      </c>
      <c r="Q1550" s="51" t="s">
        <v>80</v>
      </c>
      <c r="R1550" s="51" t="s">
        <v>78</v>
      </c>
    </row>
    <row r="1551" spans="1:18" x14ac:dyDescent="0.25">
      <c r="A1551" s="13"/>
      <c r="B1551" s="13"/>
      <c r="L1551" s="52">
        <v>45762</v>
      </c>
      <c r="M1551" s="53">
        <v>0.46972222222222221</v>
      </c>
      <c r="N1551" s="51" t="s">
        <v>168</v>
      </c>
      <c r="O1551" s="51" t="s">
        <v>328</v>
      </c>
      <c r="P1551" s="51" t="s">
        <v>1307</v>
      </c>
      <c r="Q1551" s="51" t="s">
        <v>80</v>
      </c>
      <c r="R1551" s="51" t="s">
        <v>78</v>
      </c>
    </row>
    <row r="1552" spans="1:18" x14ac:dyDescent="0.25">
      <c r="A1552" s="13"/>
      <c r="B1552" s="13"/>
      <c r="L1552" s="52">
        <v>45762</v>
      </c>
      <c r="M1552" s="53">
        <v>0.46972222222222221</v>
      </c>
      <c r="N1552" s="51" t="s">
        <v>169</v>
      </c>
      <c r="O1552" s="51" t="s">
        <v>328</v>
      </c>
      <c r="P1552" s="51" t="s">
        <v>1308</v>
      </c>
      <c r="Q1552" s="51" t="s">
        <v>80</v>
      </c>
      <c r="R1552" s="51" t="s">
        <v>78</v>
      </c>
    </row>
    <row r="1553" spans="1:18" x14ac:dyDescent="0.25">
      <c r="A1553" s="13"/>
      <c r="B1553" s="13"/>
      <c r="L1553" s="52">
        <v>45762</v>
      </c>
      <c r="M1553" s="53">
        <v>0.46972222222222221</v>
      </c>
      <c r="N1553" s="51" t="s">
        <v>170</v>
      </c>
      <c r="O1553" s="51" t="s">
        <v>328</v>
      </c>
      <c r="P1553" s="51" t="s">
        <v>1309</v>
      </c>
      <c r="Q1553" s="51" t="s">
        <v>80</v>
      </c>
      <c r="R1553" s="51" t="s">
        <v>78</v>
      </c>
    </row>
    <row r="1554" spans="1:18" x14ac:dyDescent="0.25">
      <c r="A1554" s="13"/>
      <c r="B1554" s="13"/>
      <c r="L1554" s="52">
        <v>45762</v>
      </c>
      <c r="M1554" s="53">
        <v>0.46972222222222221</v>
      </c>
      <c r="N1554" s="51" t="s">
        <v>171</v>
      </c>
      <c r="O1554" s="51" t="s">
        <v>328</v>
      </c>
      <c r="P1554" s="51" t="s">
        <v>1310</v>
      </c>
      <c r="Q1554" s="51" t="s">
        <v>80</v>
      </c>
      <c r="R1554" s="51" t="s">
        <v>78</v>
      </c>
    </row>
    <row r="1555" spans="1:18" x14ac:dyDescent="0.25">
      <c r="A1555" s="13"/>
      <c r="B1555" s="13"/>
      <c r="L1555" s="52">
        <v>45762</v>
      </c>
      <c r="M1555" s="53">
        <v>0.46972222222222221</v>
      </c>
      <c r="N1555" s="51" t="s">
        <v>172</v>
      </c>
      <c r="O1555" s="51" t="s">
        <v>328</v>
      </c>
      <c r="Q1555" s="51" t="s">
        <v>524</v>
      </c>
      <c r="R1555" s="51" t="s">
        <v>132</v>
      </c>
    </row>
    <row r="1556" spans="1:18" x14ac:dyDescent="0.25">
      <c r="A1556" s="13"/>
      <c r="B1556" s="13"/>
      <c r="L1556" s="52">
        <v>45762</v>
      </c>
      <c r="M1556" s="53">
        <v>0.46972222222222221</v>
      </c>
      <c r="N1556" s="51" t="s">
        <v>173</v>
      </c>
      <c r="O1556" s="51" t="s">
        <v>328</v>
      </c>
      <c r="Q1556" s="51" t="s">
        <v>524</v>
      </c>
      <c r="R1556" s="51" t="s">
        <v>132</v>
      </c>
    </row>
    <row r="1557" spans="1:18" x14ac:dyDescent="0.25">
      <c r="A1557" s="13"/>
      <c r="B1557" s="13"/>
      <c r="L1557" s="52">
        <v>45762</v>
      </c>
      <c r="M1557" s="53">
        <v>0.46972222222222221</v>
      </c>
      <c r="N1557" s="51" t="s">
        <v>174</v>
      </c>
      <c r="O1557" s="51" t="s">
        <v>328</v>
      </c>
      <c r="Q1557" s="51" t="s">
        <v>524</v>
      </c>
      <c r="R1557" s="51" t="s">
        <v>132</v>
      </c>
    </row>
    <row r="1558" spans="1:18" x14ac:dyDescent="0.25">
      <c r="A1558" s="13"/>
      <c r="B1558" s="13"/>
      <c r="L1558" s="52">
        <v>45762</v>
      </c>
      <c r="M1558" s="53">
        <v>0.46972222222222221</v>
      </c>
      <c r="N1558" s="51" t="s">
        <v>175</v>
      </c>
      <c r="O1558" s="51" t="s">
        <v>328</v>
      </c>
      <c r="Q1558" s="51" t="s">
        <v>524</v>
      </c>
      <c r="R1558" s="51" t="s">
        <v>132</v>
      </c>
    </row>
    <row r="1559" spans="1:18" x14ac:dyDescent="0.25">
      <c r="A1559" s="13"/>
      <c r="B1559" s="13"/>
      <c r="L1559" s="52">
        <v>45762</v>
      </c>
      <c r="M1559" s="53">
        <v>0.46972222222222221</v>
      </c>
      <c r="N1559" s="51" t="s">
        <v>176</v>
      </c>
      <c r="O1559" s="51" t="s">
        <v>328</v>
      </c>
      <c r="Q1559" s="51" t="s">
        <v>524</v>
      </c>
      <c r="R1559" s="51" t="s">
        <v>132</v>
      </c>
    </row>
    <row r="1560" spans="1:18" x14ac:dyDescent="0.25">
      <c r="A1560" s="13"/>
      <c r="B1560" s="13"/>
      <c r="L1560" s="52">
        <v>45762</v>
      </c>
      <c r="M1560" s="53">
        <v>0.46972222222222221</v>
      </c>
      <c r="N1560" s="51" t="s">
        <v>177</v>
      </c>
      <c r="O1560" s="51" t="s">
        <v>328</v>
      </c>
      <c r="Q1560" s="51" t="s">
        <v>524</v>
      </c>
      <c r="R1560" s="51" t="s">
        <v>132</v>
      </c>
    </row>
    <row r="1561" spans="1:18" x14ac:dyDescent="0.25">
      <c r="A1561" s="13"/>
      <c r="B1561" s="13"/>
      <c r="L1561" s="52">
        <v>45762</v>
      </c>
      <c r="M1561" s="53">
        <v>0.46972222222222221</v>
      </c>
      <c r="N1561" s="51" t="s">
        <v>177</v>
      </c>
      <c r="O1561" s="51" t="s">
        <v>328</v>
      </c>
      <c r="Q1561" s="51" t="s">
        <v>524</v>
      </c>
      <c r="R1561" s="51" t="s">
        <v>132</v>
      </c>
    </row>
    <row r="1562" spans="1:18" x14ac:dyDescent="0.25">
      <c r="A1562" s="13"/>
      <c r="B1562" s="13"/>
      <c r="L1562" s="52">
        <v>45762</v>
      </c>
      <c r="M1562" s="53">
        <v>0.46972222222222221</v>
      </c>
      <c r="N1562" s="51" t="s">
        <v>178</v>
      </c>
      <c r="O1562" s="51" t="s">
        <v>328</v>
      </c>
      <c r="Q1562" s="51" t="s">
        <v>524</v>
      </c>
      <c r="R1562" s="51" t="s">
        <v>132</v>
      </c>
    </row>
    <row r="1563" spans="1:18" x14ac:dyDescent="0.25">
      <c r="A1563" s="13"/>
      <c r="B1563" s="13"/>
      <c r="L1563" s="52">
        <v>45762</v>
      </c>
      <c r="M1563" s="53">
        <v>0.46972222222222221</v>
      </c>
      <c r="N1563" s="51" t="s">
        <v>178</v>
      </c>
      <c r="O1563" s="51" t="s">
        <v>328</v>
      </c>
      <c r="Q1563" s="51" t="s">
        <v>524</v>
      </c>
      <c r="R1563" s="51" t="s">
        <v>132</v>
      </c>
    </row>
    <row r="1564" spans="1:18" x14ac:dyDescent="0.25">
      <c r="A1564" s="13"/>
      <c r="B1564" s="13"/>
      <c r="L1564" s="52">
        <v>45762</v>
      </c>
      <c r="M1564" s="53">
        <v>0.46972222222222221</v>
      </c>
      <c r="N1564" s="51" t="s">
        <v>179</v>
      </c>
      <c r="O1564" s="51" t="s">
        <v>328</v>
      </c>
      <c r="Q1564" s="51" t="s">
        <v>524</v>
      </c>
      <c r="R1564" s="51" t="s">
        <v>132</v>
      </c>
    </row>
    <row r="1565" spans="1:18" x14ac:dyDescent="0.25">
      <c r="A1565" s="13"/>
      <c r="B1565" s="13"/>
      <c r="L1565" s="52">
        <v>45762</v>
      </c>
      <c r="M1565" s="53">
        <v>0.46972222222222221</v>
      </c>
      <c r="N1565" s="51" t="s">
        <v>180</v>
      </c>
      <c r="O1565" s="51" t="s">
        <v>328</v>
      </c>
      <c r="Q1565" s="51" t="s">
        <v>524</v>
      </c>
      <c r="R1565" s="51" t="s">
        <v>132</v>
      </c>
    </row>
    <row r="1566" spans="1:18" x14ac:dyDescent="0.25">
      <c r="A1566" s="13"/>
      <c r="B1566" s="13"/>
      <c r="L1566" s="52">
        <v>45762</v>
      </c>
      <c r="M1566" s="53">
        <v>0.46972222222222221</v>
      </c>
      <c r="N1566" s="51" t="s">
        <v>181</v>
      </c>
      <c r="O1566" s="51" t="s">
        <v>328</v>
      </c>
      <c r="P1566" s="51" t="s">
        <v>1311</v>
      </c>
      <c r="Q1566" s="51" t="s">
        <v>80</v>
      </c>
      <c r="R1566" s="51" t="s">
        <v>78</v>
      </c>
    </row>
    <row r="1567" spans="1:18" x14ac:dyDescent="0.25">
      <c r="A1567" s="13"/>
      <c r="B1567" s="13"/>
      <c r="L1567" s="52">
        <v>45762</v>
      </c>
      <c r="M1567" s="53">
        <v>0.46972222222222221</v>
      </c>
      <c r="N1567" s="51" t="s">
        <v>182</v>
      </c>
      <c r="O1567" s="51" t="s">
        <v>328</v>
      </c>
      <c r="Q1567" s="51" t="s">
        <v>524</v>
      </c>
      <c r="R1567" s="51" t="s">
        <v>132</v>
      </c>
    </row>
    <row r="1568" spans="1:18" x14ac:dyDescent="0.25">
      <c r="A1568" s="13"/>
      <c r="B1568" s="13"/>
      <c r="L1568" s="52">
        <v>45762</v>
      </c>
      <c r="M1568" s="53">
        <v>0.46972222222222221</v>
      </c>
      <c r="N1568" s="51" t="s">
        <v>183</v>
      </c>
      <c r="O1568" s="51" t="s">
        <v>328</v>
      </c>
      <c r="Q1568" s="51" t="s">
        <v>524</v>
      </c>
      <c r="R1568" s="51" t="s">
        <v>132</v>
      </c>
    </row>
    <row r="1569" spans="1:18" x14ac:dyDescent="0.25">
      <c r="A1569" s="13"/>
      <c r="B1569" s="13"/>
      <c r="L1569" s="52">
        <v>45762</v>
      </c>
      <c r="M1569" s="53">
        <v>0.46972222222222221</v>
      </c>
      <c r="N1569" s="51" t="s">
        <v>184</v>
      </c>
      <c r="O1569" s="51" t="s">
        <v>328</v>
      </c>
      <c r="P1569" s="51" t="s">
        <v>1312</v>
      </c>
      <c r="Q1569" s="51" t="s">
        <v>80</v>
      </c>
      <c r="R1569" s="51" t="s">
        <v>78</v>
      </c>
    </row>
    <row r="1570" spans="1:18" x14ac:dyDescent="0.25">
      <c r="A1570" s="13"/>
      <c r="B1570" s="13"/>
      <c r="L1570" s="52">
        <v>45762</v>
      </c>
      <c r="M1570" s="53">
        <v>0.46972222222222221</v>
      </c>
      <c r="N1570" s="51" t="s">
        <v>185</v>
      </c>
      <c r="O1570" s="51" t="s">
        <v>328</v>
      </c>
      <c r="P1570" s="51" t="s">
        <v>1313</v>
      </c>
      <c r="Q1570" s="51" t="s">
        <v>80</v>
      </c>
      <c r="R1570" s="51" t="s">
        <v>78</v>
      </c>
    </row>
    <row r="1571" spans="1:18" x14ac:dyDescent="0.25">
      <c r="A1571" s="13"/>
      <c r="B1571" s="13"/>
      <c r="L1571" s="52">
        <v>45762</v>
      </c>
      <c r="M1571" s="53">
        <v>0.46972222222222221</v>
      </c>
      <c r="N1571" s="51" t="s">
        <v>186</v>
      </c>
      <c r="O1571" s="51" t="s">
        <v>328</v>
      </c>
      <c r="P1571" s="51" t="s">
        <v>1314</v>
      </c>
      <c r="Q1571" s="51" t="s">
        <v>80</v>
      </c>
      <c r="R1571" s="51" t="s">
        <v>78</v>
      </c>
    </row>
    <row r="1572" spans="1:18" x14ac:dyDescent="0.25">
      <c r="A1572" s="13"/>
      <c r="B1572" s="13"/>
      <c r="L1572" s="52">
        <v>45762</v>
      </c>
      <c r="M1572" s="53">
        <v>0.46972222222222221</v>
      </c>
      <c r="N1572" s="51" t="s">
        <v>187</v>
      </c>
      <c r="O1572" s="51" t="s">
        <v>328</v>
      </c>
      <c r="P1572" s="51" t="s">
        <v>1315</v>
      </c>
      <c r="Q1572" s="51" t="s">
        <v>80</v>
      </c>
      <c r="R1572" s="51" t="s">
        <v>78</v>
      </c>
    </row>
    <row r="1573" spans="1:18" x14ac:dyDescent="0.25">
      <c r="A1573" s="13"/>
      <c r="B1573" s="13"/>
      <c r="L1573" s="52">
        <v>45762</v>
      </c>
      <c r="M1573" s="53">
        <v>0.46972222222222221</v>
      </c>
      <c r="N1573" s="51" t="s">
        <v>188</v>
      </c>
      <c r="O1573" s="51" t="s">
        <v>328</v>
      </c>
      <c r="P1573" s="51" t="s">
        <v>1316</v>
      </c>
      <c r="Q1573" s="51" t="s">
        <v>80</v>
      </c>
      <c r="R1573" s="51" t="s">
        <v>78</v>
      </c>
    </row>
    <row r="1574" spans="1:18" x14ac:dyDescent="0.25">
      <c r="A1574" s="13"/>
      <c r="B1574" s="13"/>
      <c r="L1574" s="52">
        <v>45762</v>
      </c>
      <c r="M1574" s="53">
        <v>0.46972222222222221</v>
      </c>
      <c r="N1574" s="51" t="s">
        <v>189</v>
      </c>
      <c r="O1574" s="51" t="s">
        <v>328</v>
      </c>
      <c r="P1574" s="51" t="s">
        <v>1317</v>
      </c>
      <c r="Q1574" s="51" t="s">
        <v>80</v>
      </c>
      <c r="R1574" s="51" t="s">
        <v>78</v>
      </c>
    </row>
    <row r="1575" spans="1:18" x14ac:dyDescent="0.25">
      <c r="A1575" s="13"/>
      <c r="B1575" s="13"/>
      <c r="L1575" s="52">
        <v>45762</v>
      </c>
      <c r="M1575" s="53">
        <v>0.46972222222222221</v>
      </c>
      <c r="N1575" s="51" t="s">
        <v>190</v>
      </c>
      <c r="O1575" s="51" t="s">
        <v>328</v>
      </c>
      <c r="P1575" s="51" t="s">
        <v>1318</v>
      </c>
      <c r="Q1575" s="51" t="s">
        <v>80</v>
      </c>
      <c r="R1575" s="51" t="s">
        <v>78</v>
      </c>
    </row>
    <row r="1576" spans="1:18" x14ac:dyDescent="0.25">
      <c r="A1576" s="13"/>
      <c r="B1576" s="13"/>
      <c r="L1576" s="52">
        <v>45762</v>
      </c>
      <c r="M1576" s="53">
        <v>0.46972222222222221</v>
      </c>
      <c r="N1576" s="51" t="s">
        <v>191</v>
      </c>
      <c r="O1576" s="51" t="s">
        <v>328</v>
      </c>
      <c r="P1576" s="51" t="s">
        <v>1319</v>
      </c>
      <c r="Q1576" s="51" t="s">
        <v>80</v>
      </c>
      <c r="R1576" s="51" t="s">
        <v>78</v>
      </c>
    </row>
    <row r="1577" spans="1:18" x14ac:dyDescent="0.25">
      <c r="A1577" s="13"/>
      <c r="B1577" s="13"/>
      <c r="L1577" s="52">
        <v>45762</v>
      </c>
      <c r="M1577" s="53">
        <v>0.46972222222222221</v>
      </c>
      <c r="N1577" s="51" t="s">
        <v>192</v>
      </c>
      <c r="O1577" s="51" t="s">
        <v>328</v>
      </c>
      <c r="Q1577" s="51" t="s">
        <v>524</v>
      </c>
      <c r="R1577" s="51" t="s">
        <v>132</v>
      </c>
    </row>
    <row r="1578" spans="1:18" x14ac:dyDescent="0.25">
      <c r="A1578" s="13"/>
      <c r="B1578" s="13"/>
      <c r="L1578" s="52">
        <v>45762</v>
      </c>
      <c r="M1578" s="53">
        <v>0.46972222222222221</v>
      </c>
      <c r="N1578" s="51" t="s">
        <v>193</v>
      </c>
      <c r="O1578" s="51" t="s">
        <v>328</v>
      </c>
      <c r="P1578" s="51" t="s">
        <v>1320</v>
      </c>
      <c r="Q1578" s="51" t="s">
        <v>80</v>
      </c>
      <c r="R1578" s="51" t="s">
        <v>78</v>
      </c>
    </row>
    <row r="1579" spans="1:18" x14ac:dyDescent="0.25">
      <c r="A1579" s="13"/>
      <c r="B1579" s="13"/>
      <c r="L1579" s="52">
        <v>45762</v>
      </c>
      <c r="M1579" s="53">
        <v>0.46972222222222221</v>
      </c>
      <c r="N1579" s="51" t="s">
        <v>194</v>
      </c>
      <c r="O1579" s="51" t="s">
        <v>328</v>
      </c>
      <c r="P1579" s="51" t="s">
        <v>1321</v>
      </c>
      <c r="Q1579" s="51" t="s">
        <v>80</v>
      </c>
      <c r="R1579" s="51" t="s">
        <v>78</v>
      </c>
    </row>
    <row r="1580" spans="1:18" x14ac:dyDescent="0.25">
      <c r="A1580" s="13"/>
      <c r="B1580" s="13"/>
      <c r="L1580" s="52">
        <v>45762</v>
      </c>
      <c r="M1580" s="53">
        <v>0.46972222222222221</v>
      </c>
      <c r="N1580" s="51" t="s">
        <v>195</v>
      </c>
      <c r="O1580" s="51" t="s">
        <v>328</v>
      </c>
      <c r="Q1580" s="51" t="s">
        <v>524</v>
      </c>
      <c r="R1580" s="51" t="s">
        <v>132</v>
      </c>
    </row>
    <row r="1581" spans="1:18" x14ac:dyDescent="0.25">
      <c r="A1581" s="13"/>
      <c r="B1581" s="13"/>
      <c r="L1581" s="52">
        <v>45762</v>
      </c>
      <c r="M1581" s="53">
        <v>0.46972222222222221</v>
      </c>
      <c r="N1581" s="51" t="s">
        <v>196</v>
      </c>
      <c r="O1581" s="51" t="s">
        <v>328</v>
      </c>
      <c r="P1581" s="51" t="s">
        <v>1322</v>
      </c>
      <c r="Q1581" s="51" t="s">
        <v>80</v>
      </c>
      <c r="R1581" s="51" t="s">
        <v>78</v>
      </c>
    </row>
    <row r="1582" spans="1:18" x14ac:dyDescent="0.25">
      <c r="A1582" s="13"/>
      <c r="B1582" s="13"/>
      <c r="L1582" s="52">
        <v>45762</v>
      </c>
      <c r="M1582" s="53">
        <v>0.46972222222222221</v>
      </c>
      <c r="N1582" s="51" t="s">
        <v>197</v>
      </c>
      <c r="O1582" s="51" t="s">
        <v>328</v>
      </c>
      <c r="P1582" s="51" t="s">
        <v>1323</v>
      </c>
      <c r="Q1582" s="51" t="s">
        <v>80</v>
      </c>
      <c r="R1582" s="51" t="s">
        <v>78</v>
      </c>
    </row>
    <row r="1583" spans="1:18" x14ac:dyDescent="0.25">
      <c r="A1583" s="13"/>
      <c r="B1583" s="13"/>
      <c r="L1583" s="52">
        <v>45762</v>
      </c>
      <c r="M1583" s="53">
        <v>0.46972222222222221</v>
      </c>
      <c r="N1583" s="51" t="s">
        <v>198</v>
      </c>
      <c r="O1583" s="51" t="s">
        <v>328</v>
      </c>
      <c r="Q1583" s="51" t="s">
        <v>524</v>
      </c>
      <c r="R1583" s="51" t="s">
        <v>132</v>
      </c>
    </row>
    <row r="1584" spans="1:18" x14ac:dyDescent="0.25">
      <c r="A1584" s="13"/>
      <c r="B1584" s="13"/>
      <c r="L1584" s="52">
        <v>45762</v>
      </c>
      <c r="M1584" s="53">
        <v>0.46972222222222221</v>
      </c>
      <c r="N1584" s="51" t="s">
        <v>199</v>
      </c>
      <c r="O1584" s="51" t="s">
        <v>328</v>
      </c>
      <c r="Q1584" s="51" t="s">
        <v>524</v>
      </c>
      <c r="R1584" s="51" t="s">
        <v>132</v>
      </c>
    </row>
    <row r="1585" spans="1:18" x14ac:dyDescent="0.25">
      <c r="A1585" s="13"/>
      <c r="B1585" s="13"/>
      <c r="L1585" s="52">
        <v>45762</v>
      </c>
      <c r="M1585" s="53">
        <v>0.46972222222222221</v>
      </c>
      <c r="N1585" s="51" t="s">
        <v>200</v>
      </c>
      <c r="O1585" s="51" t="s">
        <v>328</v>
      </c>
      <c r="Q1585" s="51" t="s">
        <v>524</v>
      </c>
      <c r="R1585" s="51" t="s">
        <v>132</v>
      </c>
    </row>
    <row r="1586" spans="1:18" x14ac:dyDescent="0.25">
      <c r="A1586" s="13"/>
      <c r="B1586" s="13"/>
      <c r="L1586" s="52">
        <v>45762</v>
      </c>
      <c r="M1586" s="53">
        <v>0.46972222222222221</v>
      </c>
      <c r="N1586" s="51" t="s">
        <v>201</v>
      </c>
      <c r="O1586" s="51" t="s">
        <v>328</v>
      </c>
      <c r="Q1586" s="51" t="s">
        <v>524</v>
      </c>
      <c r="R1586" s="51" t="s">
        <v>132</v>
      </c>
    </row>
    <row r="1587" spans="1:18" x14ac:dyDescent="0.25">
      <c r="A1587" s="13"/>
      <c r="B1587" s="13"/>
      <c r="L1587" s="52">
        <v>45762</v>
      </c>
      <c r="M1587" s="53">
        <v>0.46972222222222221</v>
      </c>
      <c r="N1587" s="51" t="s">
        <v>202</v>
      </c>
      <c r="O1587" s="51" t="s">
        <v>328</v>
      </c>
      <c r="Q1587" s="51" t="s">
        <v>524</v>
      </c>
      <c r="R1587" s="51" t="s">
        <v>132</v>
      </c>
    </row>
    <row r="1588" spans="1:18" x14ac:dyDescent="0.25">
      <c r="A1588" s="13"/>
      <c r="B1588" s="13"/>
      <c r="L1588" s="52">
        <v>45762</v>
      </c>
      <c r="M1588" s="53">
        <v>0.46972222222222221</v>
      </c>
      <c r="N1588" s="51" t="s">
        <v>203</v>
      </c>
      <c r="O1588" s="51" t="s">
        <v>328</v>
      </c>
      <c r="Q1588" s="51" t="s">
        <v>524</v>
      </c>
      <c r="R1588" s="51" t="s">
        <v>132</v>
      </c>
    </row>
    <row r="1589" spans="1:18" x14ac:dyDescent="0.25">
      <c r="A1589" s="13"/>
      <c r="B1589" s="13"/>
      <c r="L1589" s="52">
        <v>45762</v>
      </c>
      <c r="M1589" s="53">
        <v>0.46972222222222221</v>
      </c>
      <c r="N1589" s="51" t="s">
        <v>204</v>
      </c>
      <c r="O1589" s="51" t="s">
        <v>328</v>
      </c>
      <c r="Q1589" s="51" t="s">
        <v>524</v>
      </c>
      <c r="R1589" s="51" t="s">
        <v>132</v>
      </c>
    </row>
    <row r="1590" spans="1:18" x14ac:dyDescent="0.25">
      <c r="A1590" s="13"/>
      <c r="B1590" s="13"/>
      <c r="L1590" s="52">
        <v>45762</v>
      </c>
      <c r="M1590" s="53">
        <v>0.46972222222222221</v>
      </c>
      <c r="N1590" s="51" t="s">
        <v>205</v>
      </c>
      <c r="O1590" s="51" t="s">
        <v>328</v>
      </c>
      <c r="Q1590" s="51" t="s">
        <v>524</v>
      </c>
      <c r="R1590" s="51" t="s">
        <v>132</v>
      </c>
    </row>
    <row r="1591" spans="1:18" x14ac:dyDescent="0.25">
      <c r="A1591" s="13"/>
      <c r="B1591" s="13"/>
      <c r="L1591" s="52">
        <v>45762</v>
      </c>
      <c r="M1591" s="53">
        <v>0.46972222222222221</v>
      </c>
      <c r="N1591" s="51" t="s">
        <v>206</v>
      </c>
      <c r="O1591" s="51" t="s">
        <v>328</v>
      </c>
      <c r="Q1591" s="51" t="s">
        <v>524</v>
      </c>
      <c r="R1591" s="51" t="s">
        <v>132</v>
      </c>
    </row>
    <row r="1592" spans="1:18" x14ac:dyDescent="0.25">
      <c r="A1592" s="13"/>
      <c r="B1592" s="13"/>
      <c r="L1592" s="52">
        <v>45762</v>
      </c>
      <c r="M1592" s="53">
        <v>0.46972222222222221</v>
      </c>
      <c r="N1592" s="51" t="s">
        <v>207</v>
      </c>
      <c r="O1592" s="51" t="s">
        <v>328</v>
      </c>
      <c r="Q1592" s="51" t="s">
        <v>524</v>
      </c>
      <c r="R1592" s="51" t="s">
        <v>132</v>
      </c>
    </row>
    <row r="1593" spans="1:18" x14ac:dyDescent="0.25">
      <c r="A1593" s="13"/>
      <c r="B1593" s="13"/>
      <c r="L1593" s="52">
        <v>45762</v>
      </c>
      <c r="M1593" s="53">
        <v>0.46972222222222221</v>
      </c>
      <c r="N1593" s="51" t="s">
        <v>208</v>
      </c>
      <c r="O1593" s="51" t="s">
        <v>328</v>
      </c>
      <c r="Q1593" s="51" t="s">
        <v>524</v>
      </c>
      <c r="R1593" s="51" t="s">
        <v>132</v>
      </c>
    </row>
    <row r="1594" spans="1:18" x14ac:dyDescent="0.25">
      <c r="A1594" s="13"/>
      <c r="B1594" s="13"/>
      <c r="L1594" s="52">
        <v>45762</v>
      </c>
      <c r="M1594" s="53">
        <v>0.46972222222222221</v>
      </c>
      <c r="N1594" s="51" t="s">
        <v>209</v>
      </c>
      <c r="O1594" s="51" t="s">
        <v>328</v>
      </c>
      <c r="Q1594" s="51" t="s">
        <v>524</v>
      </c>
      <c r="R1594" s="51" t="s">
        <v>132</v>
      </c>
    </row>
    <row r="1595" spans="1:18" x14ac:dyDescent="0.25">
      <c r="A1595" s="13"/>
      <c r="B1595" s="13"/>
      <c r="L1595" s="52">
        <v>45762</v>
      </c>
      <c r="M1595" s="53">
        <v>0.46972222222222221</v>
      </c>
      <c r="N1595" s="51" t="s">
        <v>210</v>
      </c>
      <c r="O1595" s="51" t="s">
        <v>328</v>
      </c>
      <c r="Q1595" s="51" t="s">
        <v>524</v>
      </c>
      <c r="R1595" s="51" t="s">
        <v>132</v>
      </c>
    </row>
    <row r="1596" spans="1:18" x14ac:dyDescent="0.25">
      <c r="A1596" s="13"/>
      <c r="B1596" s="13"/>
      <c r="L1596" s="52">
        <v>45762</v>
      </c>
      <c r="M1596" s="53">
        <v>0.46972222222222221</v>
      </c>
      <c r="N1596" s="51" t="s">
        <v>211</v>
      </c>
      <c r="O1596" s="51" t="s">
        <v>328</v>
      </c>
      <c r="Q1596" s="51" t="s">
        <v>524</v>
      </c>
      <c r="R1596" s="51" t="s">
        <v>132</v>
      </c>
    </row>
    <row r="1597" spans="1:18" x14ac:dyDescent="0.25">
      <c r="A1597" s="13"/>
      <c r="B1597" s="13"/>
      <c r="L1597" s="52">
        <v>45762</v>
      </c>
      <c r="M1597" s="53">
        <v>0.46972222222222221</v>
      </c>
      <c r="N1597" s="51" t="s">
        <v>212</v>
      </c>
      <c r="O1597" s="51" t="s">
        <v>328</v>
      </c>
      <c r="Q1597" s="51" t="s">
        <v>524</v>
      </c>
      <c r="R1597" s="51" t="s">
        <v>132</v>
      </c>
    </row>
    <row r="1598" spans="1:18" x14ac:dyDescent="0.25">
      <c r="A1598" s="13"/>
      <c r="B1598" s="13"/>
      <c r="L1598" s="52">
        <v>45762</v>
      </c>
      <c r="M1598" s="53">
        <v>0.46972222222222221</v>
      </c>
      <c r="N1598" s="51" t="s">
        <v>213</v>
      </c>
      <c r="O1598" s="51" t="s">
        <v>328</v>
      </c>
      <c r="Q1598" s="51" t="s">
        <v>524</v>
      </c>
      <c r="R1598" s="51" t="s">
        <v>132</v>
      </c>
    </row>
    <row r="1599" spans="1:18" x14ac:dyDescent="0.25">
      <c r="A1599" s="13"/>
      <c r="B1599" s="13"/>
      <c r="L1599" s="52">
        <v>45762</v>
      </c>
      <c r="M1599" s="53">
        <v>0.46972222222222221</v>
      </c>
      <c r="N1599" s="51" t="s">
        <v>214</v>
      </c>
      <c r="O1599" s="51" t="s">
        <v>328</v>
      </c>
      <c r="Q1599" s="51" t="s">
        <v>524</v>
      </c>
      <c r="R1599" s="51" t="s">
        <v>132</v>
      </c>
    </row>
    <row r="1600" spans="1:18" x14ac:dyDescent="0.25">
      <c r="A1600" s="13"/>
      <c r="B1600" s="13"/>
      <c r="L1600" s="52">
        <v>45762</v>
      </c>
      <c r="M1600" s="53">
        <v>0.46972222222222221</v>
      </c>
      <c r="N1600" s="51" t="s">
        <v>215</v>
      </c>
      <c r="O1600" s="51" t="s">
        <v>328</v>
      </c>
      <c r="Q1600" s="51" t="s">
        <v>524</v>
      </c>
      <c r="R1600" s="51" t="s">
        <v>132</v>
      </c>
    </row>
    <row r="1601" spans="1:18" x14ac:dyDescent="0.25">
      <c r="A1601" s="13"/>
      <c r="B1601" s="13"/>
      <c r="L1601" s="52">
        <v>45762</v>
      </c>
      <c r="M1601" s="53">
        <v>0.46972222222222221</v>
      </c>
      <c r="N1601" s="51" t="s">
        <v>216</v>
      </c>
      <c r="O1601" s="51" t="s">
        <v>328</v>
      </c>
      <c r="Q1601" s="51" t="s">
        <v>524</v>
      </c>
      <c r="R1601" s="51" t="s">
        <v>132</v>
      </c>
    </row>
    <row r="1602" spans="1:18" x14ac:dyDescent="0.25">
      <c r="A1602" s="13"/>
      <c r="B1602" s="13"/>
      <c r="L1602" s="52">
        <v>45762</v>
      </c>
      <c r="M1602" s="53">
        <v>0.46972222222222221</v>
      </c>
      <c r="N1602" s="51" t="s">
        <v>217</v>
      </c>
      <c r="O1602" s="51" t="s">
        <v>328</v>
      </c>
      <c r="Q1602" s="51" t="s">
        <v>524</v>
      </c>
      <c r="R1602" s="51" t="s">
        <v>132</v>
      </c>
    </row>
    <row r="1603" spans="1:18" x14ac:dyDescent="0.25">
      <c r="A1603" s="13"/>
      <c r="B1603" s="13"/>
      <c r="L1603" s="52">
        <v>45762</v>
      </c>
      <c r="M1603" s="53">
        <v>0.46972222222222221</v>
      </c>
      <c r="N1603" s="51" t="s">
        <v>218</v>
      </c>
      <c r="O1603" s="51" t="s">
        <v>328</v>
      </c>
      <c r="Q1603" s="51" t="s">
        <v>524</v>
      </c>
      <c r="R1603" s="51" t="s">
        <v>132</v>
      </c>
    </row>
    <row r="1604" spans="1:18" x14ac:dyDescent="0.25">
      <c r="A1604" s="13"/>
      <c r="B1604" s="13"/>
      <c r="L1604" s="52">
        <v>45762</v>
      </c>
      <c r="M1604" s="53">
        <v>0.46972222222222221</v>
      </c>
      <c r="N1604" s="51" t="s">
        <v>219</v>
      </c>
      <c r="O1604" s="51" t="s">
        <v>328</v>
      </c>
      <c r="Q1604" s="51" t="s">
        <v>524</v>
      </c>
      <c r="R1604" s="51" t="s">
        <v>132</v>
      </c>
    </row>
    <row r="1605" spans="1:18" x14ac:dyDescent="0.25">
      <c r="A1605" s="13"/>
      <c r="B1605" s="13"/>
      <c r="L1605" s="52">
        <v>45762</v>
      </c>
      <c r="M1605" s="53">
        <v>0.46972222222222221</v>
      </c>
      <c r="N1605" s="51" t="s">
        <v>220</v>
      </c>
      <c r="O1605" s="51" t="s">
        <v>328</v>
      </c>
      <c r="Q1605" s="51" t="s">
        <v>524</v>
      </c>
      <c r="R1605" s="51" t="s">
        <v>132</v>
      </c>
    </row>
    <row r="1606" spans="1:18" x14ac:dyDescent="0.25">
      <c r="A1606" s="13"/>
      <c r="B1606" s="13"/>
      <c r="L1606" s="52">
        <v>45762</v>
      </c>
      <c r="M1606" s="53">
        <v>0.46972222222222221</v>
      </c>
      <c r="N1606" s="51" t="s">
        <v>221</v>
      </c>
      <c r="O1606" s="51" t="s">
        <v>328</v>
      </c>
      <c r="Q1606" s="51" t="s">
        <v>524</v>
      </c>
      <c r="R1606" s="51" t="s">
        <v>132</v>
      </c>
    </row>
    <row r="1607" spans="1:18" x14ac:dyDescent="0.25">
      <c r="A1607" s="13"/>
      <c r="B1607" s="13"/>
      <c r="L1607" s="52">
        <v>45762</v>
      </c>
      <c r="M1607" s="53">
        <v>0.46972222222222221</v>
      </c>
      <c r="N1607" s="51" t="s">
        <v>222</v>
      </c>
      <c r="O1607" s="51" t="s">
        <v>328</v>
      </c>
      <c r="Q1607" s="51" t="s">
        <v>524</v>
      </c>
      <c r="R1607" s="51" t="s">
        <v>132</v>
      </c>
    </row>
    <row r="1608" spans="1:18" x14ac:dyDescent="0.25">
      <c r="A1608" s="13"/>
      <c r="B1608" s="13"/>
      <c r="L1608" s="52">
        <v>45762</v>
      </c>
      <c r="M1608" s="53">
        <v>0.46972222222222221</v>
      </c>
      <c r="N1608" s="51" t="s">
        <v>223</v>
      </c>
      <c r="O1608" s="51" t="s">
        <v>328</v>
      </c>
      <c r="Q1608" s="51" t="s">
        <v>524</v>
      </c>
      <c r="R1608" s="51" t="s">
        <v>132</v>
      </c>
    </row>
    <row r="1609" spans="1:18" x14ac:dyDescent="0.25">
      <c r="A1609" s="13"/>
      <c r="B1609" s="13"/>
      <c r="L1609" s="52">
        <v>45762</v>
      </c>
      <c r="M1609" s="53">
        <v>0.46972222222222221</v>
      </c>
      <c r="N1609" s="51" t="s">
        <v>224</v>
      </c>
      <c r="O1609" s="51" t="s">
        <v>328</v>
      </c>
      <c r="Q1609" s="51" t="s">
        <v>524</v>
      </c>
      <c r="R1609" s="51" t="s">
        <v>132</v>
      </c>
    </row>
    <row r="1610" spans="1:18" x14ac:dyDescent="0.25">
      <c r="A1610" s="13"/>
      <c r="B1610" s="13"/>
      <c r="L1610" s="52">
        <v>45762</v>
      </c>
      <c r="M1610" s="53">
        <v>0.46972222222222221</v>
      </c>
      <c r="N1610" s="51" t="s">
        <v>225</v>
      </c>
      <c r="O1610" s="51" t="s">
        <v>328</v>
      </c>
      <c r="Q1610" s="51" t="s">
        <v>524</v>
      </c>
      <c r="R1610" s="51" t="s">
        <v>132</v>
      </c>
    </row>
    <row r="1611" spans="1:18" x14ac:dyDescent="0.25">
      <c r="A1611" s="13"/>
      <c r="B1611" s="13"/>
      <c r="L1611" s="52">
        <v>45762</v>
      </c>
      <c r="M1611" s="53">
        <v>0.46972222222222221</v>
      </c>
      <c r="N1611" s="51" t="s">
        <v>226</v>
      </c>
      <c r="O1611" s="51" t="s">
        <v>328</v>
      </c>
      <c r="Q1611" s="51" t="s">
        <v>524</v>
      </c>
      <c r="R1611" s="51" t="s">
        <v>132</v>
      </c>
    </row>
    <row r="1612" spans="1:18" x14ac:dyDescent="0.25">
      <c r="A1612" s="13"/>
      <c r="B1612" s="13"/>
      <c r="L1612" s="52">
        <v>45762</v>
      </c>
      <c r="M1612" s="53">
        <v>0.46972222222222221</v>
      </c>
      <c r="N1612" s="51" t="s">
        <v>227</v>
      </c>
      <c r="O1612" s="51" t="s">
        <v>328</v>
      </c>
      <c r="Q1612" s="51" t="s">
        <v>524</v>
      </c>
      <c r="R1612" s="51" t="s">
        <v>132</v>
      </c>
    </row>
    <row r="1613" spans="1:18" x14ac:dyDescent="0.25">
      <c r="A1613" s="13"/>
      <c r="B1613" s="13"/>
      <c r="L1613" s="52">
        <v>45762</v>
      </c>
      <c r="M1613" s="53">
        <v>0.46972222222222221</v>
      </c>
      <c r="N1613" s="51" t="s">
        <v>228</v>
      </c>
      <c r="O1613" s="51" t="s">
        <v>328</v>
      </c>
      <c r="Q1613" s="51" t="s">
        <v>524</v>
      </c>
      <c r="R1613" s="51" t="s">
        <v>132</v>
      </c>
    </row>
    <row r="1614" spans="1:18" x14ac:dyDescent="0.25">
      <c r="A1614" s="13"/>
      <c r="B1614" s="13"/>
      <c r="L1614" s="52">
        <v>45762</v>
      </c>
      <c r="M1614" s="53">
        <v>0.4697337962962963</v>
      </c>
      <c r="N1614" s="51" t="s">
        <v>229</v>
      </c>
      <c r="O1614" s="51" t="s">
        <v>328</v>
      </c>
      <c r="P1614" s="51" t="s">
        <v>1324</v>
      </c>
      <c r="Q1614" s="51" t="s">
        <v>80</v>
      </c>
      <c r="R1614" s="51" t="s">
        <v>78</v>
      </c>
    </row>
    <row r="1615" spans="1:18" x14ac:dyDescent="0.25">
      <c r="A1615" s="13"/>
      <c r="B1615" s="13"/>
      <c r="L1615" s="52">
        <v>45762</v>
      </c>
      <c r="M1615" s="53">
        <v>0.4697337962962963</v>
      </c>
      <c r="N1615" s="51" t="s">
        <v>230</v>
      </c>
      <c r="O1615" s="51" t="s">
        <v>328</v>
      </c>
      <c r="P1615" s="51" t="s">
        <v>1325</v>
      </c>
      <c r="Q1615" s="51" t="s">
        <v>80</v>
      </c>
      <c r="R1615" s="51" t="s">
        <v>78</v>
      </c>
    </row>
    <row r="1616" spans="1:18" x14ac:dyDescent="0.25">
      <c r="A1616" s="13"/>
      <c r="B1616" s="13"/>
      <c r="L1616" s="52">
        <v>45762</v>
      </c>
      <c r="M1616" s="53">
        <v>0.4697337962962963</v>
      </c>
      <c r="N1616" s="51" t="s">
        <v>231</v>
      </c>
      <c r="O1616" s="51" t="s">
        <v>328</v>
      </c>
      <c r="P1616" s="51" t="s">
        <v>1326</v>
      </c>
      <c r="Q1616" s="51" t="s">
        <v>80</v>
      </c>
      <c r="R1616" s="51" t="s">
        <v>78</v>
      </c>
    </row>
    <row r="1617" spans="1:18" x14ac:dyDescent="0.25">
      <c r="A1617" s="13"/>
      <c r="B1617" s="13"/>
      <c r="L1617" s="52">
        <v>45762</v>
      </c>
      <c r="M1617" s="53">
        <v>0.4697337962962963</v>
      </c>
      <c r="N1617" s="51" t="s">
        <v>232</v>
      </c>
      <c r="O1617" s="51" t="s">
        <v>328</v>
      </c>
      <c r="P1617" s="51" t="s">
        <v>1327</v>
      </c>
      <c r="Q1617" s="51" t="s">
        <v>80</v>
      </c>
      <c r="R1617" s="51" t="s">
        <v>78</v>
      </c>
    </row>
    <row r="1618" spans="1:18" x14ac:dyDescent="0.25">
      <c r="A1618" s="13"/>
      <c r="B1618" s="13"/>
      <c r="L1618" s="52">
        <v>45762</v>
      </c>
      <c r="M1618" s="53">
        <v>0.4697337962962963</v>
      </c>
      <c r="N1618" s="51" t="s">
        <v>233</v>
      </c>
      <c r="O1618" s="51" t="s">
        <v>328</v>
      </c>
      <c r="P1618" s="51" t="s">
        <v>1328</v>
      </c>
      <c r="Q1618" s="51" t="s">
        <v>80</v>
      </c>
      <c r="R1618" s="51" t="s">
        <v>78</v>
      </c>
    </row>
    <row r="1619" spans="1:18" x14ac:dyDescent="0.25">
      <c r="A1619" s="13"/>
      <c r="B1619" s="13"/>
      <c r="L1619" s="52">
        <v>45762</v>
      </c>
      <c r="M1619" s="53">
        <v>0.4697337962962963</v>
      </c>
      <c r="N1619" s="51" t="s">
        <v>234</v>
      </c>
      <c r="O1619" s="51" t="s">
        <v>328</v>
      </c>
      <c r="P1619" s="51" t="s">
        <v>1329</v>
      </c>
      <c r="Q1619" s="51" t="s">
        <v>80</v>
      </c>
      <c r="R1619" s="51" t="s">
        <v>78</v>
      </c>
    </row>
    <row r="1620" spans="1:18" x14ac:dyDescent="0.25">
      <c r="A1620" s="13"/>
      <c r="B1620" s="13"/>
      <c r="L1620" s="52">
        <v>45762</v>
      </c>
      <c r="M1620" s="53">
        <v>0.4697337962962963</v>
      </c>
      <c r="N1620" s="51" t="s">
        <v>235</v>
      </c>
      <c r="O1620" s="51" t="s">
        <v>328</v>
      </c>
      <c r="P1620" s="51" t="s">
        <v>1330</v>
      </c>
      <c r="Q1620" s="51" t="s">
        <v>80</v>
      </c>
      <c r="R1620" s="51" t="s">
        <v>78</v>
      </c>
    </row>
    <row r="1621" spans="1:18" x14ac:dyDescent="0.25">
      <c r="A1621" s="13"/>
      <c r="B1621" s="13"/>
      <c r="L1621" s="52">
        <v>45762</v>
      </c>
      <c r="M1621" s="53">
        <v>0.4697337962962963</v>
      </c>
      <c r="N1621" s="51" t="s">
        <v>236</v>
      </c>
      <c r="O1621" s="51" t="s">
        <v>328</v>
      </c>
      <c r="P1621" s="51" t="s">
        <v>1331</v>
      </c>
      <c r="Q1621" s="51" t="s">
        <v>80</v>
      </c>
      <c r="R1621" s="51" t="s">
        <v>78</v>
      </c>
    </row>
    <row r="1622" spans="1:18" x14ac:dyDescent="0.25">
      <c r="A1622" s="13"/>
      <c r="B1622" s="13"/>
      <c r="L1622" s="52">
        <v>45762</v>
      </c>
      <c r="M1622" s="53">
        <v>0.4697337962962963</v>
      </c>
      <c r="N1622" s="51" t="s">
        <v>237</v>
      </c>
      <c r="O1622" s="51" t="s">
        <v>328</v>
      </c>
      <c r="P1622" s="51" t="s">
        <v>1332</v>
      </c>
      <c r="Q1622" s="51" t="s">
        <v>80</v>
      </c>
      <c r="R1622" s="51" t="s">
        <v>78</v>
      </c>
    </row>
    <row r="1623" spans="1:18" x14ac:dyDescent="0.25">
      <c r="A1623" s="13"/>
      <c r="B1623" s="13"/>
      <c r="L1623" s="52">
        <v>45762</v>
      </c>
      <c r="M1623" s="53">
        <v>0.4697337962962963</v>
      </c>
      <c r="N1623" s="51" t="s">
        <v>238</v>
      </c>
      <c r="O1623" s="51" t="s">
        <v>328</v>
      </c>
      <c r="P1623" s="51" t="s">
        <v>1333</v>
      </c>
      <c r="Q1623" s="51" t="s">
        <v>80</v>
      </c>
      <c r="R1623" s="51" t="s">
        <v>78</v>
      </c>
    </row>
    <row r="1624" spans="1:18" x14ac:dyDescent="0.25">
      <c r="A1624" s="13"/>
      <c r="B1624" s="13"/>
      <c r="L1624" s="52">
        <v>45762</v>
      </c>
      <c r="M1624" s="53">
        <v>0.4697337962962963</v>
      </c>
      <c r="N1624" s="51" t="s">
        <v>239</v>
      </c>
      <c r="O1624" s="51" t="s">
        <v>328</v>
      </c>
      <c r="P1624" s="51" t="s">
        <v>1334</v>
      </c>
      <c r="Q1624" s="51" t="s">
        <v>80</v>
      </c>
      <c r="R1624" s="51" t="s">
        <v>78</v>
      </c>
    </row>
    <row r="1625" spans="1:18" x14ac:dyDescent="0.25">
      <c r="A1625" s="13"/>
      <c r="B1625" s="13"/>
      <c r="L1625" s="52">
        <v>45762</v>
      </c>
      <c r="M1625" s="53">
        <v>0.4697337962962963</v>
      </c>
      <c r="N1625" s="51" t="s">
        <v>240</v>
      </c>
      <c r="O1625" s="51" t="s">
        <v>328</v>
      </c>
      <c r="P1625" s="51" t="s">
        <v>1335</v>
      </c>
      <c r="Q1625" s="51" t="s">
        <v>80</v>
      </c>
      <c r="R1625" s="51" t="s">
        <v>78</v>
      </c>
    </row>
    <row r="1626" spans="1:18" x14ac:dyDescent="0.25">
      <c r="A1626" s="13"/>
      <c r="B1626" s="13"/>
      <c r="L1626" s="52">
        <v>45762</v>
      </c>
      <c r="M1626" s="53">
        <v>0.4697337962962963</v>
      </c>
      <c r="N1626" s="51" t="s">
        <v>241</v>
      </c>
      <c r="O1626" s="51" t="s">
        <v>328</v>
      </c>
      <c r="P1626" s="51" t="s">
        <v>1336</v>
      </c>
      <c r="Q1626" s="51" t="s">
        <v>80</v>
      </c>
      <c r="R1626" s="51" t="s">
        <v>78</v>
      </c>
    </row>
    <row r="1627" spans="1:18" x14ac:dyDescent="0.25">
      <c r="A1627" s="13"/>
      <c r="B1627" s="13"/>
      <c r="L1627" s="52">
        <v>45762</v>
      </c>
      <c r="M1627" s="53">
        <v>0.4697337962962963</v>
      </c>
      <c r="N1627" s="51" t="s">
        <v>242</v>
      </c>
      <c r="O1627" s="51" t="s">
        <v>328</v>
      </c>
      <c r="P1627" s="51" t="s">
        <v>1337</v>
      </c>
      <c r="Q1627" s="51" t="s">
        <v>80</v>
      </c>
      <c r="R1627" s="51" t="s">
        <v>78</v>
      </c>
    </row>
    <row r="1628" spans="1:18" x14ac:dyDescent="0.25">
      <c r="A1628" s="13"/>
      <c r="B1628" s="13"/>
      <c r="L1628" s="52">
        <v>45762</v>
      </c>
      <c r="M1628" s="53">
        <v>0.4697337962962963</v>
      </c>
      <c r="N1628" s="51" t="s">
        <v>243</v>
      </c>
      <c r="O1628" s="51" t="s">
        <v>328</v>
      </c>
      <c r="P1628" s="51" t="s">
        <v>1338</v>
      </c>
      <c r="Q1628" s="51" t="s">
        <v>80</v>
      </c>
      <c r="R1628" s="51" t="s">
        <v>78</v>
      </c>
    </row>
    <row r="1629" spans="1:18" x14ac:dyDescent="0.25">
      <c r="A1629" s="13"/>
      <c r="B1629" s="13"/>
      <c r="L1629" s="52">
        <v>45762</v>
      </c>
      <c r="M1629" s="53">
        <v>0.4697337962962963</v>
      </c>
      <c r="N1629" s="51" t="s">
        <v>244</v>
      </c>
      <c r="O1629" s="51" t="s">
        <v>328</v>
      </c>
      <c r="P1629" s="51" t="s">
        <v>1339</v>
      </c>
      <c r="Q1629" s="51" t="s">
        <v>80</v>
      </c>
      <c r="R1629" s="51" t="s">
        <v>78</v>
      </c>
    </row>
    <row r="1630" spans="1:18" x14ac:dyDescent="0.25">
      <c r="A1630" s="13"/>
      <c r="B1630" s="13"/>
      <c r="L1630" s="52">
        <v>45762</v>
      </c>
      <c r="M1630" s="53">
        <v>0.4697337962962963</v>
      </c>
      <c r="N1630" s="51" t="s">
        <v>245</v>
      </c>
      <c r="O1630" s="51" t="s">
        <v>328</v>
      </c>
      <c r="P1630" s="51" t="s">
        <v>1340</v>
      </c>
      <c r="Q1630" s="51" t="s">
        <v>80</v>
      </c>
      <c r="R1630" s="51" t="s">
        <v>78</v>
      </c>
    </row>
    <row r="1631" spans="1:18" x14ac:dyDescent="0.25">
      <c r="A1631" s="13"/>
      <c r="B1631" s="13"/>
      <c r="L1631" s="52">
        <v>45762</v>
      </c>
      <c r="M1631" s="53">
        <v>0.4697337962962963</v>
      </c>
      <c r="N1631" s="51" t="s">
        <v>246</v>
      </c>
      <c r="O1631" s="51" t="s">
        <v>328</v>
      </c>
      <c r="P1631" s="51" t="s">
        <v>1341</v>
      </c>
      <c r="Q1631" s="51" t="s">
        <v>80</v>
      </c>
      <c r="R1631" s="51" t="s">
        <v>78</v>
      </c>
    </row>
    <row r="1632" spans="1:18" x14ac:dyDescent="0.25">
      <c r="A1632" s="13"/>
      <c r="B1632" s="13"/>
      <c r="L1632" s="52">
        <v>45762</v>
      </c>
      <c r="M1632" s="53">
        <v>0.4697337962962963</v>
      </c>
      <c r="N1632" s="51" t="s">
        <v>247</v>
      </c>
      <c r="O1632" s="51" t="s">
        <v>328</v>
      </c>
      <c r="P1632" s="51" t="s">
        <v>1342</v>
      </c>
      <c r="Q1632" s="51" t="s">
        <v>80</v>
      </c>
      <c r="R1632" s="51" t="s">
        <v>78</v>
      </c>
    </row>
    <row r="1633" spans="1:18" x14ac:dyDescent="0.25">
      <c r="A1633" s="13"/>
      <c r="B1633" s="13"/>
      <c r="L1633" s="52">
        <v>45762</v>
      </c>
      <c r="M1633" s="53">
        <v>0.4697337962962963</v>
      </c>
      <c r="N1633" s="51" t="s">
        <v>248</v>
      </c>
      <c r="O1633" s="51" t="s">
        <v>328</v>
      </c>
      <c r="P1633" s="51" t="s">
        <v>1343</v>
      </c>
      <c r="Q1633" s="51" t="s">
        <v>80</v>
      </c>
      <c r="R1633" s="51" t="s">
        <v>78</v>
      </c>
    </row>
    <row r="1634" spans="1:18" x14ac:dyDescent="0.25">
      <c r="A1634" s="13"/>
      <c r="B1634" s="13"/>
      <c r="L1634" s="52">
        <v>45762</v>
      </c>
      <c r="M1634" s="53">
        <v>0.4697337962962963</v>
      </c>
      <c r="N1634" s="51" t="s">
        <v>249</v>
      </c>
      <c r="O1634" s="51" t="s">
        <v>328</v>
      </c>
      <c r="P1634" s="51" t="s">
        <v>1344</v>
      </c>
      <c r="Q1634" s="51" t="s">
        <v>80</v>
      </c>
      <c r="R1634" s="51" t="s">
        <v>78</v>
      </c>
    </row>
    <row r="1635" spans="1:18" x14ac:dyDescent="0.25">
      <c r="A1635" s="13"/>
      <c r="B1635" s="13"/>
      <c r="L1635" s="52">
        <v>45762</v>
      </c>
      <c r="M1635" s="53">
        <v>0.4697337962962963</v>
      </c>
      <c r="N1635" s="51" t="s">
        <v>250</v>
      </c>
      <c r="O1635" s="51" t="s">
        <v>328</v>
      </c>
      <c r="P1635" s="51" t="s">
        <v>1345</v>
      </c>
      <c r="Q1635" s="51" t="s">
        <v>80</v>
      </c>
      <c r="R1635" s="51" t="s">
        <v>78</v>
      </c>
    </row>
    <row r="1636" spans="1:18" x14ac:dyDescent="0.25">
      <c r="A1636" s="13"/>
      <c r="B1636" s="13"/>
      <c r="L1636" s="52">
        <v>45762</v>
      </c>
      <c r="M1636" s="53">
        <v>0.4697337962962963</v>
      </c>
      <c r="N1636" s="51" t="s">
        <v>251</v>
      </c>
      <c r="O1636" s="51" t="s">
        <v>328</v>
      </c>
      <c r="P1636" s="51" t="s">
        <v>1346</v>
      </c>
      <c r="Q1636" s="51" t="s">
        <v>80</v>
      </c>
      <c r="R1636" s="51" t="s">
        <v>78</v>
      </c>
    </row>
    <row r="1637" spans="1:18" x14ac:dyDescent="0.25">
      <c r="A1637" s="13"/>
      <c r="B1637" s="13"/>
      <c r="L1637" s="52">
        <v>45762</v>
      </c>
      <c r="M1637" s="53">
        <v>0.4697337962962963</v>
      </c>
      <c r="N1637" s="51" t="s">
        <v>252</v>
      </c>
      <c r="O1637" s="51" t="s">
        <v>328</v>
      </c>
      <c r="P1637" s="51" t="s">
        <v>1347</v>
      </c>
      <c r="Q1637" s="51" t="s">
        <v>80</v>
      </c>
      <c r="R1637" s="51" t="s">
        <v>78</v>
      </c>
    </row>
    <row r="1638" spans="1:18" x14ac:dyDescent="0.25">
      <c r="A1638" s="13"/>
      <c r="B1638" s="13"/>
      <c r="L1638" s="52">
        <v>45762</v>
      </c>
      <c r="M1638" s="53">
        <v>0.4697337962962963</v>
      </c>
      <c r="N1638" s="51" t="s">
        <v>253</v>
      </c>
      <c r="O1638" s="51" t="s">
        <v>328</v>
      </c>
      <c r="P1638" s="51" t="s">
        <v>1348</v>
      </c>
      <c r="Q1638" s="51" t="s">
        <v>80</v>
      </c>
      <c r="R1638" s="51" t="s">
        <v>78</v>
      </c>
    </row>
    <row r="1639" spans="1:18" x14ac:dyDescent="0.25">
      <c r="A1639" s="13"/>
      <c r="B1639" s="13"/>
      <c r="L1639" s="52">
        <v>45762</v>
      </c>
      <c r="M1639" s="53">
        <v>0.4697337962962963</v>
      </c>
      <c r="N1639" s="51" t="s">
        <v>254</v>
      </c>
      <c r="O1639" s="51" t="s">
        <v>328</v>
      </c>
      <c r="P1639" s="51" t="s">
        <v>1349</v>
      </c>
      <c r="Q1639" s="51" t="s">
        <v>80</v>
      </c>
      <c r="R1639" s="51" t="s">
        <v>78</v>
      </c>
    </row>
    <row r="1640" spans="1:18" x14ac:dyDescent="0.25">
      <c r="A1640" s="13"/>
      <c r="B1640" s="13"/>
      <c r="L1640" s="52">
        <v>45762</v>
      </c>
      <c r="M1640" s="53">
        <v>0.4697337962962963</v>
      </c>
      <c r="N1640" s="51" t="s">
        <v>255</v>
      </c>
      <c r="O1640" s="51" t="s">
        <v>328</v>
      </c>
      <c r="P1640" s="51" t="s">
        <v>1350</v>
      </c>
      <c r="Q1640" s="51" t="s">
        <v>80</v>
      </c>
      <c r="R1640" s="51" t="s">
        <v>78</v>
      </c>
    </row>
    <row r="1641" spans="1:18" x14ac:dyDescent="0.25">
      <c r="A1641" s="13"/>
      <c r="B1641" s="13"/>
      <c r="L1641" s="52">
        <v>45762</v>
      </c>
      <c r="M1641" s="53">
        <v>0.4697337962962963</v>
      </c>
      <c r="N1641" s="51" t="s">
        <v>256</v>
      </c>
      <c r="O1641" s="51" t="s">
        <v>328</v>
      </c>
      <c r="P1641" s="51" t="s">
        <v>1351</v>
      </c>
      <c r="Q1641" s="51" t="s">
        <v>80</v>
      </c>
      <c r="R1641" s="51" t="s">
        <v>78</v>
      </c>
    </row>
    <row r="1642" spans="1:18" x14ac:dyDescent="0.25">
      <c r="A1642" s="13"/>
      <c r="B1642" s="13"/>
      <c r="L1642" s="52">
        <v>45762</v>
      </c>
      <c r="M1642" s="53">
        <v>0.4697337962962963</v>
      </c>
      <c r="N1642" s="51" t="s">
        <v>257</v>
      </c>
      <c r="O1642" s="51" t="s">
        <v>328</v>
      </c>
      <c r="P1642" s="51" t="s">
        <v>1352</v>
      </c>
      <c r="Q1642" s="51" t="s">
        <v>80</v>
      </c>
      <c r="R1642" s="51" t="s">
        <v>78</v>
      </c>
    </row>
    <row r="1643" spans="1:18" x14ac:dyDescent="0.25">
      <c r="A1643" s="13"/>
      <c r="B1643" s="13"/>
      <c r="L1643" s="52">
        <v>45762</v>
      </c>
      <c r="M1643" s="53">
        <v>0.4697337962962963</v>
      </c>
      <c r="N1643" s="51" t="s">
        <v>258</v>
      </c>
      <c r="O1643" s="51" t="s">
        <v>328</v>
      </c>
      <c r="P1643" s="51" t="s">
        <v>1353</v>
      </c>
      <c r="Q1643" s="51" t="s">
        <v>80</v>
      </c>
      <c r="R1643" s="51" t="s">
        <v>78</v>
      </c>
    </row>
    <row r="1644" spans="1:18" x14ac:dyDescent="0.25">
      <c r="A1644" s="13"/>
      <c r="B1644" s="13"/>
      <c r="L1644" s="52">
        <v>45762</v>
      </c>
      <c r="M1644" s="53">
        <v>0.4697337962962963</v>
      </c>
      <c r="N1644" s="51" t="s">
        <v>259</v>
      </c>
      <c r="O1644" s="51" t="s">
        <v>328</v>
      </c>
      <c r="P1644" s="51" t="s">
        <v>1354</v>
      </c>
      <c r="Q1644" s="51" t="s">
        <v>80</v>
      </c>
      <c r="R1644" s="51" t="s">
        <v>78</v>
      </c>
    </row>
    <row r="1645" spans="1:18" x14ac:dyDescent="0.25">
      <c r="A1645" s="13"/>
      <c r="B1645" s="13"/>
      <c r="L1645" s="52">
        <v>45762</v>
      </c>
      <c r="M1645" s="53">
        <v>0.4697337962962963</v>
      </c>
      <c r="N1645" s="51" t="s">
        <v>260</v>
      </c>
      <c r="O1645" s="51" t="s">
        <v>328</v>
      </c>
      <c r="P1645" s="51" t="s">
        <v>1355</v>
      </c>
      <c r="Q1645" s="51" t="s">
        <v>80</v>
      </c>
      <c r="R1645" s="51" t="s">
        <v>78</v>
      </c>
    </row>
    <row r="1646" spans="1:18" x14ac:dyDescent="0.25">
      <c r="A1646" s="13"/>
      <c r="B1646" s="13"/>
      <c r="L1646" s="52">
        <v>45762</v>
      </c>
      <c r="M1646" s="53">
        <v>0.4697337962962963</v>
      </c>
      <c r="N1646" s="51" t="s">
        <v>261</v>
      </c>
      <c r="O1646" s="51" t="s">
        <v>328</v>
      </c>
      <c r="P1646" s="51" t="s">
        <v>1356</v>
      </c>
      <c r="Q1646" s="51" t="s">
        <v>80</v>
      </c>
      <c r="R1646" s="51" t="s">
        <v>78</v>
      </c>
    </row>
    <row r="1647" spans="1:18" x14ac:dyDescent="0.25">
      <c r="A1647" s="13"/>
      <c r="B1647" s="13"/>
      <c r="L1647" s="52">
        <v>45762</v>
      </c>
      <c r="M1647" s="53">
        <v>0.4697337962962963</v>
      </c>
      <c r="N1647" s="51" t="s">
        <v>262</v>
      </c>
      <c r="O1647" s="51" t="s">
        <v>328</v>
      </c>
      <c r="P1647" s="51" t="s">
        <v>1357</v>
      </c>
      <c r="Q1647" s="51" t="s">
        <v>80</v>
      </c>
      <c r="R1647" s="51" t="s">
        <v>78</v>
      </c>
    </row>
    <row r="1648" spans="1:18" x14ac:dyDescent="0.25">
      <c r="A1648" s="13"/>
      <c r="B1648" s="13"/>
      <c r="L1648" s="52">
        <v>45762</v>
      </c>
      <c r="M1648" s="53">
        <v>0.4697337962962963</v>
      </c>
      <c r="N1648" s="51" t="s">
        <v>263</v>
      </c>
      <c r="O1648" s="51" t="s">
        <v>328</v>
      </c>
      <c r="P1648" s="51" t="s">
        <v>1358</v>
      </c>
      <c r="Q1648" s="51" t="s">
        <v>80</v>
      </c>
      <c r="R1648" s="51" t="s">
        <v>78</v>
      </c>
    </row>
    <row r="1649" spans="1:18" x14ac:dyDescent="0.25">
      <c r="A1649" s="13"/>
      <c r="B1649" s="13"/>
      <c r="L1649" s="52">
        <v>45762</v>
      </c>
      <c r="M1649" s="53">
        <v>0.4697337962962963</v>
      </c>
      <c r="N1649" s="51" t="s">
        <v>264</v>
      </c>
      <c r="O1649" s="51" t="s">
        <v>328</v>
      </c>
      <c r="P1649" s="51" t="s">
        <v>1359</v>
      </c>
      <c r="Q1649" s="51" t="s">
        <v>80</v>
      </c>
      <c r="R1649" s="51" t="s">
        <v>78</v>
      </c>
    </row>
    <row r="1650" spans="1:18" x14ac:dyDescent="0.25">
      <c r="A1650" s="13"/>
      <c r="B1650" s="13"/>
      <c r="L1650" s="52">
        <v>45762</v>
      </c>
      <c r="M1650" s="53">
        <v>0.4697337962962963</v>
      </c>
      <c r="N1650" s="51" t="s">
        <v>265</v>
      </c>
      <c r="O1650" s="51" t="s">
        <v>328</v>
      </c>
      <c r="P1650" s="51" t="s">
        <v>1360</v>
      </c>
      <c r="Q1650" s="51" t="s">
        <v>80</v>
      </c>
      <c r="R1650" s="51" t="s">
        <v>78</v>
      </c>
    </row>
    <row r="1651" spans="1:18" x14ac:dyDescent="0.25">
      <c r="A1651" s="13"/>
      <c r="B1651" s="13"/>
      <c r="L1651" s="52">
        <v>45762</v>
      </c>
      <c r="M1651" s="53">
        <v>0.4697337962962963</v>
      </c>
      <c r="N1651" s="51" t="s">
        <v>266</v>
      </c>
      <c r="O1651" s="51" t="s">
        <v>328</v>
      </c>
      <c r="P1651" s="51" t="s">
        <v>1361</v>
      </c>
      <c r="Q1651" s="51" t="s">
        <v>80</v>
      </c>
      <c r="R1651" s="51" t="s">
        <v>78</v>
      </c>
    </row>
    <row r="1652" spans="1:18" x14ac:dyDescent="0.25">
      <c r="A1652" s="13"/>
      <c r="B1652" s="13"/>
      <c r="L1652" s="52">
        <v>45762</v>
      </c>
      <c r="M1652" s="53">
        <v>0.4697337962962963</v>
      </c>
      <c r="N1652" s="51" t="s">
        <v>267</v>
      </c>
      <c r="O1652" s="51" t="s">
        <v>328</v>
      </c>
      <c r="P1652" s="51" t="s">
        <v>1362</v>
      </c>
      <c r="Q1652" s="51" t="s">
        <v>80</v>
      </c>
      <c r="R1652" s="51" t="s">
        <v>78</v>
      </c>
    </row>
    <row r="1653" spans="1:18" x14ac:dyDescent="0.25">
      <c r="A1653" s="13"/>
      <c r="B1653" s="13"/>
      <c r="L1653" s="52">
        <v>45762</v>
      </c>
      <c r="M1653" s="53">
        <v>0.4697337962962963</v>
      </c>
      <c r="N1653" s="51" t="s">
        <v>268</v>
      </c>
      <c r="O1653" s="51" t="s">
        <v>328</v>
      </c>
      <c r="P1653" s="51" t="s">
        <v>1363</v>
      </c>
      <c r="Q1653" s="51" t="s">
        <v>80</v>
      </c>
      <c r="R1653" s="51" t="s">
        <v>78</v>
      </c>
    </row>
    <row r="1654" spans="1:18" x14ac:dyDescent="0.25">
      <c r="A1654" s="13"/>
      <c r="B1654" s="13"/>
      <c r="L1654" s="52">
        <v>45762</v>
      </c>
      <c r="M1654" s="53">
        <v>0.4697337962962963</v>
      </c>
      <c r="N1654" s="51" t="s">
        <v>269</v>
      </c>
      <c r="O1654" s="51" t="s">
        <v>328</v>
      </c>
      <c r="P1654" s="51" t="s">
        <v>1364</v>
      </c>
      <c r="Q1654" s="51" t="s">
        <v>80</v>
      </c>
      <c r="R1654" s="51" t="s">
        <v>78</v>
      </c>
    </row>
    <row r="1655" spans="1:18" x14ac:dyDescent="0.25">
      <c r="A1655" s="13"/>
      <c r="B1655" s="13"/>
      <c r="L1655" s="52">
        <v>45762</v>
      </c>
      <c r="M1655" s="53">
        <v>0.4697337962962963</v>
      </c>
      <c r="N1655" s="51" t="s">
        <v>270</v>
      </c>
      <c r="O1655" s="51" t="s">
        <v>328</v>
      </c>
      <c r="P1655" s="51" t="s">
        <v>1365</v>
      </c>
      <c r="Q1655" s="51" t="s">
        <v>80</v>
      </c>
      <c r="R1655" s="51" t="s">
        <v>78</v>
      </c>
    </row>
    <row r="1656" spans="1:18" x14ac:dyDescent="0.25">
      <c r="A1656" s="13"/>
      <c r="B1656" s="13"/>
      <c r="L1656" s="52">
        <v>45762</v>
      </c>
      <c r="M1656" s="53">
        <v>0.4697337962962963</v>
      </c>
      <c r="N1656" s="51" t="s">
        <v>271</v>
      </c>
      <c r="O1656" s="51" t="s">
        <v>328</v>
      </c>
      <c r="P1656" s="51" t="s">
        <v>1366</v>
      </c>
      <c r="Q1656" s="51" t="s">
        <v>80</v>
      </c>
      <c r="R1656" s="51" t="s">
        <v>78</v>
      </c>
    </row>
    <row r="1657" spans="1:18" x14ac:dyDescent="0.25">
      <c r="A1657" s="13"/>
      <c r="B1657" s="13"/>
      <c r="L1657" s="52">
        <v>45762</v>
      </c>
      <c r="M1657" s="53">
        <v>0.4697337962962963</v>
      </c>
      <c r="N1657" s="51" t="s">
        <v>272</v>
      </c>
      <c r="O1657" s="51" t="s">
        <v>328</v>
      </c>
      <c r="P1657" s="51" t="s">
        <v>1367</v>
      </c>
      <c r="Q1657" s="51" t="s">
        <v>80</v>
      </c>
      <c r="R1657" s="51" t="s">
        <v>78</v>
      </c>
    </row>
    <row r="1658" spans="1:18" x14ac:dyDescent="0.25">
      <c r="A1658" s="13"/>
      <c r="B1658" s="13"/>
      <c r="L1658" s="52">
        <v>45762</v>
      </c>
      <c r="M1658" s="53">
        <v>0.4697337962962963</v>
      </c>
      <c r="N1658" s="51" t="s">
        <v>273</v>
      </c>
      <c r="O1658" s="51" t="s">
        <v>328</v>
      </c>
      <c r="P1658" s="51" t="s">
        <v>1368</v>
      </c>
      <c r="Q1658" s="51" t="s">
        <v>80</v>
      </c>
      <c r="R1658" s="51" t="s">
        <v>78</v>
      </c>
    </row>
    <row r="1659" spans="1:18" x14ac:dyDescent="0.25">
      <c r="A1659" s="13"/>
      <c r="B1659" s="13"/>
      <c r="L1659" s="52">
        <v>45762</v>
      </c>
      <c r="M1659" s="53">
        <v>0.4697337962962963</v>
      </c>
      <c r="N1659" s="51" t="s">
        <v>274</v>
      </c>
      <c r="O1659" s="51" t="s">
        <v>328</v>
      </c>
      <c r="P1659" s="51" t="s">
        <v>1369</v>
      </c>
      <c r="Q1659" s="51" t="s">
        <v>80</v>
      </c>
      <c r="R1659" s="51" t="s">
        <v>78</v>
      </c>
    </row>
    <row r="1660" spans="1:18" x14ac:dyDescent="0.25">
      <c r="A1660" s="13"/>
      <c r="B1660" s="13"/>
      <c r="L1660" s="52">
        <v>45762</v>
      </c>
      <c r="M1660" s="53">
        <v>0.4697337962962963</v>
      </c>
      <c r="N1660" s="51" t="s">
        <v>275</v>
      </c>
      <c r="O1660" s="51" t="s">
        <v>328</v>
      </c>
      <c r="P1660" s="51" t="s">
        <v>1370</v>
      </c>
      <c r="Q1660" s="51" t="s">
        <v>80</v>
      </c>
      <c r="R1660" s="51" t="s">
        <v>78</v>
      </c>
    </row>
    <row r="1661" spans="1:18" x14ac:dyDescent="0.25">
      <c r="A1661" s="13"/>
      <c r="B1661" s="13"/>
      <c r="L1661" s="52">
        <v>45762</v>
      </c>
      <c r="M1661" s="53">
        <v>0.4697337962962963</v>
      </c>
      <c r="N1661" s="51" t="s">
        <v>276</v>
      </c>
      <c r="O1661" s="51" t="s">
        <v>328</v>
      </c>
      <c r="P1661" s="51" t="s">
        <v>1371</v>
      </c>
      <c r="Q1661" s="51" t="s">
        <v>80</v>
      </c>
      <c r="R1661" s="51" t="s">
        <v>78</v>
      </c>
    </row>
    <row r="1662" spans="1:18" x14ac:dyDescent="0.25">
      <c r="A1662" s="13"/>
      <c r="B1662" s="13"/>
      <c r="L1662" s="52">
        <v>45762</v>
      </c>
      <c r="M1662" s="53">
        <v>0.4697337962962963</v>
      </c>
      <c r="N1662" s="51" t="s">
        <v>277</v>
      </c>
      <c r="O1662" s="51" t="s">
        <v>328</v>
      </c>
      <c r="P1662" s="51" t="s">
        <v>1372</v>
      </c>
      <c r="Q1662" s="51" t="s">
        <v>80</v>
      </c>
      <c r="R1662" s="51" t="s">
        <v>78</v>
      </c>
    </row>
    <row r="1663" spans="1:18" x14ac:dyDescent="0.25">
      <c r="A1663" s="13"/>
      <c r="B1663" s="13"/>
      <c r="L1663" s="52">
        <v>45762</v>
      </c>
      <c r="M1663" s="53">
        <v>0.4697337962962963</v>
      </c>
      <c r="N1663" s="51" t="s">
        <v>278</v>
      </c>
      <c r="O1663" s="51" t="s">
        <v>328</v>
      </c>
      <c r="P1663" s="51" t="s">
        <v>1373</v>
      </c>
      <c r="Q1663" s="51" t="s">
        <v>80</v>
      </c>
      <c r="R1663" s="51" t="s">
        <v>78</v>
      </c>
    </row>
    <row r="1664" spans="1:18" x14ac:dyDescent="0.25">
      <c r="A1664" s="13"/>
      <c r="B1664" s="13"/>
      <c r="L1664" s="52">
        <v>45762</v>
      </c>
      <c r="M1664" s="53">
        <v>0.4697337962962963</v>
      </c>
      <c r="N1664" s="51" t="s">
        <v>279</v>
      </c>
      <c r="O1664" s="51" t="s">
        <v>328</v>
      </c>
      <c r="P1664" s="51" t="s">
        <v>1374</v>
      </c>
      <c r="Q1664" s="51" t="s">
        <v>80</v>
      </c>
      <c r="R1664" s="51" t="s">
        <v>78</v>
      </c>
    </row>
    <row r="1665" spans="1:18" x14ac:dyDescent="0.25">
      <c r="A1665" s="13"/>
      <c r="B1665" s="13"/>
      <c r="L1665" s="52">
        <v>45762</v>
      </c>
      <c r="M1665" s="53">
        <v>0.4697337962962963</v>
      </c>
      <c r="N1665" s="51" t="s">
        <v>280</v>
      </c>
      <c r="O1665" s="51" t="s">
        <v>328</v>
      </c>
      <c r="P1665" s="51" t="s">
        <v>1375</v>
      </c>
      <c r="Q1665" s="51" t="s">
        <v>80</v>
      </c>
      <c r="R1665" s="51" t="s">
        <v>78</v>
      </c>
    </row>
    <row r="1666" spans="1:18" x14ac:dyDescent="0.25">
      <c r="A1666" s="13"/>
      <c r="B1666" s="13"/>
      <c r="L1666" s="52">
        <v>45762</v>
      </c>
      <c r="M1666" s="53">
        <v>0.4697337962962963</v>
      </c>
      <c r="N1666" s="51" t="s">
        <v>281</v>
      </c>
      <c r="O1666" s="51" t="s">
        <v>328</v>
      </c>
      <c r="P1666" s="51" t="s">
        <v>1376</v>
      </c>
      <c r="Q1666" s="51" t="s">
        <v>80</v>
      </c>
      <c r="R1666" s="51" t="s">
        <v>78</v>
      </c>
    </row>
    <row r="1667" spans="1:18" x14ac:dyDescent="0.25">
      <c r="A1667" s="13"/>
      <c r="B1667" s="13"/>
      <c r="L1667" s="52">
        <v>45762</v>
      </c>
      <c r="M1667" s="53">
        <v>0.4697337962962963</v>
      </c>
      <c r="N1667" s="51" t="s">
        <v>282</v>
      </c>
      <c r="O1667" s="51" t="s">
        <v>328</v>
      </c>
      <c r="Q1667" s="51" t="s">
        <v>524</v>
      </c>
      <c r="R1667" s="51" t="s">
        <v>132</v>
      </c>
    </row>
    <row r="1668" spans="1:18" x14ac:dyDescent="0.25">
      <c r="A1668" s="13"/>
      <c r="B1668" s="13"/>
      <c r="L1668" s="52">
        <v>45762</v>
      </c>
      <c r="M1668" s="53">
        <v>0.4697337962962963</v>
      </c>
      <c r="N1668" s="51" t="s">
        <v>283</v>
      </c>
      <c r="O1668" s="51" t="s">
        <v>328</v>
      </c>
      <c r="Q1668" s="51" t="s">
        <v>524</v>
      </c>
      <c r="R1668" s="51" t="s">
        <v>132</v>
      </c>
    </row>
    <row r="1669" spans="1:18" x14ac:dyDescent="0.25">
      <c r="A1669" s="13"/>
      <c r="B1669" s="13"/>
      <c r="L1669" s="52">
        <v>45762</v>
      </c>
      <c r="M1669" s="53">
        <v>0.4697337962962963</v>
      </c>
      <c r="N1669" s="51" t="s">
        <v>284</v>
      </c>
      <c r="O1669" s="51" t="s">
        <v>328</v>
      </c>
      <c r="Q1669" s="51" t="s">
        <v>524</v>
      </c>
      <c r="R1669" s="51" t="s">
        <v>132</v>
      </c>
    </row>
    <row r="1670" spans="1:18" x14ac:dyDescent="0.25">
      <c r="A1670" s="13"/>
      <c r="B1670" s="13"/>
      <c r="L1670" s="52">
        <v>45762</v>
      </c>
      <c r="M1670" s="53">
        <v>0.4697337962962963</v>
      </c>
      <c r="N1670" s="51" t="s">
        <v>285</v>
      </c>
      <c r="O1670" s="51" t="s">
        <v>328</v>
      </c>
      <c r="P1670" s="51" t="s">
        <v>1377</v>
      </c>
      <c r="Q1670" s="51" t="s">
        <v>80</v>
      </c>
      <c r="R1670" s="51" t="s">
        <v>78</v>
      </c>
    </row>
    <row r="1671" spans="1:18" x14ac:dyDescent="0.25">
      <c r="A1671" s="13"/>
      <c r="B1671" s="13"/>
      <c r="L1671" s="52">
        <v>45762</v>
      </c>
      <c r="M1671" s="53">
        <v>0.4697337962962963</v>
      </c>
      <c r="N1671" s="51" t="s">
        <v>286</v>
      </c>
      <c r="O1671" s="51" t="s">
        <v>328</v>
      </c>
      <c r="P1671" s="51" t="s">
        <v>1378</v>
      </c>
      <c r="Q1671" s="51" t="s">
        <v>80</v>
      </c>
      <c r="R1671" s="51" t="s">
        <v>78</v>
      </c>
    </row>
    <row r="1672" spans="1:18" x14ac:dyDescent="0.25">
      <c r="A1672" s="13"/>
      <c r="B1672" s="13"/>
      <c r="L1672" s="52">
        <v>45762</v>
      </c>
      <c r="M1672" s="53">
        <v>0.4697337962962963</v>
      </c>
      <c r="N1672" s="51" t="s">
        <v>287</v>
      </c>
      <c r="O1672" s="51" t="s">
        <v>328</v>
      </c>
      <c r="P1672" s="51" t="s">
        <v>1379</v>
      </c>
      <c r="Q1672" s="51" t="s">
        <v>80</v>
      </c>
      <c r="R1672" s="51" t="s">
        <v>78</v>
      </c>
    </row>
    <row r="1673" spans="1:18" x14ac:dyDescent="0.25">
      <c r="A1673" s="13"/>
      <c r="B1673" s="13"/>
      <c r="L1673" s="52">
        <v>45762</v>
      </c>
      <c r="M1673" s="53">
        <v>0.4697337962962963</v>
      </c>
      <c r="N1673" s="51" t="s">
        <v>288</v>
      </c>
      <c r="O1673" s="51" t="s">
        <v>328</v>
      </c>
      <c r="P1673" s="51" t="s">
        <v>1380</v>
      </c>
      <c r="Q1673" s="51" t="s">
        <v>80</v>
      </c>
      <c r="R1673" s="51" t="s">
        <v>78</v>
      </c>
    </row>
    <row r="1674" spans="1:18" x14ac:dyDescent="0.25">
      <c r="A1674" s="13"/>
      <c r="B1674" s="13"/>
      <c r="L1674" s="52">
        <v>45762</v>
      </c>
      <c r="M1674" s="53">
        <v>0.4697337962962963</v>
      </c>
      <c r="N1674" s="51" t="s">
        <v>289</v>
      </c>
      <c r="O1674" s="51" t="s">
        <v>328</v>
      </c>
      <c r="P1674" s="51" t="s">
        <v>1381</v>
      </c>
      <c r="Q1674" s="51" t="s">
        <v>80</v>
      </c>
      <c r="R1674" s="51" t="s">
        <v>78</v>
      </c>
    </row>
    <row r="1675" spans="1:18" x14ac:dyDescent="0.25">
      <c r="A1675" s="13"/>
      <c r="B1675" s="13"/>
      <c r="L1675" s="52">
        <v>45762</v>
      </c>
      <c r="M1675" s="53">
        <v>0.4697337962962963</v>
      </c>
      <c r="N1675" s="51" t="s">
        <v>290</v>
      </c>
      <c r="O1675" s="51" t="s">
        <v>328</v>
      </c>
      <c r="P1675" s="51" t="s">
        <v>1382</v>
      </c>
      <c r="Q1675" s="51" t="s">
        <v>80</v>
      </c>
      <c r="R1675" s="51" t="s">
        <v>78</v>
      </c>
    </row>
    <row r="1676" spans="1:18" x14ac:dyDescent="0.25">
      <c r="A1676" s="13"/>
      <c r="B1676" s="13"/>
      <c r="L1676" s="52">
        <v>45762</v>
      </c>
      <c r="M1676" s="53">
        <v>0.4697337962962963</v>
      </c>
      <c r="N1676" s="51" t="s">
        <v>291</v>
      </c>
      <c r="O1676" s="51" t="s">
        <v>328</v>
      </c>
      <c r="P1676" s="51" t="s">
        <v>1383</v>
      </c>
      <c r="Q1676" s="51" t="s">
        <v>80</v>
      </c>
      <c r="R1676" s="51" t="s">
        <v>78</v>
      </c>
    </row>
    <row r="1677" spans="1:18" x14ac:dyDescent="0.25">
      <c r="A1677" s="13"/>
      <c r="B1677" s="13"/>
      <c r="L1677" s="52">
        <v>45762</v>
      </c>
      <c r="M1677" s="53">
        <v>0.4697337962962963</v>
      </c>
      <c r="N1677" s="51" t="s">
        <v>292</v>
      </c>
      <c r="O1677" s="51" t="s">
        <v>328</v>
      </c>
      <c r="P1677" s="51" t="s">
        <v>1384</v>
      </c>
      <c r="Q1677" s="51" t="s">
        <v>80</v>
      </c>
      <c r="R1677" s="51" t="s">
        <v>78</v>
      </c>
    </row>
    <row r="1678" spans="1:18" x14ac:dyDescent="0.25">
      <c r="A1678" s="13"/>
      <c r="B1678" s="13"/>
      <c r="L1678" s="52">
        <v>45762</v>
      </c>
      <c r="M1678" s="53">
        <v>0.4697337962962963</v>
      </c>
      <c r="N1678" s="51" t="s">
        <v>293</v>
      </c>
      <c r="O1678" s="51" t="s">
        <v>328</v>
      </c>
      <c r="P1678" s="51" t="s">
        <v>1385</v>
      </c>
      <c r="Q1678" s="51" t="s">
        <v>80</v>
      </c>
      <c r="R1678" s="51" t="s">
        <v>78</v>
      </c>
    </row>
    <row r="1679" spans="1:18" x14ac:dyDescent="0.25">
      <c r="A1679" s="13"/>
      <c r="B1679" s="13"/>
      <c r="L1679" s="52">
        <v>45762</v>
      </c>
      <c r="M1679" s="53">
        <v>0.4697337962962963</v>
      </c>
      <c r="N1679" s="51" t="s">
        <v>294</v>
      </c>
      <c r="O1679" s="51" t="s">
        <v>328</v>
      </c>
      <c r="P1679" s="51" t="s">
        <v>1386</v>
      </c>
      <c r="Q1679" s="51" t="s">
        <v>80</v>
      </c>
      <c r="R1679" s="51" t="s">
        <v>78</v>
      </c>
    </row>
    <row r="1680" spans="1:18" x14ac:dyDescent="0.25">
      <c r="A1680" s="13"/>
      <c r="B1680" s="13"/>
      <c r="L1680" s="52">
        <v>45762</v>
      </c>
      <c r="M1680" s="53">
        <v>0.4697337962962963</v>
      </c>
      <c r="N1680" s="51" t="s">
        <v>295</v>
      </c>
      <c r="O1680" s="51" t="s">
        <v>328</v>
      </c>
      <c r="P1680" s="51" t="s">
        <v>1387</v>
      </c>
      <c r="Q1680" s="51" t="s">
        <v>80</v>
      </c>
      <c r="R1680" s="51" t="s">
        <v>78</v>
      </c>
    </row>
    <row r="1681" spans="1:18" x14ac:dyDescent="0.25">
      <c r="A1681" s="13"/>
      <c r="B1681" s="13"/>
      <c r="L1681" s="52">
        <v>45762</v>
      </c>
      <c r="M1681" s="53">
        <v>0.4697337962962963</v>
      </c>
      <c r="N1681" s="51" t="s">
        <v>296</v>
      </c>
      <c r="O1681" s="51" t="s">
        <v>328</v>
      </c>
      <c r="P1681" s="51" t="s">
        <v>1388</v>
      </c>
      <c r="Q1681" s="51" t="s">
        <v>80</v>
      </c>
      <c r="R1681" s="51" t="s">
        <v>78</v>
      </c>
    </row>
    <row r="1682" spans="1:18" x14ac:dyDescent="0.25">
      <c r="A1682" s="13"/>
      <c r="B1682" s="13"/>
      <c r="L1682" s="52">
        <v>45762</v>
      </c>
      <c r="M1682" s="53">
        <v>0.4697337962962963</v>
      </c>
      <c r="N1682" s="51" t="s">
        <v>297</v>
      </c>
      <c r="O1682" s="51" t="s">
        <v>328</v>
      </c>
      <c r="P1682" s="51" t="s">
        <v>1389</v>
      </c>
      <c r="Q1682" s="51" t="s">
        <v>80</v>
      </c>
      <c r="R1682" s="51" t="s">
        <v>78</v>
      </c>
    </row>
    <row r="1683" spans="1:18" x14ac:dyDescent="0.25">
      <c r="A1683" s="13"/>
      <c r="B1683" s="13"/>
      <c r="L1683" s="52">
        <v>45762</v>
      </c>
      <c r="M1683" s="53">
        <v>0.4697337962962963</v>
      </c>
      <c r="N1683" s="51" t="s">
        <v>298</v>
      </c>
      <c r="O1683" s="51" t="s">
        <v>328</v>
      </c>
      <c r="P1683" s="51" t="s">
        <v>1390</v>
      </c>
      <c r="Q1683" s="51" t="s">
        <v>80</v>
      </c>
      <c r="R1683" s="51" t="s">
        <v>78</v>
      </c>
    </row>
    <row r="1684" spans="1:18" x14ac:dyDescent="0.25">
      <c r="A1684" s="13"/>
      <c r="B1684" s="13"/>
      <c r="L1684" s="52">
        <v>45762</v>
      </c>
      <c r="M1684" s="53">
        <v>0.4697337962962963</v>
      </c>
      <c r="N1684" s="51" t="s">
        <v>299</v>
      </c>
      <c r="O1684" s="51" t="s">
        <v>328</v>
      </c>
      <c r="P1684" s="51" t="s">
        <v>1391</v>
      </c>
      <c r="Q1684" s="51" t="s">
        <v>80</v>
      </c>
      <c r="R1684" s="51" t="s">
        <v>78</v>
      </c>
    </row>
    <row r="1685" spans="1:18" x14ac:dyDescent="0.25">
      <c r="A1685" s="13"/>
      <c r="B1685" s="13"/>
      <c r="L1685" s="52">
        <v>45762</v>
      </c>
      <c r="M1685" s="53">
        <v>0.4697337962962963</v>
      </c>
      <c r="N1685" s="51" t="s">
        <v>300</v>
      </c>
      <c r="O1685" s="51" t="s">
        <v>328</v>
      </c>
      <c r="P1685" s="51" t="s">
        <v>1392</v>
      </c>
      <c r="Q1685" s="51" t="s">
        <v>80</v>
      </c>
      <c r="R1685" s="51" t="s">
        <v>78</v>
      </c>
    </row>
    <row r="1686" spans="1:18" x14ac:dyDescent="0.25">
      <c r="A1686" s="13"/>
      <c r="B1686" s="13"/>
      <c r="L1686" s="52">
        <v>45762</v>
      </c>
      <c r="M1686" s="53">
        <v>0.4697337962962963</v>
      </c>
      <c r="N1686" s="51" t="s">
        <v>301</v>
      </c>
      <c r="O1686" s="51" t="s">
        <v>328</v>
      </c>
      <c r="P1686" s="51" t="s">
        <v>1393</v>
      </c>
      <c r="Q1686" s="51" t="s">
        <v>80</v>
      </c>
      <c r="R1686" s="51" t="s">
        <v>78</v>
      </c>
    </row>
    <row r="1687" spans="1:18" x14ac:dyDescent="0.25">
      <c r="A1687" s="13"/>
      <c r="B1687" s="13"/>
      <c r="L1687" s="52">
        <v>45762</v>
      </c>
      <c r="M1687" s="53">
        <v>0.4697337962962963</v>
      </c>
      <c r="N1687" s="51" t="s">
        <v>302</v>
      </c>
      <c r="O1687" s="51" t="s">
        <v>328</v>
      </c>
      <c r="P1687" s="51" t="s">
        <v>1394</v>
      </c>
      <c r="Q1687" s="51" t="s">
        <v>80</v>
      </c>
      <c r="R1687" s="51" t="s">
        <v>78</v>
      </c>
    </row>
    <row r="1688" spans="1:18" x14ac:dyDescent="0.25">
      <c r="A1688" s="13"/>
      <c r="B1688" s="13"/>
      <c r="L1688" s="52">
        <v>45762</v>
      </c>
      <c r="M1688" s="53">
        <v>0.4697337962962963</v>
      </c>
      <c r="N1688" s="51" t="s">
        <v>303</v>
      </c>
      <c r="O1688" s="51" t="s">
        <v>328</v>
      </c>
      <c r="P1688" s="51" t="s">
        <v>1395</v>
      </c>
      <c r="Q1688" s="51" t="s">
        <v>80</v>
      </c>
      <c r="R1688" s="51" t="s">
        <v>78</v>
      </c>
    </row>
    <row r="1689" spans="1:18" x14ac:dyDescent="0.25">
      <c r="A1689" s="13"/>
      <c r="B1689" s="13"/>
      <c r="L1689" s="52">
        <v>45762</v>
      </c>
      <c r="M1689" s="53">
        <v>0.4697337962962963</v>
      </c>
      <c r="N1689" s="51" t="s">
        <v>304</v>
      </c>
      <c r="O1689" s="51" t="s">
        <v>328</v>
      </c>
      <c r="P1689" s="51" t="s">
        <v>1396</v>
      </c>
      <c r="Q1689" s="51" t="s">
        <v>80</v>
      </c>
      <c r="R1689" s="51" t="s">
        <v>78</v>
      </c>
    </row>
    <row r="1690" spans="1:18" x14ac:dyDescent="0.25">
      <c r="A1690" s="13"/>
      <c r="B1690" s="13"/>
      <c r="L1690" s="52">
        <v>45762</v>
      </c>
      <c r="M1690" s="53">
        <v>0.4697337962962963</v>
      </c>
      <c r="N1690" s="51" t="s">
        <v>305</v>
      </c>
      <c r="O1690" s="51" t="s">
        <v>328</v>
      </c>
      <c r="P1690" s="51" t="s">
        <v>1397</v>
      </c>
      <c r="Q1690" s="51" t="s">
        <v>80</v>
      </c>
      <c r="R1690" s="51" t="s">
        <v>78</v>
      </c>
    </row>
    <row r="1691" spans="1:18" x14ac:dyDescent="0.25">
      <c r="A1691" s="13"/>
      <c r="B1691" s="13"/>
      <c r="L1691" s="52">
        <v>45762</v>
      </c>
      <c r="M1691" s="53">
        <v>0.4697337962962963</v>
      </c>
      <c r="N1691" s="51" t="s">
        <v>306</v>
      </c>
      <c r="O1691" s="51" t="s">
        <v>328</v>
      </c>
      <c r="P1691" s="51" t="s">
        <v>1398</v>
      </c>
      <c r="Q1691" s="51" t="s">
        <v>80</v>
      </c>
      <c r="R1691" s="51" t="s">
        <v>78</v>
      </c>
    </row>
    <row r="1692" spans="1:18" x14ac:dyDescent="0.25">
      <c r="A1692" s="13"/>
      <c r="B1692" s="13"/>
      <c r="L1692" s="52">
        <v>45762</v>
      </c>
      <c r="M1692" s="53">
        <v>0.4697337962962963</v>
      </c>
      <c r="N1692" s="51" t="s">
        <v>307</v>
      </c>
      <c r="O1692" s="51" t="s">
        <v>328</v>
      </c>
      <c r="P1692" s="51" t="s">
        <v>1399</v>
      </c>
      <c r="Q1692" s="51" t="s">
        <v>80</v>
      </c>
      <c r="R1692" s="51" t="s">
        <v>78</v>
      </c>
    </row>
    <row r="1693" spans="1:18" x14ac:dyDescent="0.25">
      <c r="A1693" s="13"/>
      <c r="B1693" s="13"/>
      <c r="L1693" s="52">
        <v>45762</v>
      </c>
      <c r="M1693" s="53">
        <v>0.4697337962962963</v>
      </c>
      <c r="N1693" s="51" t="s">
        <v>308</v>
      </c>
      <c r="O1693" s="51" t="s">
        <v>328</v>
      </c>
      <c r="P1693" s="51" t="s">
        <v>1400</v>
      </c>
      <c r="Q1693" s="51" t="s">
        <v>80</v>
      </c>
      <c r="R1693" s="51" t="s">
        <v>78</v>
      </c>
    </row>
    <row r="1694" spans="1:18" x14ac:dyDescent="0.25">
      <c r="A1694" s="13"/>
      <c r="B1694" s="13"/>
      <c r="L1694" s="52">
        <v>45762</v>
      </c>
      <c r="M1694" s="53">
        <v>0.4697337962962963</v>
      </c>
      <c r="N1694" s="51" t="s">
        <v>309</v>
      </c>
      <c r="O1694" s="51" t="s">
        <v>328</v>
      </c>
      <c r="P1694" s="51" t="s">
        <v>1401</v>
      </c>
      <c r="Q1694" s="51" t="s">
        <v>80</v>
      </c>
      <c r="R1694" s="51" t="s">
        <v>78</v>
      </c>
    </row>
    <row r="1695" spans="1:18" x14ac:dyDescent="0.25">
      <c r="A1695" s="13"/>
      <c r="B1695" s="13"/>
      <c r="L1695" s="52">
        <v>45762</v>
      </c>
      <c r="M1695" s="53">
        <v>0.4697337962962963</v>
      </c>
      <c r="N1695" s="51" t="s">
        <v>310</v>
      </c>
      <c r="O1695" s="51" t="s">
        <v>328</v>
      </c>
      <c r="P1695" s="51" t="s">
        <v>1402</v>
      </c>
      <c r="Q1695" s="51" t="s">
        <v>80</v>
      </c>
      <c r="R1695" s="51" t="s">
        <v>78</v>
      </c>
    </row>
    <row r="1696" spans="1:18" x14ac:dyDescent="0.25">
      <c r="A1696" s="13"/>
      <c r="B1696" s="13"/>
      <c r="L1696" s="52">
        <v>45762</v>
      </c>
      <c r="M1696" s="53">
        <v>0.4697337962962963</v>
      </c>
      <c r="N1696" s="51" t="s">
        <v>311</v>
      </c>
      <c r="O1696" s="51" t="s">
        <v>328</v>
      </c>
      <c r="P1696" s="51" t="s">
        <v>1403</v>
      </c>
      <c r="Q1696" s="51" t="s">
        <v>80</v>
      </c>
      <c r="R1696" s="51" t="s">
        <v>78</v>
      </c>
    </row>
    <row r="1697" spans="1:18" x14ac:dyDescent="0.25">
      <c r="A1697" s="13"/>
      <c r="B1697" s="13"/>
      <c r="L1697" s="52">
        <v>45762</v>
      </c>
      <c r="M1697" s="53">
        <v>0.4697337962962963</v>
      </c>
      <c r="N1697" s="51" t="s">
        <v>312</v>
      </c>
      <c r="O1697" s="51" t="s">
        <v>328</v>
      </c>
      <c r="P1697" s="51" t="s">
        <v>1404</v>
      </c>
      <c r="Q1697" s="51" t="s">
        <v>80</v>
      </c>
      <c r="R1697" s="51" t="s">
        <v>78</v>
      </c>
    </row>
    <row r="1698" spans="1:18" x14ac:dyDescent="0.25">
      <c r="A1698" s="13"/>
      <c r="B1698" s="13"/>
      <c r="L1698" s="52">
        <v>45762</v>
      </c>
      <c r="M1698" s="53">
        <v>0.4697337962962963</v>
      </c>
      <c r="N1698" s="51" t="s">
        <v>313</v>
      </c>
      <c r="O1698" s="51" t="s">
        <v>328</v>
      </c>
      <c r="P1698" s="51" t="s">
        <v>1405</v>
      </c>
      <c r="Q1698" s="51" t="s">
        <v>80</v>
      </c>
      <c r="R1698" s="51" t="s">
        <v>78</v>
      </c>
    </row>
    <row r="1699" spans="1:18" x14ac:dyDescent="0.25">
      <c r="A1699" s="13"/>
      <c r="B1699" s="13"/>
      <c r="L1699" s="52">
        <v>45762</v>
      </c>
      <c r="M1699" s="53">
        <v>0.4697337962962963</v>
      </c>
      <c r="N1699" s="51" t="s">
        <v>314</v>
      </c>
      <c r="O1699" s="51" t="s">
        <v>328</v>
      </c>
      <c r="P1699" s="51" t="s">
        <v>1406</v>
      </c>
      <c r="Q1699" s="51" t="s">
        <v>80</v>
      </c>
      <c r="R1699" s="51" t="s">
        <v>78</v>
      </c>
    </row>
    <row r="1700" spans="1:18" x14ac:dyDescent="0.25">
      <c r="A1700" s="13"/>
      <c r="B1700" s="13"/>
      <c r="L1700" s="52">
        <v>45762</v>
      </c>
      <c r="M1700" s="53">
        <v>0.4697337962962963</v>
      </c>
      <c r="N1700" s="51" t="s">
        <v>315</v>
      </c>
      <c r="O1700" s="51" t="s">
        <v>328</v>
      </c>
      <c r="P1700" s="51" t="s">
        <v>1407</v>
      </c>
      <c r="Q1700" s="51" t="s">
        <v>80</v>
      </c>
      <c r="R1700" s="51" t="s">
        <v>78</v>
      </c>
    </row>
    <row r="1701" spans="1:18" x14ac:dyDescent="0.25">
      <c r="A1701" s="13"/>
      <c r="B1701" s="13"/>
      <c r="L1701" s="52">
        <v>45762</v>
      </c>
      <c r="M1701" s="53">
        <v>0.4697337962962963</v>
      </c>
      <c r="N1701" s="51" t="s">
        <v>316</v>
      </c>
      <c r="O1701" s="51" t="s">
        <v>328</v>
      </c>
      <c r="P1701" s="51" t="s">
        <v>1408</v>
      </c>
      <c r="Q1701" s="51" t="s">
        <v>80</v>
      </c>
      <c r="R1701" s="51" t="s">
        <v>78</v>
      </c>
    </row>
    <row r="1702" spans="1:18" x14ac:dyDescent="0.25">
      <c r="A1702" s="13"/>
      <c r="B1702" s="13"/>
      <c r="L1702" s="52">
        <v>45762</v>
      </c>
      <c r="M1702" s="53">
        <v>0.4697337962962963</v>
      </c>
      <c r="N1702" s="51" t="s">
        <v>317</v>
      </c>
      <c r="O1702" s="51" t="s">
        <v>328</v>
      </c>
      <c r="P1702" s="51" t="s">
        <v>1409</v>
      </c>
      <c r="Q1702" s="51" t="s">
        <v>80</v>
      </c>
      <c r="R1702" s="51" t="s">
        <v>78</v>
      </c>
    </row>
    <row r="1703" spans="1:18" x14ac:dyDescent="0.25">
      <c r="A1703" s="13"/>
      <c r="B1703" s="13"/>
      <c r="L1703" s="52">
        <v>45762</v>
      </c>
      <c r="M1703" s="53">
        <v>0.4697337962962963</v>
      </c>
      <c r="N1703" s="51" t="s">
        <v>318</v>
      </c>
      <c r="O1703" s="51" t="s">
        <v>328</v>
      </c>
      <c r="P1703" s="51" t="s">
        <v>1410</v>
      </c>
      <c r="Q1703" s="51" t="s">
        <v>80</v>
      </c>
      <c r="R1703" s="51" t="s">
        <v>78</v>
      </c>
    </row>
    <row r="1704" spans="1:18" x14ac:dyDescent="0.25">
      <c r="A1704" s="13"/>
      <c r="B1704" s="13"/>
      <c r="L1704" s="52">
        <v>45762</v>
      </c>
      <c r="M1704" s="53">
        <v>0.4697337962962963</v>
      </c>
      <c r="N1704" s="51" t="s">
        <v>319</v>
      </c>
      <c r="O1704" s="51" t="s">
        <v>328</v>
      </c>
      <c r="P1704" s="51" t="s">
        <v>1411</v>
      </c>
      <c r="Q1704" s="51" t="s">
        <v>80</v>
      </c>
      <c r="R1704" s="51" t="s">
        <v>78</v>
      </c>
    </row>
    <row r="1705" spans="1:18" x14ac:dyDescent="0.25">
      <c r="A1705" s="13"/>
      <c r="B1705" s="13"/>
      <c r="L1705" s="52">
        <v>45762</v>
      </c>
      <c r="M1705" s="53">
        <v>0.4697337962962963</v>
      </c>
      <c r="N1705" s="51" t="s">
        <v>320</v>
      </c>
      <c r="O1705" s="51" t="s">
        <v>328</v>
      </c>
      <c r="P1705" s="51" t="s">
        <v>1412</v>
      </c>
      <c r="Q1705" s="51" t="s">
        <v>80</v>
      </c>
      <c r="R1705" s="51" t="s">
        <v>78</v>
      </c>
    </row>
    <row r="1706" spans="1:18" x14ac:dyDescent="0.25">
      <c r="A1706" s="13"/>
      <c r="B1706" s="13"/>
      <c r="L1706" s="52">
        <v>45762</v>
      </c>
      <c r="M1706" s="53">
        <v>0.4697337962962963</v>
      </c>
      <c r="N1706" s="51" t="s">
        <v>321</v>
      </c>
      <c r="O1706" s="51" t="s">
        <v>328</v>
      </c>
      <c r="P1706" s="51" t="s">
        <v>1413</v>
      </c>
      <c r="Q1706" s="51" t="s">
        <v>80</v>
      </c>
      <c r="R1706" s="51" t="s">
        <v>78</v>
      </c>
    </row>
    <row r="1707" spans="1:18" x14ac:dyDescent="0.25">
      <c r="A1707" s="13"/>
      <c r="B1707" s="13"/>
    </row>
    <row r="1708" spans="1:18" x14ac:dyDescent="0.25">
      <c r="A1708" s="13"/>
      <c r="B1708" s="13"/>
    </row>
    <row r="1709" spans="1:18" x14ac:dyDescent="0.25">
      <c r="A1709" s="13"/>
      <c r="B1709" s="13"/>
    </row>
    <row r="1710" spans="1:18" x14ac:dyDescent="0.25">
      <c r="A1710" s="13"/>
      <c r="B1710" s="13"/>
    </row>
    <row r="1711" spans="1:18" x14ac:dyDescent="0.25">
      <c r="A1711" s="13"/>
      <c r="B1711" s="13"/>
    </row>
    <row r="1712" spans="1:18" x14ac:dyDescent="0.25">
      <c r="A1712" s="13"/>
      <c r="B1712" s="13"/>
    </row>
    <row r="1713" spans="1:2" x14ac:dyDescent="0.25">
      <c r="A1713" s="13"/>
      <c r="B1713" s="13"/>
    </row>
    <row r="1714" spans="1:2" x14ac:dyDescent="0.25">
      <c r="A1714" s="13"/>
      <c r="B1714" s="13"/>
    </row>
    <row r="1715" spans="1:2" x14ac:dyDescent="0.25">
      <c r="A1715" s="13"/>
      <c r="B1715" s="13"/>
    </row>
    <row r="1716" spans="1:2" x14ac:dyDescent="0.25">
      <c r="A1716" s="13"/>
      <c r="B1716" s="13"/>
    </row>
    <row r="1717" spans="1:2" x14ac:dyDescent="0.25">
      <c r="A1717" s="13"/>
      <c r="B1717" s="13"/>
    </row>
    <row r="1718" spans="1:2" x14ac:dyDescent="0.25">
      <c r="A1718" s="13"/>
      <c r="B1718" s="13"/>
    </row>
    <row r="1719" spans="1:2" x14ac:dyDescent="0.25">
      <c r="A1719" s="13"/>
      <c r="B1719" s="13"/>
    </row>
    <row r="1720" spans="1:2" x14ac:dyDescent="0.25">
      <c r="A1720" s="13"/>
      <c r="B1720" s="13"/>
    </row>
    <row r="1721" spans="1:2" x14ac:dyDescent="0.25">
      <c r="A1721" s="13"/>
      <c r="B1721" s="13"/>
    </row>
    <row r="1722" spans="1:2" x14ac:dyDescent="0.25">
      <c r="A1722" s="13"/>
      <c r="B1722" s="13"/>
    </row>
    <row r="1723" spans="1:2" x14ac:dyDescent="0.25">
      <c r="A1723" s="13"/>
      <c r="B1723" s="13"/>
    </row>
    <row r="1724" spans="1:2" x14ac:dyDescent="0.25">
      <c r="A1724" s="13"/>
      <c r="B1724" s="13"/>
    </row>
    <row r="1725" spans="1:2" x14ac:dyDescent="0.25">
      <c r="A1725" s="13"/>
      <c r="B1725" s="13"/>
    </row>
    <row r="1726" spans="1:2" x14ac:dyDescent="0.25">
      <c r="A1726" s="13"/>
      <c r="B1726" s="13"/>
    </row>
    <row r="1727" spans="1:2" x14ac:dyDescent="0.25">
      <c r="A1727" s="13"/>
      <c r="B1727" s="13"/>
    </row>
    <row r="1728" spans="1:2" x14ac:dyDescent="0.25">
      <c r="A1728" s="13"/>
      <c r="B1728" s="13"/>
    </row>
    <row r="1729" spans="1:2" x14ac:dyDescent="0.25">
      <c r="A1729" s="13"/>
      <c r="B1729" s="13"/>
    </row>
    <row r="1730" spans="1:2" x14ac:dyDescent="0.25">
      <c r="A1730" s="13"/>
      <c r="B1730" s="13"/>
    </row>
    <row r="1731" spans="1:2" x14ac:dyDescent="0.25">
      <c r="A1731" s="13"/>
      <c r="B1731" s="13"/>
    </row>
    <row r="1732" spans="1:2" x14ac:dyDescent="0.25">
      <c r="A1732" s="13"/>
      <c r="B1732" s="13"/>
    </row>
    <row r="1733" spans="1:2" x14ac:dyDescent="0.25">
      <c r="A1733" s="13"/>
      <c r="B1733" s="13"/>
    </row>
    <row r="1734" spans="1:2" x14ac:dyDescent="0.25">
      <c r="A1734" s="13"/>
      <c r="B1734" s="13"/>
    </row>
    <row r="1735" spans="1:2" x14ac:dyDescent="0.25">
      <c r="A1735" s="13"/>
      <c r="B1735" s="13"/>
    </row>
    <row r="1736" spans="1:2" x14ac:dyDescent="0.25">
      <c r="A1736" s="13"/>
      <c r="B1736" s="13"/>
    </row>
    <row r="1737" spans="1:2" x14ac:dyDescent="0.25">
      <c r="A1737" s="13"/>
      <c r="B1737" s="13"/>
    </row>
    <row r="1738" spans="1:2" x14ac:dyDescent="0.25">
      <c r="A1738" s="13"/>
      <c r="B1738" s="13"/>
    </row>
    <row r="1739" spans="1:2" x14ac:dyDescent="0.25">
      <c r="A1739" s="13"/>
      <c r="B1739" s="13"/>
    </row>
    <row r="1740" spans="1:2" x14ac:dyDescent="0.25">
      <c r="A1740" s="13"/>
      <c r="B1740" s="13"/>
    </row>
    <row r="1741" spans="1:2" x14ac:dyDescent="0.25">
      <c r="A1741" s="13"/>
      <c r="B1741" s="13"/>
    </row>
    <row r="1742" spans="1:2" x14ac:dyDescent="0.25">
      <c r="A1742" s="13"/>
      <c r="B1742" s="13"/>
    </row>
    <row r="1743" spans="1:2" x14ac:dyDescent="0.25">
      <c r="A1743" s="13"/>
      <c r="B1743" s="13"/>
    </row>
    <row r="1744" spans="1:2" x14ac:dyDescent="0.25">
      <c r="A1744" s="13"/>
      <c r="B1744" s="13"/>
    </row>
    <row r="1745" spans="1:2" x14ac:dyDescent="0.25">
      <c r="A1745" s="13"/>
      <c r="B1745" s="13"/>
    </row>
    <row r="1746" spans="1:2" x14ac:dyDescent="0.25">
      <c r="A1746" s="13"/>
      <c r="B1746" s="13"/>
    </row>
    <row r="1747" spans="1:2" x14ac:dyDescent="0.25">
      <c r="A1747" s="13"/>
      <c r="B1747" s="13"/>
    </row>
    <row r="1748" spans="1:2" x14ac:dyDescent="0.25">
      <c r="A1748" s="13"/>
      <c r="B1748" s="13"/>
    </row>
    <row r="1749" spans="1:2" x14ac:dyDescent="0.25">
      <c r="A1749" s="13"/>
      <c r="B1749" s="13"/>
    </row>
    <row r="1750" spans="1:2" x14ac:dyDescent="0.25">
      <c r="A1750" s="13"/>
      <c r="B1750" s="13"/>
    </row>
    <row r="1751" spans="1:2" x14ac:dyDescent="0.25">
      <c r="A1751" s="13"/>
      <c r="B1751" s="13"/>
    </row>
    <row r="1752" spans="1:2" x14ac:dyDescent="0.25">
      <c r="A1752" s="13"/>
      <c r="B1752" s="13"/>
    </row>
    <row r="1753" spans="1:2" x14ac:dyDescent="0.25">
      <c r="A1753" s="13"/>
      <c r="B1753" s="13"/>
    </row>
    <row r="1754" spans="1:2" x14ac:dyDescent="0.25">
      <c r="A1754" s="13"/>
      <c r="B1754" s="13"/>
    </row>
    <row r="1755" spans="1:2" x14ac:dyDescent="0.25">
      <c r="A1755" s="13"/>
      <c r="B1755" s="13"/>
    </row>
    <row r="1756" spans="1:2" x14ac:dyDescent="0.25">
      <c r="A1756" s="13"/>
      <c r="B1756" s="13"/>
    </row>
    <row r="1757" spans="1:2" x14ac:dyDescent="0.25">
      <c r="A1757" s="13"/>
      <c r="B1757" s="13"/>
    </row>
    <row r="1758" spans="1:2" x14ac:dyDescent="0.25">
      <c r="A1758" s="13"/>
      <c r="B1758" s="13"/>
    </row>
    <row r="1759" spans="1:2" x14ac:dyDescent="0.25">
      <c r="A1759" s="13"/>
      <c r="B1759" s="13"/>
    </row>
    <row r="1760" spans="1:2" x14ac:dyDescent="0.25">
      <c r="A1760" s="13"/>
      <c r="B1760" s="13"/>
    </row>
    <row r="1761" spans="1:2" x14ac:dyDescent="0.25">
      <c r="A1761" s="13"/>
      <c r="B1761" s="13"/>
    </row>
    <row r="1762" spans="1:2" x14ac:dyDescent="0.25">
      <c r="A1762" s="13"/>
      <c r="B1762" s="13"/>
    </row>
    <row r="1763" spans="1:2" x14ac:dyDescent="0.25">
      <c r="A1763" s="13"/>
      <c r="B1763" s="13"/>
    </row>
    <row r="1764" spans="1:2" x14ac:dyDescent="0.25">
      <c r="A1764" s="13"/>
      <c r="B1764" s="13"/>
    </row>
    <row r="1765" spans="1:2" x14ac:dyDescent="0.25">
      <c r="A1765" s="13"/>
      <c r="B1765" s="13"/>
    </row>
    <row r="1766" spans="1:2" x14ac:dyDescent="0.25">
      <c r="A1766" s="13"/>
      <c r="B1766" s="13"/>
    </row>
    <row r="1767" spans="1:2" x14ac:dyDescent="0.25">
      <c r="A1767" s="13"/>
      <c r="B1767" s="13"/>
    </row>
    <row r="1768" spans="1:2" x14ac:dyDescent="0.25">
      <c r="A1768" s="13"/>
      <c r="B1768" s="13"/>
    </row>
    <row r="1769" spans="1:2" x14ac:dyDescent="0.25">
      <c r="A1769" s="13"/>
      <c r="B1769" s="13"/>
    </row>
    <row r="1770" spans="1:2" x14ac:dyDescent="0.25">
      <c r="A1770" s="13"/>
      <c r="B1770" s="13"/>
    </row>
    <row r="1771" spans="1:2" x14ac:dyDescent="0.25">
      <c r="A1771" s="13"/>
      <c r="B1771" s="13"/>
    </row>
    <row r="1772" spans="1:2" x14ac:dyDescent="0.25">
      <c r="A1772" s="13"/>
      <c r="B1772" s="13"/>
    </row>
    <row r="1773" spans="1:2" x14ac:dyDescent="0.25">
      <c r="A1773" s="13"/>
      <c r="B1773" s="13"/>
    </row>
    <row r="1774" spans="1:2" x14ac:dyDescent="0.25">
      <c r="A1774" s="13"/>
      <c r="B1774" s="13"/>
    </row>
    <row r="1775" spans="1:2" x14ac:dyDescent="0.25">
      <c r="A1775" s="13"/>
      <c r="B1775" s="13"/>
    </row>
    <row r="1776" spans="1:2" x14ac:dyDescent="0.25">
      <c r="A1776" s="13"/>
      <c r="B1776" s="13"/>
    </row>
    <row r="1777" spans="1:2" x14ac:dyDescent="0.25">
      <c r="A1777" s="13"/>
      <c r="B1777" s="13"/>
    </row>
    <row r="1778" spans="1:2" x14ac:dyDescent="0.25">
      <c r="A1778" s="13"/>
      <c r="B1778" s="13"/>
    </row>
    <row r="1779" spans="1:2" x14ac:dyDescent="0.25">
      <c r="A1779" s="13"/>
      <c r="B1779" s="13"/>
    </row>
    <row r="1780" spans="1:2" x14ac:dyDescent="0.25">
      <c r="A1780" s="13"/>
      <c r="B1780" s="13"/>
    </row>
    <row r="1781" spans="1:2" x14ac:dyDescent="0.25">
      <c r="A1781" s="13"/>
      <c r="B1781" s="13"/>
    </row>
    <row r="1782" spans="1:2" x14ac:dyDescent="0.25">
      <c r="A1782" s="13"/>
      <c r="B1782" s="13"/>
    </row>
    <row r="1783" spans="1:2" x14ac:dyDescent="0.25">
      <c r="A1783" s="13"/>
      <c r="B1783" s="13"/>
    </row>
    <row r="1784" spans="1:2" x14ac:dyDescent="0.25">
      <c r="A1784" s="13"/>
      <c r="B1784" s="13"/>
    </row>
    <row r="1785" spans="1:2" x14ac:dyDescent="0.25">
      <c r="A1785" s="13"/>
      <c r="B1785" s="13"/>
    </row>
    <row r="1786" spans="1:2" x14ac:dyDescent="0.25">
      <c r="A1786" s="13"/>
      <c r="B1786" s="13"/>
    </row>
    <row r="1787" spans="1:2" x14ac:dyDescent="0.25">
      <c r="A1787" s="13"/>
      <c r="B1787" s="13"/>
    </row>
    <row r="1788" spans="1:2" x14ac:dyDescent="0.25">
      <c r="A1788" s="13"/>
      <c r="B1788" s="13"/>
    </row>
    <row r="1789" spans="1:2" x14ac:dyDescent="0.25">
      <c r="A1789" s="13"/>
      <c r="B1789" s="13"/>
    </row>
    <row r="1790" spans="1:2" x14ac:dyDescent="0.25">
      <c r="A1790" s="13"/>
      <c r="B1790" s="13"/>
    </row>
    <row r="1791" spans="1:2" x14ac:dyDescent="0.25">
      <c r="A1791" s="13"/>
      <c r="B1791" s="13"/>
    </row>
    <row r="1792" spans="1:2" x14ac:dyDescent="0.25">
      <c r="A1792" s="13"/>
      <c r="B1792" s="13"/>
    </row>
    <row r="1793" spans="1:2" x14ac:dyDescent="0.25">
      <c r="A1793" s="13"/>
      <c r="B1793" s="13"/>
    </row>
    <row r="1794" spans="1:2" x14ac:dyDescent="0.25">
      <c r="A1794" s="13"/>
      <c r="B1794" s="13"/>
    </row>
    <row r="1795" spans="1:2" x14ac:dyDescent="0.25">
      <c r="A1795" s="13"/>
      <c r="B1795" s="13"/>
    </row>
    <row r="1796" spans="1:2" x14ac:dyDescent="0.25">
      <c r="A1796" s="13"/>
      <c r="B1796" s="13"/>
    </row>
    <row r="1797" spans="1:2" x14ac:dyDescent="0.25">
      <c r="A1797" s="13"/>
      <c r="B1797" s="13"/>
    </row>
    <row r="1798" spans="1:2" x14ac:dyDescent="0.25">
      <c r="A1798" s="13"/>
      <c r="B1798" s="13"/>
    </row>
    <row r="1799" spans="1:2" x14ac:dyDescent="0.25">
      <c r="A1799" s="13"/>
      <c r="B1799" s="13"/>
    </row>
    <row r="1800" spans="1:2" x14ac:dyDescent="0.25">
      <c r="A1800" s="13"/>
      <c r="B1800" s="13"/>
    </row>
    <row r="1801" spans="1:2" x14ac:dyDescent="0.25">
      <c r="A1801" s="13"/>
      <c r="B1801" s="13"/>
    </row>
    <row r="1802" spans="1:2" x14ac:dyDescent="0.25">
      <c r="A1802" s="13"/>
      <c r="B1802" s="13"/>
    </row>
    <row r="1803" spans="1:2" x14ac:dyDescent="0.25">
      <c r="A1803" s="13"/>
      <c r="B1803" s="13"/>
    </row>
    <row r="1804" spans="1:2" x14ac:dyDescent="0.25">
      <c r="A1804" s="13"/>
      <c r="B1804" s="13"/>
    </row>
    <row r="1805" spans="1:2" x14ac:dyDescent="0.25">
      <c r="A1805" s="13"/>
      <c r="B1805" s="13"/>
    </row>
    <row r="1806" spans="1:2" x14ac:dyDescent="0.25">
      <c r="A1806" s="13"/>
      <c r="B1806" s="13"/>
    </row>
    <row r="1807" spans="1:2" x14ac:dyDescent="0.25">
      <c r="A1807" s="13"/>
      <c r="B1807" s="13"/>
    </row>
    <row r="1808" spans="1:2" x14ac:dyDescent="0.25">
      <c r="A1808" s="13"/>
      <c r="B1808" s="13"/>
    </row>
    <row r="1809" spans="1:2" x14ac:dyDescent="0.25">
      <c r="A1809" s="13"/>
      <c r="B1809" s="13"/>
    </row>
    <row r="1810" spans="1:2" x14ac:dyDescent="0.25">
      <c r="A1810" s="13"/>
      <c r="B1810" s="13"/>
    </row>
    <row r="1811" spans="1:2" x14ac:dyDescent="0.25">
      <c r="A1811" s="13"/>
      <c r="B1811" s="13"/>
    </row>
    <row r="1812" spans="1:2" x14ac:dyDescent="0.25">
      <c r="A1812" s="13"/>
      <c r="B1812" s="13"/>
    </row>
    <row r="1813" spans="1:2" x14ac:dyDescent="0.25">
      <c r="A1813" s="13"/>
      <c r="B1813" s="13"/>
    </row>
    <row r="1814" spans="1:2" x14ac:dyDescent="0.25">
      <c r="A1814" s="13"/>
      <c r="B1814" s="13"/>
    </row>
    <row r="1815" spans="1:2" x14ac:dyDescent="0.25">
      <c r="A1815" s="13"/>
      <c r="B1815" s="13"/>
    </row>
    <row r="1816" spans="1:2" x14ac:dyDescent="0.25">
      <c r="A1816" s="13"/>
      <c r="B1816" s="13"/>
    </row>
    <row r="1817" spans="1:2" x14ac:dyDescent="0.25">
      <c r="A1817" s="13"/>
      <c r="B1817" s="13"/>
    </row>
    <row r="1818" spans="1:2" x14ac:dyDescent="0.25">
      <c r="A1818" s="13"/>
      <c r="B1818" s="13"/>
    </row>
    <row r="1819" spans="1:2" x14ac:dyDescent="0.25">
      <c r="A1819" s="13"/>
      <c r="B1819" s="13"/>
    </row>
    <row r="1820" spans="1:2" x14ac:dyDescent="0.25">
      <c r="A1820" s="13"/>
      <c r="B1820" s="13"/>
    </row>
    <row r="1821" spans="1:2" x14ac:dyDescent="0.25">
      <c r="A1821" s="13"/>
      <c r="B1821" s="13"/>
    </row>
    <row r="1822" spans="1:2" x14ac:dyDescent="0.25">
      <c r="A1822" s="13"/>
      <c r="B1822" s="13"/>
    </row>
    <row r="1823" spans="1:2" x14ac:dyDescent="0.25">
      <c r="A1823" s="13"/>
      <c r="B1823" s="13"/>
    </row>
    <row r="1824" spans="1:2" x14ac:dyDescent="0.25">
      <c r="A1824" s="13"/>
      <c r="B1824" s="13"/>
    </row>
    <row r="1825" spans="1:2" x14ac:dyDescent="0.25">
      <c r="A1825" s="13"/>
      <c r="B1825" s="13"/>
    </row>
    <row r="1826" spans="1:2" x14ac:dyDescent="0.25">
      <c r="A1826" s="13"/>
      <c r="B1826" s="13"/>
    </row>
    <row r="1827" spans="1:2" x14ac:dyDescent="0.25">
      <c r="A1827" s="13"/>
      <c r="B1827" s="13"/>
    </row>
    <row r="1828" spans="1:2" x14ac:dyDescent="0.25">
      <c r="A1828" s="13"/>
      <c r="B1828" s="13"/>
    </row>
    <row r="1829" spans="1:2" x14ac:dyDescent="0.25">
      <c r="A1829" s="13"/>
      <c r="B1829" s="13"/>
    </row>
    <row r="1830" spans="1:2" x14ac:dyDescent="0.25">
      <c r="A1830" s="13"/>
      <c r="B1830" s="13"/>
    </row>
    <row r="1831" spans="1:2" x14ac:dyDescent="0.25">
      <c r="A1831" s="13"/>
      <c r="B1831" s="13"/>
    </row>
    <row r="1832" spans="1:2" x14ac:dyDescent="0.25">
      <c r="A1832" s="13"/>
      <c r="B1832" s="13"/>
    </row>
    <row r="1833" spans="1:2" x14ac:dyDescent="0.25">
      <c r="A1833" s="13"/>
      <c r="B1833" s="13"/>
    </row>
    <row r="1834" spans="1:2" x14ac:dyDescent="0.25">
      <c r="A1834" s="13"/>
      <c r="B1834" s="13"/>
    </row>
    <row r="1835" spans="1:2" x14ac:dyDescent="0.25">
      <c r="A1835" s="13"/>
      <c r="B1835" s="13"/>
    </row>
    <row r="1836" spans="1:2" x14ac:dyDescent="0.25">
      <c r="A1836" s="13"/>
      <c r="B1836" s="13"/>
    </row>
    <row r="1837" spans="1:2" x14ac:dyDescent="0.25">
      <c r="A1837" s="13"/>
      <c r="B1837" s="13"/>
    </row>
    <row r="1838" spans="1:2" x14ac:dyDescent="0.25">
      <c r="A1838" s="13"/>
      <c r="B1838" s="13"/>
    </row>
    <row r="1839" spans="1:2" x14ac:dyDescent="0.25">
      <c r="A1839" s="13"/>
      <c r="B1839" s="13"/>
    </row>
    <row r="1840" spans="1:2" x14ac:dyDescent="0.25">
      <c r="A1840" s="13"/>
      <c r="B1840" s="13"/>
    </row>
    <row r="1841" spans="1:2" x14ac:dyDescent="0.25">
      <c r="A1841" s="13"/>
      <c r="B1841" s="13"/>
    </row>
    <row r="1842" spans="1:2" x14ac:dyDescent="0.25">
      <c r="A1842" s="13"/>
      <c r="B1842" s="13"/>
    </row>
    <row r="1843" spans="1:2" x14ac:dyDescent="0.25">
      <c r="A1843" s="13"/>
      <c r="B1843" s="13"/>
    </row>
    <row r="1844" spans="1:2" x14ac:dyDescent="0.25">
      <c r="A1844" s="13"/>
      <c r="B1844" s="13"/>
    </row>
    <row r="1845" spans="1:2" x14ac:dyDescent="0.25">
      <c r="A1845" s="13"/>
      <c r="B1845" s="13"/>
    </row>
    <row r="1846" spans="1:2" x14ac:dyDescent="0.25">
      <c r="A1846" s="13"/>
      <c r="B1846" s="13"/>
    </row>
    <row r="1847" spans="1:2" x14ac:dyDescent="0.25">
      <c r="A1847" s="13"/>
      <c r="B1847" s="13"/>
    </row>
    <row r="1848" spans="1:2" x14ac:dyDescent="0.25">
      <c r="A1848" s="13"/>
      <c r="B1848" s="13"/>
    </row>
    <row r="1849" spans="1:2" x14ac:dyDescent="0.25">
      <c r="A1849" s="13"/>
      <c r="B1849" s="13"/>
    </row>
    <row r="1850" spans="1:2" x14ac:dyDescent="0.25">
      <c r="A1850" s="13"/>
      <c r="B1850" s="13"/>
    </row>
    <row r="1851" spans="1:2" x14ac:dyDescent="0.25">
      <c r="A1851" s="13"/>
      <c r="B1851" s="13"/>
    </row>
    <row r="1852" spans="1:2" x14ac:dyDescent="0.25">
      <c r="A1852" s="13"/>
      <c r="B1852" s="13"/>
    </row>
    <row r="1853" spans="1:2" x14ac:dyDescent="0.25">
      <c r="A1853" s="13"/>
      <c r="B1853" s="13"/>
    </row>
    <row r="1854" spans="1:2" x14ac:dyDescent="0.25">
      <c r="A1854" s="13"/>
      <c r="B1854" s="13"/>
    </row>
    <row r="1855" spans="1:2" x14ac:dyDescent="0.25">
      <c r="A1855" s="13"/>
      <c r="B1855" s="13"/>
    </row>
    <row r="1856" spans="1:2" x14ac:dyDescent="0.25">
      <c r="A1856" s="13"/>
      <c r="B1856" s="13"/>
    </row>
    <row r="1857" spans="1:2" x14ac:dyDescent="0.25">
      <c r="A1857" s="13"/>
      <c r="B1857" s="13"/>
    </row>
    <row r="1858" spans="1:2" x14ac:dyDescent="0.25">
      <c r="A1858" s="13"/>
      <c r="B1858" s="13"/>
    </row>
    <row r="1859" spans="1:2" x14ac:dyDescent="0.25">
      <c r="A1859" s="13"/>
      <c r="B1859" s="13"/>
    </row>
    <row r="1860" spans="1:2" x14ac:dyDescent="0.25">
      <c r="A1860" s="13"/>
      <c r="B1860" s="13"/>
    </row>
    <row r="1861" spans="1:2" x14ac:dyDescent="0.25">
      <c r="A1861" s="13"/>
      <c r="B1861" s="13"/>
    </row>
    <row r="1862" spans="1:2" x14ac:dyDescent="0.25">
      <c r="A1862" s="13"/>
      <c r="B1862" s="13"/>
    </row>
    <row r="1863" spans="1:2" x14ac:dyDescent="0.25">
      <c r="A1863" s="13"/>
      <c r="B1863" s="13"/>
    </row>
    <row r="1864" spans="1:2" x14ac:dyDescent="0.25">
      <c r="A1864" s="13"/>
      <c r="B1864" s="13"/>
    </row>
    <row r="1865" spans="1:2" x14ac:dyDescent="0.25">
      <c r="A1865" s="13"/>
      <c r="B1865" s="13"/>
    </row>
    <row r="1866" spans="1:2" x14ac:dyDescent="0.25">
      <c r="A1866" s="13"/>
      <c r="B1866" s="13"/>
    </row>
    <row r="1867" spans="1:2" x14ac:dyDescent="0.25">
      <c r="A1867" s="13"/>
      <c r="B1867" s="13"/>
    </row>
    <row r="1868" spans="1:2" x14ac:dyDescent="0.25">
      <c r="A1868" s="13"/>
      <c r="B1868" s="13"/>
    </row>
    <row r="1869" spans="1:2" x14ac:dyDescent="0.25">
      <c r="A1869" s="13"/>
      <c r="B1869" s="13"/>
    </row>
    <row r="1870" spans="1:2" x14ac:dyDescent="0.25">
      <c r="A1870" s="13"/>
      <c r="B1870" s="13"/>
    </row>
    <row r="1871" spans="1:2" x14ac:dyDescent="0.25">
      <c r="A1871" s="13"/>
      <c r="B1871" s="13"/>
    </row>
    <row r="1872" spans="1:2" x14ac:dyDescent="0.25">
      <c r="A1872" s="13"/>
      <c r="B1872" s="13"/>
    </row>
    <row r="1873" spans="1:2" x14ac:dyDescent="0.25">
      <c r="A1873" s="13"/>
      <c r="B1873" s="13"/>
    </row>
    <row r="1874" spans="1:2" x14ac:dyDescent="0.25">
      <c r="A1874" s="13"/>
      <c r="B1874" s="13"/>
    </row>
    <row r="1875" spans="1:2" x14ac:dyDescent="0.25">
      <c r="A1875" s="13"/>
      <c r="B1875" s="13"/>
    </row>
    <row r="1876" spans="1:2" x14ac:dyDescent="0.25">
      <c r="A1876" s="13"/>
      <c r="B1876" s="13"/>
    </row>
    <row r="1877" spans="1:2" x14ac:dyDescent="0.25">
      <c r="A1877" s="13"/>
      <c r="B1877" s="13"/>
    </row>
    <row r="1878" spans="1:2" x14ac:dyDescent="0.25">
      <c r="A1878" s="13"/>
      <c r="B1878" s="13"/>
    </row>
    <row r="1879" spans="1:2" x14ac:dyDescent="0.25">
      <c r="A1879" s="13"/>
      <c r="B1879" s="13"/>
    </row>
    <row r="1880" spans="1:2" x14ac:dyDescent="0.25">
      <c r="A1880" s="13"/>
      <c r="B1880" s="13"/>
    </row>
    <row r="1881" spans="1:2" x14ac:dyDescent="0.25">
      <c r="A1881" s="13"/>
      <c r="B1881" s="13"/>
    </row>
    <row r="1882" spans="1:2" x14ac:dyDescent="0.25">
      <c r="A1882" s="13"/>
      <c r="B1882" s="13"/>
    </row>
    <row r="1883" spans="1:2" x14ac:dyDescent="0.25">
      <c r="A1883" s="13"/>
      <c r="B1883" s="13"/>
    </row>
    <row r="1884" spans="1:2" x14ac:dyDescent="0.25">
      <c r="A1884" s="13"/>
      <c r="B1884" s="13"/>
    </row>
    <row r="1885" spans="1:2" x14ac:dyDescent="0.25">
      <c r="A1885" s="13"/>
      <c r="B1885" s="13"/>
    </row>
    <row r="1886" spans="1:2" x14ac:dyDescent="0.25">
      <c r="A1886" s="13"/>
      <c r="B1886" s="13"/>
    </row>
    <row r="1887" spans="1:2" x14ac:dyDescent="0.25">
      <c r="A1887" s="13"/>
      <c r="B1887" s="13"/>
    </row>
    <row r="1888" spans="1:2" x14ac:dyDescent="0.25">
      <c r="A1888" s="13"/>
      <c r="B1888" s="13"/>
    </row>
    <row r="1889" spans="1:2" x14ac:dyDescent="0.25">
      <c r="A1889" s="13"/>
      <c r="B1889" s="13"/>
    </row>
    <row r="1890" spans="1:2" x14ac:dyDescent="0.25">
      <c r="A1890" s="13"/>
      <c r="B1890" s="13"/>
    </row>
    <row r="1891" spans="1:2" x14ac:dyDescent="0.25">
      <c r="A1891" s="13"/>
      <c r="B1891" s="13"/>
    </row>
    <row r="1892" spans="1:2" x14ac:dyDescent="0.25">
      <c r="A1892" s="13"/>
      <c r="B1892" s="13"/>
    </row>
    <row r="1893" spans="1:2" x14ac:dyDescent="0.25">
      <c r="A1893" s="13"/>
      <c r="B1893" s="13"/>
    </row>
    <row r="1894" spans="1:2" x14ac:dyDescent="0.25">
      <c r="A1894" s="13"/>
      <c r="B1894" s="13"/>
    </row>
    <row r="1895" spans="1:2" x14ac:dyDescent="0.25">
      <c r="A1895" s="13"/>
      <c r="B1895" s="13"/>
    </row>
    <row r="1896" spans="1:2" x14ac:dyDescent="0.25">
      <c r="A1896" s="13"/>
      <c r="B1896" s="13"/>
    </row>
    <row r="1897" spans="1:2" x14ac:dyDescent="0.25">
      <c r="A1897" s="13"/>
      <c r="B1897" s="13"/>
    </row>
    <row r="1898" spans="1:2" x14ac:dyDescent="0.25">
      <c r="A1898" s="13"/>
      <c r="B1898" s="13"/>
    </row>
    <row r="1899" spans="1:2" x14ac:dyDescent="0.25">
      <c r="A1899" s="13"/>
      <c r="B1899" s="13"/>
    </row>
    <row r="1900" spans="1:2" x14ac:dyDescent="0.25">
      <c r="A1900" s="13"/>
      <c r="B1900" s="13"/>
    </row>
    <row r="1901" spans="1:2" x14ac:dyDescent="0.25">
      <c r="A1901" s="13"/>
      <c r="B1901" s="13"/>
    </row>
    <row r="1902" spans="1:2" x14ac:dyDescent="0.25">
      <c r="A1902" s="13"/>
      <c r="B1902" s="13"/>
    </row>
    <row r="1903" spans="1:2" x14ac:dyDescent="0.25">
      <c r="A1903" s="13"/>
      <c r="B1903" s="13"/>
    </row>
    <row r="1904" spans="1:2" x14ac:dyDescent="0.25">
      <c r="A1904" s="13"/>
      <c r="B1904" s="13"/>
    </row>
    <row r="1905" spans="1:2" x14ac:dyDescent="0.25">
      <c r="A1905" s="13"/>
      <c r="B1905" s="13"/>
    </row>
    <row r="1906" spans="1:2" x14ac:dyDescent="0.25">
      <c r="A1906" s="13"/>
      <c r="B1906" s="13"/>
    </row>
    <row r="1907" spans="1:2" x14ac:dyDescent="0.25">
      <c r="A1907" s="13"/>
      <c r="B1907" s="13"/>
    </row>
    <row r="1908" spans="1:2" x14ac:dyDescent="0.25">
      <c r="A1908" s="13"/>
      <c r="B1908" s="13"/>
    </row>
    <row r="1909" spans="1:2" x14ac:dyDescent="0.25">
      <c r="A1909" s="13"/>
      <c r="B1909" s="13"/>
    </row>
    <row r="1910" spans="1:2" x14ac:dyDescent="0.25">
      <c r="A1910" s="13"/>
      <c r="B1910" s="13"/>
    </row>
    <row r="1911" spans="1:2" x14ac:dyDescent="0.25">
      <c r="A1911" s="13"/>
      <c r="B1911" s="13"/>
    </row>
    <row r="1912" spans="1:2" x14ac:dyDescent="0.25">
      <c r="A1912" s="13"/>
      <c r="B1912" s="13"/>
    </row>
    <row r="1913" spans="1:2" x14ac:dyDescent="0.25">
      <c r="A1913" s="13"/>
      <c r="B1913" s="13"/>
    </row>
    <row r="1914" spans="1:2" x14ac:dyDescent="0.25">
      <c r="A1914" s="13"/>
      <c r="B1914" s="13"/>
    </row>
    <row r="1915" spans="1:2" x14ac:dyDescent="0.25">
      <c r="A1915" s="13"/>
      <c r="B1915" s="13"/>
    </row>
    <row r="1916" spans="1:2" x14ac:dyDescent="0.25">
      <c r="A1916" s="13"/>
      <c r="B1916" s="13"/>
    </row>
    <row r="1917" spans="1:2" x14ac:dyDescent="0.25">
      <c r="A1917" s="13"/>
      <c r="B1917" s="13"/>
    </row>
    <row r="1918" spans="1:2" x14ac:dyDescent="0.25">
      <c r="A1918" s="13"/>
      <c r="B1918" s="13"/>
    </row>
    <row r="1919" spans="1:2" x14ac:dyDescent="0.25">
      <c r="A1919" s="13"/>
      <c r="B1919" s="13"/>
    </row>
    <row r="1920" spans="1:2" x14ac:dyDescent="0.25">
      <c r="A1920" s="13"/>
      <c r="B1920" s="13"/>
    </row>
    <row r="1921" spans="1:2" x14ac:dyDescent="0.25">
      <c r="A1921" s="13"/>
      <c r="B1921" s="13"/>
    </row>
    <row r="1922" spans="1:2" x14ac:dyDescent="0.25">
      <c r="A1922" s="13"/>
      <c r="B1922" s="13"/>
    </row>
    <row r="1923" spans="1:2" x14ac:dyDescent="0.25">
      <c r="A1923" s="13"/>
      <c r="B1923" s="13"/>
    </row>
    <row r="1924" spans="1:2" x14ac:dyDescent="0.25">
      <c r="A1924" s="13"/>
      <c r="B1924" s="13"/>
    </row>
    <row r="1925" spans="1:2" x14ac:dyDescent="0.25">
      <c r="A1925" s="13"/>
      <c r="B1925" s="13"/>
    </row>
    <row r="1926" spans="1:2" x14ac:dyDescent="0.25">
      <c r="A1926" s="13"/>
      <c r="B1926" s="13"/>
    </row>
    <row r="1927" spans="1:2" x14ac:dyDescent="0.25">
      <c r="A1927" s="13"/>
      <c r="B1927" s="13"/>
    </row>
    <row r="1928" spans="1:2" x14ac:dyDescent="0.25">
      <c r="A1928" s="13"/>
      <c r="B1928" s="13"/>
    </row>
    <row r="1929" spans="1:2" x14ac:dyDescent="0.25">
      <c r="A1929" s="13"/>
      <c r="B1929" s="13"/>
    </row>
    <row r="1930" spans="1:2" x14ac:dyDescent="0.25">
      <c r="A1930" s="13"/>
      <c r="B1930" s="13"/>
    </row>
    <row r="1931" spans="1:2" x14ac:dyDescent="0.25">
      <c r="A1931" s="13"/>
      <c r="B1931" s="13"/>
    </row>
    <row r="1932" spans="1:2" x14ac:dyDescent="0.25">
      <c r="A1932" s="13"/>
      <c r="B1932" s="13"/>
    </row>
    <row r="1933" spans="1:2" x14ac:dyDescent="0.25">
      <c r="A1933" s="13"/>
      <c r="B1933" s="13"/>
    </row>
    <row r="1934" spans="1:2" x14ac:dyDescent="0.25">
      <c r="A1934" s="13"/>
      <c r="B1934" s="13"/>
    </row>
    <row r="1935" spans="1:2" x14ac:dyDescent="0.25">
      <c r="A1935" s="13"/>
      <c r="B1935" s="13"/>
    </row>
    <row r="1936" spans="1:2" x14ac:dyDescent="0.25">
      <c r="A1936" s="13"/>
      <c r="B1936" s="13"/>
    </row>
    <row r="1937" spans="1:2" x14ac:dyDescent="0.25">
      <c r="A1937" s="13"/>
      <c r="B1937" s="13"/>
    </row>
    <row r="1938" spans="1:2" x14ac:dyDescent="0.25">
      <c r="A1938" s="13"/>
      <c r="B1938" s="13"/>
    </row>
    <row r="1939" spans="1:2" x14ac:dyDescent="0.25">
      <c r="A1939" s="13"/>
      <c r="B1939" s="13"/>
    </row>
    <row r="1940" spans="1:2" x14ac:dyDescent="0.25">
      <c r="A1940" s="13"/>
      <c r="B1940" s="13"/>
    </row>
    <row r="1941" spans="1:2" x14ac:dyDescent="0.25">
      <c r="A1941" s="13"/>
      <c r="B1941" s="13"/>
    </row>
    <row r="1942" spans="1:2" x14ac:dyDescent="0.25">
      <c r="A1942" s="13"/>
      <c r="B1942" s="13"/>
    </row>
    <row r="1943" spans="1:2" x14ac:dyDescent="0.25">
      <c r="A1943" s="13"/>
      <c r="B1943" s="13"/>
    </row>
    <row r="1944" spans="1:2" x14ac:dyDescent="0.25">
      <c r="A1944" s="13"/>
      <c r="B1944" s="13"/>
    </row>
    <row r="1945" spans="1:2" x14ac:dyDescent="0.25">
      <c r="A1945" s="13"/>
      <c r="B1945" s="13"/>
    </row>
    <row r="1946" spans="1:2" x14ac:dyDescent="0.25">
      <c r="A1946" s="13"/>
      <c r="B1946" s="13"/>
    </row>
    <row r="1947" spans="1:2" x14ac:dyDescent="0.25">
      <c r="A1947" s="13"/>
      <c r="B1947" s="13"/>
    </row>
    <row r="1948" spans="1:2" x14ac:dyDescent="0.25">
      <c r="A1948" s="13"/>
      <c r="B1948" s="13"/>
    </row>
    <row r="1949" spans="1:2" x14ac:dyDescent="0.25">
      <c r="A1949" s="13"/>
      <c r="B1949" s="13"/>
    </row>
    <row r="1950" spans="1:2" x14ac:dyDescent="0.25">
      <c r="A1950" s="13"/>
      <c r="B1950" s="13"/>
    </row>
    <row r="1951" spans="1:2" x14ac:dyDescent="0.25">
      <c r="A1951" s="13"/>
      <c r="B1951" s="13"/>
    </row>
    <row r="1952" spans="1:2" x14ac:dyDescent="0.25">
      <c r="A1952" s="13"/>
      <c r="B1952" s="13"/>
    </row>
    <row r="1953" spans="1:2" x14ac:dyDescent="0.25">
      <c r="A1953" s="13"/>
      <c r="B1953" s="13"/>
    </row>
    <row r="1954" spans="1:2" x14ac:dyDescent="0.25">
      <c r="A1954" s="13"/>
      <c r="B1954" s="13"/>
    </row>
    <row r="1955" spans="1:2" x14ac:dyDescent="0.25">
      <c r="A1955" s="13"/>
      <c r="B1955" s="13"/>
    </row>
    <row r="1956" spans="1:2" x14ac:dyDescent="0.25">
      <c r="A1956" s="13"/>
      <c r="B1956" s="13"/>
    </row>
    <row r="1957" spans="1:2" x14ac:dyDescent="0.25">
      <c r="A1957" s="13"/>
      <c r="B1957" s="13"/>
    </row>
    <row r="1958" spans="1:2" x14ac:dyDescent="0.25">
      <c r="A1958" s="13"/>
      <c r="B1958" s="13"/>
    </row>
    <row r="1959" spans="1:2" x14ac:dyDescent="0.25">
      <c r="A1959" s="13"/>
      <c r="B1959" s="13"/>
    </row>
    <row r="1960" spans="1:2" x14ac:dyDescent="0.25">
      <c r="A1960" s="13"/>
      <c r="B1960" s="13"/>
    </row>
    <row r="1961" spans="1:2" x14ac:dyDescent="0.25">
      <c r="A1961" s="13"/>
      <c r="B1961" s="13"/>
    </row>
    <row r="1962" spans="1:2" x14ac:dyDescent="0.25">
      <c r="A1962" s="13"/>
      <c r="B1962" s="13"/>
    </row>
    <row r="1963" spans="1:2" x14ac:dyDescent="0.25">
      <c r="A1963" s="13"/>
      <c r="B1963" s="13"/>
    </row>
    <row r="1964" spans="1:2" x14ac:dyDescent="0.25">
      <c r="A1964" s="13"/>
      <c r="B1964" s="13"/>
    </row>
    <row r="1965" spans="1:2" x14ac:dyDescent="0.25">
      <c r="A1965" s="13"/>
      <c r="B1965" s="13"/>
    </row>
    <row r="1966" spans="1:2" x14ac:dyDescent="0.25">
      <c r="A1966" s="13"/>
      <c r="B1966" s="13"/>
    </row>
    <row r="1967" spans="1:2" x14ac:dyDescent="0.25">
      <c r="A1967" s="13"/>
      <c r="B1967" s="13"/>
    </row>
    <row r="1968" spans="1:2" x14ac:dyDescent="0.25">
      <c r="A1968" s="13"/>
      <c r="B1968" s="13"/>
    </row>
    <row r="1969" spans="1:2" x14ac:dyDescent="0.25">
      <c r="A1969" s="13"/>
      <c r="B1969" s="13"/>
    </row>
    <row r="1970" spans="1:2" x14ac:dyDescent="0.25">
      <c r="A1970" s="13"/>
      <c r="B1970" s="13"/>
    </row>
    <row r="1971" spans="1:2" x14ac:dyDescent="0.25">
      <c r="A1971" s="13"/>
      <c r="B1971" s="13"/>
    </row>
    <row r="1972" spans="1:2" x14ac:dyDescent="0.25">
      <c r="A1972" s="13"/>
      <c r="B1972" s="13"/>
    </row>
    <row r="1973" spans="1:2" x14ac:dyDescent="0.25">
      <c r="A1973" s="13"/>
      <c r="B1973" s="13"/>
    </row>
    <row r="1974" spans="1:2" x14ac:dyDescent="0.25">
      <c r="A1974" s="13"/>
      <c r="B1974" s="13"/>
    </row>
    <row r="1975" spans="1:2" x14ac:dyDescent="0.25">
      <c r="A1975" s="13"/>
      <c r="B1975" s="13"/>
    </row>
    <row r="1976" spans="1:2" x14ac:dyDescent="0.25">
      <c r="A1976" s="13"/>
      <c r="B1976" s="13"/>
    </row>
    <row r="1977" spans="1:2" x14ac:dyDescent="0.25">
      <c r="A1977" s="13"/>
      <c r="B1977" s="13"/>
    </row>
    <row r="1978" spans="1:2" x14ac:dyDescent="0.25">
      <c r="A1978" s="13"/>
      <c r="B1978" s="13"/>
    </row>
    <row r="1979" spans="1:2" x14ac:dyDescent="0.25">
      <c r="A1979" s="13"/>
      <c r="B1979" s="13"/>
    </row>
    <row r="1980" spans="1:2" x14ac:dyDescent="0.25">
      <c r="A1980" s="13"/>
      <c r="B1980" s="13"/>
    </row>
    <row r="1981" spans="1:2" x14ac:dyDescent="0.25">
      <c r="A1981" s="13"/>
      <c r="B1981" s="13"/>
    </row>
    <row r="1982" spans="1:2" x14ac:dyDescent="0.25">
      <c r="A1982" s="13"/>
      <c r="B1982" s="13"/>
    </row>
    <row r="1983" spans="1:2" x14ac:dyDescent="0.25">
      <c r="A1983" s="13"/>
      <c r="B1983" s="13"/>
    </row>
    <row r="1984" spans="1:2" x14ac:dyDescent="0.25">
      <c r="A1984" s="13"/>
      <c r="B1984" s="13"/>
    </row>
    <row r="1985" spans="1:2" x14ac:dyDescent="0.25">
      <c r="A1985" s="13"/>
      <c r="B1985" s="13"/>
    </row>
    <row r="1986" spans="1:2" x14ac:dyDescent="0.25">
      <c r="A1986" s="13"/>
      <c r="B1986" s="13"/>
    </row>
    <row r="1987" spans="1:2" x14ac:dyDescent="0.25">
      <c r="A1987" s="13"/>
      <c r="B1987" s="13"/>
    </row>
    <row r="1988" spans="1:2" x14ac:dyDescent="0.25">
      <c r="A1988" s="13"/>
      <c r="B1988" s="13"/>
    </row>
    <row r="1989" spans="1:2" x14ac:dyDescent="0.25">
      <c r="A1989" s="13"/>
      <c r="B1989" s="13"/>
    </row>
    <row r="1990" spans="1:2" x14ac:dyDescent="0.25">
      <c r="A1990" s="13"/>
      <c r="B1990" s="13"/>
    </row>
    <row r="1991" spans="1:2" x14ac:dyDescent="0.25">
      <c r="A1991" s="13"/>
      <c r="B1991" s="13"/>
    </row>
    <row r="1992" spans="1:2" x14ac:dyDescent="0.25">
      <c r="A1992" s="13"/>
      <c r="B1992" s="13"/>
    </row>
    <row r="1993" spans="1:2" x14ac:dyDescent="0.25">
      <c r="A1993" s="13"/>
      <c r="B1993" s="13"/>
    </row>
    <row r="1994" spans="1:2" x14ac:dyDescent="0.25">
      <c r="A1994" s="13"/>
      <c r="B1994" s="13"/>
    </row>
    <row r="1995" spans="1:2" x14ac:dyDescent="0.25">
      <c r="A1995" s="13"/>
      <c r="B1995" s="13"/>
    </row>
    <row r="1996" spans="1:2" x14ac:dyDescent="0.25">
      <c r="A1996" s="13"/>
      <c r="B1996" s="13"/>
    </row>
    <row r="1997" spans="1:2" x14ac:dyDescent="0.25">
      <c r="A1997" s="13"/>
      <c r="B1997" s="13"/>
    </row>
    <row r="1998" spans="1:2" x14ac:dyDescent="0.25">
      <c r="A1998" s="13"/>
      <c r="B1998" s="13"/>
    </row>
    <row r="1999" spans="1:2" x14ac:dyDescent="0.25">
      <c r="A1999" s="13"/>
      <c r="B1999" s="13"/>
    </row>
  </sheetData>
  <mergeCells count="19">
    <mergeCell ref="A19:B19"/>
    <mergeCell ref="F16:I17"/>
    <mergeCell ref="A17:B17"/>
    <mergeCell ref="F6:I6"/>
    <mergeCell ref="F8:I8"/>
    <mergeCell ref="F10:I10"/>
    <mergeCell ref="A15:B15"/>
    <mergeCell ref="F12:I12"/>
    <mergeCell ref="F14:I14"/>
    <mergeCell ref="A5:B5"/>
    <mergeCell ref="A7:B7"/>
    <mergeCell ref="A9:B9"/>
    <mergeCell ref="A11:B11"/>
    <mergeCell ref="A13:B13"/>
    <mergeCell ref="E16:E17"/>
    <mergeCell ref="F19:I20"/>
    <mergeCell ref="E19:E20"/>
    <mergeCell ref="E22:E23"/>
    <mergeCell ref="F22:I23"/>
  </mergeCells>
  <conditionalFormatting sqref="AL608:AL1048576 AL1:AL3">
    <cfRule type="cellIs" dxfId="1" priority="1" operator="equal">
      <formula>"D2C Codes &gt; 1"</formula>
    </cfRule>
    <cfRule type="cellIs" dxfId="0" priority="2" operator="equal">
      <formula>"No D2C Code"</formula>
    </cfRule>
  </conditionalFormatting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9D3821F8AAF142B06C24FAD35F6A89" ma:contentTypeVersion="10" ma:contentTypeDescription="Create a new document." ma:contentTypeScope="" ma:versionID="58f1195b548cc464908682a7e8b3d01a">
  <xsd:schema xmlns:xsd="http://www.w3.org/2001/XMLSchema" xmlns:xs="http://www.w3.org/2001/XMLSchema" xmlns:p="http://schemas.microsoft.com/office/2006/metadata/properties" xmlns:ns2="4e9c2275-669f-4434-b8a0-4f929ed5aaa6" xmlns:ns3="cf759ea6-f0eb-40f8-a4f4-4bf7b224cf1c" targetNamespace="http://schemas.microsoft.com/office/2006/metadata/properties" ma:root="true" ma:fieldsID="190b0565803a18687da92274c374c8d8" ns2:_="" ns3:_="">
    <xsd:import namespace="4e9c2275-669f-4434-b8a0-4f929ed5aaa6"/>
    <xsd:import namespace="cf759ea6-f0eb-40f8-a4f4-4bf7b224cf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9c2275-669f-4434-b8a0-4f929ed5aaa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759ea6-f0eb-40f8-a4f4-4bf7b224cf1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5E8B45A-EABD-4385-B93F-96D6666721B0}">
  <ds:schemaRefs>
    <ds:schemaRef ds:uri="4e9c2275-669f-4434-b8a0-4f929ed5aaa6"/>
    <ds:schemaRef ds:uri="http://schemas.microsoft.com/office/infopath/2007/PartnerControls"/>
    <ds:schemaRef ds:uri="http://purl.org/dc/terms/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cf759ea6-f0eb-40f8-a4f4-4bf7b224cf1c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567E365-2119-40C9-B987-C2C06BC2A7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e9c2275-669f-4434-b8a0-4f929ed5aaa6"/>
    <ds:schemaRef ds:uri="cf759ea6-f0eb-40f8-a4f4-4bf7b224cf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A028D9C-8BC0-463C-A6C2-C925BE8524B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9006DCA-279A-49C9-B4A4-43CC202D5C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19</vt:i4>
      </vt:variant>
    </vt:vector>
  </HeadingPairs>
  <TitlesOfParts>
    <vt:vector size="28" baseType="lpstr">
      <vt:lpstr>Controls</vt:lpstr>
      <vt:lpstr>Line List</vt:lpstr>
      <vt:lpstr>Image Data</vt:lpstr>
      <vt:lpstr>Item Data</vt:lpstr>
      <vt:lpstr>Image Syle Not in Line List</vt:lpstr>
      <vt:lpstr>Images Not in Line List</vt:lpstr>
      <vt:lpstr>Line List Not in Images</vt:lpstr>
      <vt:lpstr>Renaming Data</vt:lpstr>
      <vt:lpstr>Execution Log</vt:lpstr>
      <vt:lpstr>Customers_Check</vt:lpstr>
      <vt:lpstr>D2C_Check</vt:lpstr>
      <vt:lpstr>End_Timestamp</vt:lpstr>
      <vt:lpstr>File_Line_List</vt:lpstr>
      <vt:lpstr>Folder_Image</vt:lpstr>
      <vt:lpstr>Folder_Output</vt:lpstr>
      <vt:lpstr>Image_Folder</vt:lpstr>
      <vt:lpstr>Join_Kind</vt:lpstr>
      <vt:lpstr>Line_List_File</vt:lpstr>
      <vt:lpstr>Output_Folder</vt:lpstr>
      <vt:lpstr>Rename_Selection</vt:lpstr>
      <vt:lpstr>Size_1_Check</vt:lpstr>
      <vt:lpstr>Size_2_Check</vt:lpstr>
      <vt:lpstr>Size_3_Check</vt:lpstr>
      <vt:lpstr>Size_4_Check</vt:lpstr>
      <vt:lpstr>Size_5_Check</vt:lpstr>
      <vt:lpstr>Size_6_Check</vt:lpstr>
      <vt:lpstr>Size_7_Check</vt:lpstr>
      <vt:lpstr>Start_Timestamp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 Pickard</dc:creator>
  <cp:keywords/>
  <dc:description/>
  <cp:lastModifiedBy>Leo Pickard</cp:lastModifiedBy>
  <cp:revision/>
  <dcterms:created xsi:type="dcterms:W3CDTF">2023-01-24T15:04:18Z</dcterms:created>
  <dcterms:modified xsi:type="dcterms:W3CDTF">2025-09-29T12:04:27Z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0x010100799D3821F8AAF142B06C24FAD35F6A89</vt:lpwstr>
  </property>
</Properties>
</file>